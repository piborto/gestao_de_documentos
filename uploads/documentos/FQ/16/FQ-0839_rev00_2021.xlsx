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1040"/>
  </bookViews>
  <sheets>
    <sheet name="Eventos" sheetId="1" r:id="rId1"/>
    <sheet name="Treinamentos Fechados" sheetId="2" r:id="rId2"/>
    <sheet name="I17, I19 e I24" sheetId="3" r:id="rId3"/>
    <sheet name="Participantes" sheetId="4" r:id="rId4"/>
    <sheet name="Respondentes" sheetId="6" r:id="rId5"/>
  </sheets>
  <definedNames>
    <definedName name="_xlnm._FilterDatabase" localSheetId="0" hidden="1">Eventos!$A$4:$H$51</definedName>
    <definedName name="_xlnm._FilterDatabase" localSheetId="1" hidden="1">'Treinamentos Fechados'!$A$4:$H$4</definedName>
    <definedName name="_xlnm.Print_Area" localSheetId="0">Eventos!$A$1:$I$52</definedName>
    <definedName name="_xlnm.Print_Area" localSheetId="2">'I17, I19 e I24'!$A$1:$R$51</definedName>
    <definedName name="_xlnm.Print_Area" localSheetId="3">Participantes!$A$1:$P$27</definedName>
    <definedName name="_xlnm.Print_Area" localSheetId="4">Respondentes!$A$1:$O$27</definedName>
    <definedName name="_xlnm.Print_Area" localSheetId="1">'Treinamentos Fechados'!$A$1:$I$52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" i="1"/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A2" i="6" l="1"/>
  <c r="A2" i="4"/>
  <c r="A2" i="3"/>
  <c r="F2" i="2"/>
  <c r="N25" i="6" l="1"/>
  <c r="M25" i="6"/>
  <c r="L25" i="6"/>
  <c r="K25" i="6"/>
  <c r="J25" i="6"/>
  <c r="I25" i="6"/>
  <c r="H25" i="6"/>
  <c r="G25" i="6"/>
  <c r="F25" i="6"/>
  <c r="E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N23" i="6"/>
  <c r="M23" i="6"/>
  <c r="L23" i="6"/>
  <c r="K23" i="6"/>
  <c r="J23" i="6"/>
  <c r="I23" i="6"/>
  <c r="H23" i="6"/>
  <c r="G23" i="6"/>
  <c r="F23" i="6"/>
  <c r="E23" i="6"/>
  <c r="D23" i="6"/>
  <c r="C23" i="6"/>
  <c r="N22" i="6"/>
  <c r="M22" i="6"/>
  <c r="L22" i="6"/>
  <c r="K22" i="6"/>
  <c r="J22" i="6"/>
  <c r="I22" i="6"/>
  <c r="H22" i="6"/>
  <c r="G22" i="6"/>
  <c r="F22" i="6"/>
  <c r="E22" i="6"/>
  <c r="D22" i="6"/>
  <c r="C22" i="6"/>
  <c r="N21" i="6"/>
  <c r="M21" i="6"/>
  <c r="L21" i="6"/>
  <c r="K21" i="6"/>
  <c r="J21" i="6"/>
  <c r="I21" i="6"/>
  <c r="H21" i="6"/>
  <c r="G21" i="6"/>
  <c r="F21" i="6"/>
  <c r="E21" i="6"/>
  <c r="D21" i="6"/>
  <c r="C21" i="6"/>
  <c r="N20" i="6"/>
  <c r="M20" i="6"/>
  <c r="L20" i="6"/>
  <c r="K20" i="6"/>
  <c r="J20" i="6"/>
  <c r="I20" i="6"/>
  <c r="H20" i="6"/>
  <c r="G20" i="6"/>
  <c r="F20" i="6"/>
  <c r="E20" i="6"/>
  <c r="D20" i="6"/>
  <c r="C20" i="6"/>
  <c r="N19" i="6"/>
  <c r="M19" i="6"/>
  <c r="L19" i="6"/>
  <c r="K19" i="6"/>
  <c r="J19" i="6"/>
  <c r="I19" i="6"/>
  <c r="I26" i="6" s="1"/>
  <c r="H19" i="6"/>
  <c r="G19" i="6"/>
  <c r="F19" i="6"/>
  <c r="E19" i="6"/>
  <c r="D19" i="6"/>
  <c r="C19" i="6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M12" i="6"/>
  <c r="L12" i="6"/>
  <c r="K12" i="6"/>
  <c r="J12" i="6"/>
  <c r="I12" i="6"/>
  <c r="H12" i="6"/>
  <c r="G12" i="6"/>
  <c r="F12" i="6"/>
  <c r="E12" i="6"/>
  <c r="D12" i="6"/>
  <c r="C12" i="6"/>
  <c r="N11" i="6"/>
  <c r="M11" i="6"/>
  <c r="L11" i="6"/>
  <c r="K11" i="6"/>
  <c r="J11" i="6"/>
  <c r="I11" i="6"/>
  <c r="H11" i="6"/>
  <c r="G11" i="6"/>
  <c r="F11" i="6"/>
  <c r="E11" i="6"/>
  <c r="D11" i="6"/>
  <c r="C11" i="6"/>
  <c r="N10" i="6"/>
  <c r="M10" i="6"/>
  <c r="L10" i="6"/>
  <c r="K10" i="6"/>
  <c r="J10" i="6"/>
  <c r="I10" i="6"/>
  <c r="H10" i="6"/>
  <c r="G10" i="6"/>
  <c r="F10" i="6"/>
  <c r="E10" i="6"/>
  <c r="D10" i="6"/>
  <c r="C10" i="6"/>
  <c r="N9" i="6"/>
  <c r="M9" i="6"/>
  <c r="L9" i="6"/>
  <c r="K9" i="6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F8" i="6"/>
  <c r="E8" i="6"/>
  <c r="D8" i="6"/>
  <c r="C8" i="6"/>
  <c r="N7" i="6"/>
  <c r="M7" i="6"/>
  <c r="L7" i="6"/>
  <c r="K7" i="6"/>
  <c r="J7" i="6"/>
  <c r="J14" i="6" s="1"/>
  <c r="I7" i="6"/>
  <c r="I14" i="6" s="1"/>
  <c r="H7" i="6"/>
  <c r="G7" i="6"/>
  <c r="F7" i="6"/>
  <c r="E7" i="6"/>
  <c r="D7" i="6"/>
  <c r="C7" i="6"/>
  <c r="B25" i="6"/>
  <c r="B24" i="6"/>
  <c r="B23" i="6"/>
  <c r="B22" i="6"/>
  <c r="B21" i="6"/>
  <c r="B20" i="6"/>
  <c r="B19" i="6"/>
  <c r="B13" i="6"/>
  <c r="B12" i="6"/>
  <c r="B11" i="6"/>
  <c r="B10" i="6"/>
  <c r="B9" i="6"/>
  <c r="B8" i="6"/>
  <c r="M14" i="6"/>
  <c r="E14" i="6"/>
  <c r="B7" i="6"/>
  <c r="O25" i="4"/>
  <c r="N25" i="4"/>
  <c r="M25" i="4"/>
  <c r="L25" i="4"/>
  <c r="K25" i="4"/>
  <c r="J25" i="4"/>
  <c r="I25" i="4"/>
  <c r="H25" i="4"/>
  <c r="G25" i="4"/>
  <c r="F25" i="4"/>
  <c r="E25" i="4"/>
  <c r="D25" i="4"/>
  <c r="O24" i="4"/>
  <c r="N24" i="4"/>
  <c r="M24" i="4"/>
  <c r="L24" i="4"/>
  <c r="K24" i="4"/>
  <c r="J24" i="4"/>
  <c r="I24" i="4"/>
  <c r="H24" i="4"/>
  <c r="G24" i="4"/>
  <c r="F24" i="4"/>
  <c r="E24" i="4"/>
  <c r="D24" i="4"/>
  <c r="O23" i="4"/>
  <c r="N23" i="4"/>
  <c r="M23" i="4"/>
  <c r="L23" i="4"/>
  <c r="K23" i="4"/>
  <c r="I23" i="4"/>
  <c r="J23" i="4"/>
  <c r="H23" i="4"/>
  <c r="G23" i="4"/>
  <c r="F23" i="4"/>
  <c r="E23" i="4"/>
  <c r="D23" i="4"/>
  <c r="O22" i="4"/>
  <c r="N22" i="4"/>
  <c r="M22" i="4"/>
  <c r="L22" i="4"/>
  <c r="K22" i="4"/>
  <c r="J22" i="4"/>
  <c r="I22" i="4"/>
  <c r="H22" i="4"/>
  <c r="G22" i="4"/>
  <c r="F22" i="4"/>
  <c r="E22" i="4"/>
  <c r="D22" i="4"/>
  <c r="O21" i="4"/>
  <c r="N21" i="4"/>
  <c r="M21" i="4"/>
  <c r="L21" i="4"/>
  <c r="K21" i="4"/>
  <c r="J21" i="4"/>
  <c r="I21" i="4"/>
  <c r="H21" i="4"/>
  <c r="G21" i="4"/>
  <c r="F21" i="4"/>
  <c r="E21" i="4"/>
  <c r="D21" i="4"/>
  <c r="O20" i="4"/>
  <c r="N20" i="4"/>
  <c r="M20" i="4"/>
  <c r="L20" i="4"/>
  <c r="K20" i="4"/>
  <c r="J20" i="4"/>
  <c r="I20" i="4"/>
  <c r="H20" i="4"/>
  <c r="G20" i="4"/>
  <c r="E20" i="4"/>
  <c r="D20" i="4"/>
  <c r="O19" i="4"/>
  <c r="N19" i="4"/>
  <c r="M19" i="4"/>
  <c r="L19" i="4"/>
  <c r="K19" i="4"/>
  <c r="J19" i="4"/>
  <c r="I19" i="4"/>
  <c r="H19" i="4"/>
  <c r="G19" i="4"/>
  <c r="F19" i="4"/>
  <c r="E19" i="4"/>
  <c r="D19" i="4"/>
  <c r="F20" i="4"/>
  <c r="O13" i="4"/>
  <c r="N13" i="4"/>
  <c r="M13" i="4"/>
  <c r="L13" i="4"/>
  <c r="K13" i="4"/>
  <c r="J13" i="4"/>
  <c r="I13" i="4"/>
  <c r="H13" i="4"/>
  <c r="G13" i="4"/>
  <c r="F13" i="4"/>
  <c r="E13" i="4"/>
  <c r="D13" i="4"/>
  <c r="O12" i="4"/>
  <c r="N12" i="4"/>
  <c r="M12" i="4"/>
  <c r="L12" i="4"/>
  <c r="K12" i="4"/>
  <c r="J12" i="4"/>
  <c r="I12" i="4"/>
  <c r="H12" i="4"/>
  <c r="G12" i="4"/>
  <c r="F12" i="4"/>
  <c r="E12" i="4"/>
  <c r="D12" i="4"/>
  <c r="O11" i="4"/>
  <c r="N11" i="4"/>
  <c r="M11" i="4"/>
  <c r="L11" i="4"/>
  <c r="K11" i="4"/>
  <c r="J11" i="4"/>
  <c r="I11" i="4"/>
  <c r="H11" i="4"/>
  <c r="G11" i="4"/>
  <c r="F11" i="4"/>
  <c r="E11" i="4"/>
  <c r="D11" i="4"/>
  <c r="O10" i="4"/>
  <c r="N10" i="4"/>
  <c r="M10" i="4"/>
  <c r="L10" i="4"/>
  <c r="K10" i="4"/>
  <c r="J10" i="4"/>
  <c r="I10" i="4"/>
  <c r="H10" i="4"/>
  <c r="G10" i="4"/>
  <c r="F10" i="4"/>
  <c r="E10" i="4"/>
  <c r="D10" i="4"/>
  <c r="O9" i="4"/>
  <c r="N9" i="4"/>
  <c r="M9" i="4"/>
  <c r="L9" i="4"/>
  <c r="K9" i="4"/>
  <c r="J9" i="4"/>
  <c r="I9" i="4"/>
  <c r="H9" i="4"/>
  <c r="G9" i="4"/>
  <c r="F9" i="4"/>
  <c r="E9" i="4"/>
  <c r="D9" i="4"/>
  <c r="O8" i="4"/>
  <c r="N8" i="4"/>
  <c r="M8" i="4"/>
  <c r="L8" i="4"/>
  <c r="J8" i="4"/>
  <c r="K8" i="4"/>
  <c r="I8" i="4"/>
  <c r="H8" i="4"/>
  <c r="G8" i="4"/>
  <c r="F8" i="4"/>
  <c r="E8" i="4"/>
  <c r="D8" i="4"/>
  <c r="O7" i="4"/>
  <c r="N7" i="4"/>
  <c r="M7" i="4"/>
  <c r="M14" i="4" s="1"/>
  <c r="L7" i="4"/>
  <c r="L14" i="4" s="1"/>
  <c r="K7" i="4"/>
  <c r="J7" i="4"/>
  <c r="I7" i="4"/>
  <c r="H7" i="4"/>
  <c r="G7" i="4"/>
  <c r="F7" i="4"/>
  <c r="E7" i="4"/>
  <c r="E14" i="4" s="1"/>
  <c r="D7" i="4"/>
  <c r="D14" i="4" s="1"/>
  <c r="H26" i="6" l="1"/>
  <c r="F14" i="4"/>
  <c r="N14" i="4"/>
  <c r="G14" i="4"/>
  <c r="O14" i="4"/>
  <c r="H14" i="4"/>
  <c r="I14" i="4"/>
  <c r="E26" i="6"/>
  <c r="M26" i="6"/>
  <c r="O20" i="6"/>
  <c r="J14" i="4"/>
  <c r="K14" i="4"/>
  <c r="B14" i="6"/>
  <c r="O9" i="6"/>
  <c r="B26" i="6"/>
  <c r="O24" i="6"/>
  <c r="C14" i="6"/>
  <c r="D14" i="6"/>
  <c r="L14" i="6"/>
  <c r="G26" i="6"/>
  <c r="O23" i="6"/>
  <c r="O25" i="6"/>
  <c r="N14" i="6"/>
  <c r="O11" i="6"/>
  <c r="J26" i="6"/>
  <c r="O22" i="6"/>
  <c r="F14" i="6"/>
  <c r="G14" i="6"/>
  <c r="H14" i="6"/>
  <c r="O8" i="6"/>
  <c r="O12" i="6"/>
  <c r="C26" i="6"/>
  <c r="K26" i="6"/>
  <c r="O13" i="6"/>
  <c r="D26" i="6"/>
  <c r="L26" i="6"/>
  <c r="O10" i="6"/>
  <c r="O21" i="6"/>
  <c r="K14" i="6"/>
  <c r="F26" i="6"/>
  <c r="N26" i="6"/>
  <c r="O7" i="6"/>
  <c r="O19" i="6"/>
  <c r="F26" i="4"/>
  <c r="O26" i="4"/>
  <c r="N26" i="4"/>
  <c r="M26" i="4"/>
  <c r="L26" i="4"/>
  <c r="K26" i="4"/>
  <c r="J26" i="4"/>
  <c r="I26" i="4"/>
  <c r="H26" i="4"/>
  <c r="G26" i="4"/>
  <c r="E26" i="4"/>
  <c r="P25" i="4"/>
  <c r="P24" i="4"/>
  <c r="P23" i="4"/>
  <c r="P22" i="4"/>
  <c r="P21" i="4"/>
  <c r="P20" i="4"/>
  <c r="P19" i="4"/>
  <c r="D26" i="4"/>
  <c r="P13" i="4"/>
  <c r="P12" i="4"/>
  <c r="P11" i="4"/>
  <c r="P10" i="4"/>
  <c r="P9" i="4"/>
  <c r="P8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P14" i="4" l="1"/>
  <c r="O26" i="6"/>
  <c r="O14" i="6"/>
  <c r="P26" i="4"/>
  <c r="P7" i="4"/>
  <c r="B14" i="4"/>
  <c r="C14" i="4"/>
  <c r="C26" i="4"/>
  <c r="B26" i="4"/>
  <c r="M49" i="3"/>
  <c r="L49" i="3"/>
  <c r="K49" i="3"/>
  <c r="J49" i="3"/>
  <c r="I49" i="3"/>
  <c r="H49" i="3"/>
  <c r="G49" i="3"/>
  <c r="F49" i="3"/>
  <c r="E49" i="3"/>
  <c r="D49" i="3"/>
  <c r="C49" i="3"/>
  <c r="B49" i="3"/>
  <c r="M48" i="3"/>
  <c r="L48" i="3"/>
  <c r="K48" i="3"/>
  <c r="J48" i="3"/>
  <c r="I48" i="3"/>
  <c r="H48" i="3"/>
  <c r="G48" i="3"/>
  <c r="F48" i="3"/>
  <c r="E48" i="3"/>
  <c r="D48" i="3"/>
  <c r="C48" i="3"/>
  <c r="B48" i="3"/>
  <c r="M47" i="3"/>
  <c r="L47" i="3"/>
  <c r="K47" i="3"/>
  <c r="J47" i="3"/>
  <c r="I47" i="3"/>
  <c r="H47" i="3"/>
  <c r="G47" i="3"/>
  <c r="F47" i="3"/>
  <c r="E47" i="3"/>
  <c r="D47" i="3"/>
  <c r="C47" i="3"/>
  <c r="B47" i="3"/>
  <c r="M46" i="3"/>
  <c r="L46" i="3"/>
  <c r="K46" i="3"/>
  <c r="J46" i="3"/>
  <c r="I46" i="3"/>
  <c r="H46" i="3"/>
  <c r="G46" i="3"/>
  <c r="F46" i="3"/>
  <c r="E46" i="3"/>
  <c r="D46" i="3"/>
  <c r="C46" i="3"/>
  <c r="B46" i="3"/>
  <c r="M45" i="3"/>
  <c r="L45" i="3"/>
  <c r="K45" i="3"/>
  <c r="J45" i="3"/>
  <c r="I45" i="3"/>
  <c r="H45" i="3"/>
  <c r="G45" i="3"/>
  <c r="F45" i="3"/>
  <c r="E45" i="3"/>
  <c r="D45" i="3"/>
  <c r="C45" i="3"/>
  <c r="B45" i="3"/>
  <c r="M44" i="3"/>
  <c r="L44" i="3"/>
  <c r="K44" i="3"/>
  <c r="J44" i="3"/>
  <c r="I44" i="3"/>
  <c r="H44" i="3"/>
  <c r="G44" i="3"/>
  <c r="F44" i="3"/>
  <c r="E44" i="3"/>
  <c r="D44" i="3"/>
  <c r="C44" i="3"/>
  <c r="B44" i="3"/>
  <c r="M43" i="3"/>
  <c r="L43" i="3"/>
  <c r="K43" i="3"/>
  <c r="J43" i="3"/>
  <c r="I43" i="3"/>
  <c r="H43" i="3"/>
  <c r="G43" i="3"/>
  <c r="F43" i="3"/>
  <c r="E43" i="3"/>
  <c r="D43" i="3"/>
  <c r="C43" i="3"/>
  <c r="B43" i="3"/>
  <c r="M37" i="3"/>
  <c r="L37" i="3"/>
  <c r="K37" i="3"/>
  <c r="J37" i="3"/>
  <c r="I37" i="3"/>
  <c r="H37" i="3"/>
  <c r="G37" i="3"/>
  <c r="F37" i="3"/>
  <c r="E37" i="3"/>
  <c r="D37" i="3"/>
  <c r="C37" i="3"/>
  <c r="B37" i="3"/>
  <c r="M36" i="3"/>
  <c r="L36" i="3"/>
  <c r="K36" i="3"/>
  <c r="J36" i="3"/>
  <c r="I36" i="3"/>
  <c r="H36" i="3"/>
  <c r="G36" i="3"/>
  <c r="F36" i="3"/>
  <c r="E36" i="3"/>
  <c r="D36" i="3"/>
  <c r="C36" i="3"/>
  <c r="B36" i="3"/>
  <c r="M35" i="3"/>
  <c r="L35" i="3"/>
  <c r="K35" i="3"/>
  <c r="J35" i="3"/>
  <c r="I35" i="3"/>
  <c r="H35" i="3"/>
  <c r="G35" i="3"/>
  <c r="F35" i="3"/>
  <c r="E35" i="3"/>
  <c r="D35" i="3"/>
  <c r="C35" i="3"/>
  <c r="B35" i="3"/>
  <c r="M34" i="3"/>
  <c r="L34" i="3"/>
  <c r="K34" i="3"/>
  <c r="J34" i="3"/>
  <c r="I34" i="3"/>
  <c r="H34" i="3"/>
  <c r="G34" i="3"/>
  <c r="F34" i="3"/>
  <c r="E34" i="3"/>
  <c r="D34" i="3"/>
  <c r="C34" i="3"/>
  <c r="B34" i="3"/>
  <c r="M33" i="3"/>
  <c r="L33" i="3"/>
  <c r="K33" i="3"/>
  <c r="J33" i="3"/>
  <c r="I33" i="3"/>
  <c r="H33" i="3"/>
  <c r="G33" i="3"/>
  <c r="F33" i="3"/>
  <c r="E33" i="3"/>
  <c r="D33" i="3"/>
  <c r="C33" i="3"/>
  <c r="B33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M31" i="3"/>
  <c r="L31" i="3"/>
  <c r="K31" i="3"/>
  <c r="J31" i="3"/>
  <c r="I31" i="3"/>
  <c r="H31" i="3"/>
  <c r="G31" i="3"/>
  <c r="F31" i="3"/>
  <c r="E31" i="3"/>
  <c r="D31" i="3"/>
  <c r="C31" i="3"/>
  <c r="B31" i="3"/>
  <c r="Q25" i="3"/>
  <c r="P25" i="3"/>
  <c r="O25" i="3"/>
  <c r="N25" i="3"/>
  <c r="M25" i="3"/>
  <c r="L25" i="3"/>
  <c r="K25" i="3"/>
  <c r="J25" i="3"/>
  <c r="I25" i="3"/>
  <c r="H25" i="3"/>
  <c r="G25" i="3"/>
  <c r="Q24" i="3"/>
  <c r="P24" i="3"/>
  <c r="O24" i="3"/>
  <c r="N24" i="3"/>
  <c r="M24" i="3"/>
  <c r="L24" i="3"/>
  <c r="K24" i="3"/>
  <c r="J24" i="3"/>
  <c r="I24" i="3"/>
  <c r="H24" i="3"/>
  <c r="G24" i="3"/>
  <c r="Q23" i="3"/>
  <c r="P23" i="3"/>
  <c r="O23" i="3"/>
  <c r="N23" i="3"/>
  <c r="M23" i="3"/>
  <c r="L23" i="3"/>
  <c r="K23" i="3"/>
  <c r="J23" i="3"/>
  <c r="I23" i="3"/>
  <c r="H23" i="3"/>
  <c r="G23" i="3"/>
  <c r="Q22" i="3"/>
  <c r="P22" i="3"/>
  <c r="O22" i="3"/>
  <c r="N22" i="3"/>
  <c r="M22" i="3"/>
  <c r="L22" i="3"/>
  <c r="K22" i="3"/>
  <c r="J22" i="3"/>
  <c r="I22" i="3"/>
  <c r="H22" i="3"/>
  <c r="G22" i="3"/>
  <c r="Q21" i="3"/>
  <c r="P21" i="3"/>
  <c r="O21" i="3"/>
  <c r="N21" i="3"/>
  <c r="M21" i="3"/>
  <c r="L21" i="3"/>
  <c r="K21" i="3"/>
  <c r="J21" i="3"/>
  <c r="I21" i="3"/>
  <c r="H21" i="3"/>
  <c r="G21" i="3"/>
  <c r="Q20" i="3"/>
  <c r="P20" i="3"/>
  <c r="O20" i="3"/>
  <c r="N20" i="3"/>
  <c r="M20" i="3"/>
  <c r="L20" i="3"/>
  <c r="K20" i="3"/>
  <c r="J20" i="3"/>
  <c r="I20" i="3"/>
  <c r="G20" i="3"/>
  <c r="Q26" i="3"/>
  <c r="P26" i="3"/>
  <c r="O26" i="3"/>
  <c r="N26" i="3"/>
  <c r="M26" i="3"/>
  <c r="L26" i="3"/>
  <c r="K26" i="3"/>
  <c r="J26" i="3"/>
  <c r="I26" i="3"/>
  <c r="G26" i="3"/>
  <c r="Q19" i="3"/>
  <c r="P19" i="3"/>
  <c r="O19" i="3"/>
  <c r="N19" i="3"/>
  <c r="M19" i="3"/>
  <c r="L19" i="3"/>
  <c r="K19" i="3"/>
  <c r="J19" i="3"/>
  <c r="I19" i="3"/>
  <c r="H19" i="3"/>
  <c r="G19" i="3"/>
  <c r="F25" i="3"/>
  <c r="F24" i="3"/>
  <c r="F23" i="3"/>
  <c r="F22" i="3"/>
  <c r="F21" i="3"/>
  <c r="F20" i="3"/>
  <c r="Q13" i="3"/>
  <c r="P13" i="3"/>
  <c r="O13" i="3"/>
  <c r="N13" i="3"/>
  <c r="M13" i="3"/>
  <c r="L13" i="3"/>
  <c r="K13" i="3"/>
  <c r="J13" i="3"/>
  <c r="I13" i="3"/>
  <c r="Q12" i="3"/>
  <c r="P12" i="3"/>
  <c r="O12" i="3"/>
  <c r="N12" i="3"/>
  <c r="M12" i="3"/>
  <c r="L12" i="3"/>
  <c r="K12" i="3"/>
  <c r="J12" i="3"/>
  <c r="I12" i="3"/>
  <c r="Q11" i="3"/>
  <c r="P11" i="3"/>
  <c r="O11" i="3"/>
  <c r="N11" i="3"/>
  <c r="M11" i="3"/>
  <c r="L11" i="3"/>
  <c r="K11" i="3"/>
  <c r="J11" i="3"/>
  <c r="I11" i="3"/>
  <c r="N10" i="3"/>
  <c r="K9" i="3"/>
  <c r="M10" i="3"/>
  <c r="Q10" i="3"/>
  <c r="P10" i="3"/>
  <c r="O10" i="3"/>
  <c r="L10" i="3"/>
  <c r="K10" i="3"/>
  <c r="J10" i="3"/>
  <c r="I10" i="3"/>
  <c r="Q9" i="3"/>
  <c r="P9" i="3"/>
  <c r="O9" i="3"/>
  <c r="N9" i="3"/>
  <c r="M9" i="3"/>
  <c r="L9" i="3"/>
  <c r="J9" i="3"/>
  <c r="I9" i="3"/>
  <c r="I8" i="3"/>
  <c r="Q8" i="3"/>
  <c r="P8" i="3"/>
  <c r="O8" i="3"/>
  <c r="N8" i="3"/>
  <c r="M8" i="3"/>
  <c r="L8" i="3"/>
  <c r="K8" i="3"/>
  <c r="J8" i="3"/>
  <c r="Q7" i="3"/>
  <c r="P7" i="3"/>
  <c r="O7" i="3"/>
  <c r="N7" i="3"/>
  <c r="M7" i="3"/>
  <c r="L7" i="3"/>
  <c r="K7" i="3"/>
  <c r="J7" i="3"/>
  <c r="I7" i="3"/>
  <c r="H13" i="3"/>
  <c r="H10" i="3"/>
  <c r="H8" i="3"/>
  <c r="H7" i="3"/>
  <c r="G9" i="3"/>
  <c r="G10" i="3"/>
  <c r="G11" i="3"/>
  <c r="G12" i="3"/>
  <c r="G13" i="3"/>
  <c r="G8" i="3"/>
  <c r="Q14" i="3"/>
  <c r="P14" i="3"/>
  <c r="O14" i="3"/>
  <c r="N14" i="3"/>
  <c r="M14" i="3"/>
  <c r="L14" i="3"/>
  <c r="J14" i="3"/>
  <c r="I14" i="3"/>
  <c r="G14" i="3"/>
  <c r="F14" i="3"/>
  <c r="K14" i="3"/>
  <c r="F13" i="3"/>
  <c r="F12" i="3"/>
  <c r="F11" i="3"/>
  <c r="F10" i="3"/>
  <c r="F9" i="3"/>
  <c r="F8" i="3"/>
  <c r="N43" i="3"/>
  <c r="N31" i="3"/>
  <c r="E19" i="3"/>
  <c r="C19" i="3"/>
  <c r="G7" i="3"/>
  <c r="F7" i="3"/>
  <c r="E7" i="3"/>
  <c r="C7" i="3"/>
  <c r="B7" i="3"/>
  <c r="M50" i="3" l="1"/>
  <c r="L50" i="3"/>
  <c r="K50" i="3"/>
  <c r="J50" i="3"/>
  <c r="I50" i="3"/>
  <c r="H50" i="3"/>
  <c r="G50" i="3"/>
  <c r="F50" i="3"/>
  <c r="E50" i="3"/>
  <c r="D50" i="3"/>
  <c r="C50" i="3"/>
  <c r="B50" i="3"/>
  <c r="M38" i="3"/>
  <c r="L38" i="3"/>
  <c r="K38" i="3"/>
  <c r="J38" i="3"/>
  <c r="I38" i="3"/>
  <c r="H38" i="3"/>
  <c r="G38" i="3"/>
  <c r="F38" i="3"/>
  <c r="E38" i="3"/>
  <c r="D38" i="3"/>
  <c r="C38" i="3"/>
  <c r="B38" i="3"/>
  <c r="B23" i="3"/>
  <c r="E25" i="3"/>
  <c r="E24" i="3"/>
  <c r="E23" i="3"/>
  <c r="E22" i="3"/>
  <c r="E21" i="3"/>
  <c r="E20" i="3"/>
  <c r="C25" i="3"/>
  <c r="C24" i="3"/>
  <c r="C23" i="3"/>
  <c r="C22" i="3"/>
  <c r="C21" i="3"/>
  <c r="C20" i="3"/>
  <c r="B24" i="3"/>
  <c r="B22" i="3"/>
  <c r="B21" i="3"/>
  <c r="B25" i="3" l="1"/>
  <c r="F26" i="3"/>
  <c r="F19" i="3"/>
  <c r="B19" i="3"/>
  <c r="N38" i="3"/>
  <c r="B20" i="3"/>
  <c r="H20" i="3"/>
  <c r="H26" i="3"/>
  <c r="N50" i="3"/>
  <c r="N49" i="3"/>
  <c r="N48" i="3"/>
  <c r="N47" i="3"/>
  <c r="N46" i="3"/>
  <c r="N45" i="3"/>
  <c r="N44" i="3"/>
  <c r="N37" i="3" l="1"/>
  <c r="N36" i="3"/>
  <c r="N35" i="3"/>
  <c r="N34" i="3"/>
  <c r="N33" i="3"/>
  <c r="E13" i="3"/>
  <c r="E12" i="3"/>
  <c r="E11" i="3"/>
  <c r="E10" i="3"/>
  <c r="E9" i="3"/>
  <c r="E8" i="3"/>
  <c r="C13" i="3"/>
  <c r="C12" i="3"/>
  <c r="C11" i="3"/>
  <c r="C10" i="3"/>
  <c r="C9" i="3"/>
  <c r="C8" i="3"/>
  <c r="H11" i="3"/>
  <c r="H12" i="3"/>
  <c r="B11" i="3" l="1"/>
  <c r="D11" i="3" s="1"/>
  <c r="R11" i="3" s="1"/>
  <c r="H9" i="3"/>
  <c r="H14" i="3"/>
  <c r="D19" i="3"/>
  <c r="R19" i="3" s="1"/>
  <c r="B8" i="3"/>
  <c r="D8" i="3" s="1"/>
  <c r="R8" i="3" s="1"/>
  <c r="D25" i="3"/>
  <c r="R25" i="3" s="1"/>
  <c r="B13" i="3"/>
  <c r="D13" i="3" s="1"/>
  <c r="R13" i="3" s="1"/>
  <c r="B12" i="3"/>
  <c r="D12" i="3" s="1"/>
  <c r="R12" i="3" s="1"/>
  <c r="B10" i="3"/>
  <c r="D10" i="3" s="1"/>
  <c r="R10" i="3" s="1"/>
  <c r="B9" i="3"/>
  <c r="D9" i="3" s="1"/>
  <c r="R9" i="3" s="1"/>
  <c r="D23" i="3"/>
  <c r="R23" i="3" s="1"/>
  <c r="E26" i="3"/>
  <c r="D22" i="3"/>
  <c r="R22" i="3" s="1"/>
  <c r="D21" i="3"/>
  <c r="R21" i="3" s="1"/>
  <c r="D24" i="3"/>
  <c r="R24" i="3" s="1"/>
  <c r="D20" i="3"/>
  <c r="R20" i="3" s="1"/>
  <c r="C26" i="3"/>
  <c r="E14" i="3"/>
  <c r="D7" i="3"/>
  <c r="R7" i="3" s="1"/>
  <c r="C14" i="3"/>
  <c r="B26" i="3" l="1"/>
  <c r="D26" i="3" s="1"/>
  <c r="R26" i="3" s="1"/>
  <c r="B14" i="3"/>
  <c r="D14" i="3" s="1"/>
  <c r="R14" i="3" s="1"/>
</calcChain>
</file>

<file path=xl/sharedStrings.xml><?xml version="1.0" encoding="utf-8"?>
<sst xmlns="http://schemas.openxmlformats.org/spreadsheetml/2006/main" count="229" uniqueCount="55">
  <si>
    <t>Unidade</t>
  </si>
  <si>
    <t>UNIDADE</t>
  </si>
  <si>
    <t>TÍTULO</t>
  </si>
  <si>
    <t>MÊS</t>
  </si>
  <si>
    <t>Nº DE PARTICIPANTES</t>
  </si>
  <si>
    <t>Nº DE RESPONDENTES</t>
  </si>
  <si>
    <t>% DE SATISFAÇÃO</t>
  </si>
  <si>
    <t>Número de respondentes X % satisfação</t>
  </si>
  <si>
    <t>I17 - Satisfação de eventos</t>
  </si>
  <si>
    <t>DG</t>
  </si>
  <si>
    <t>CCQA</t>
  </si>
  <si>
    <t>Cetea</t>
  </si>
  <si>
    <t>Tecnolat</t>
  </si>
  <si>
    <t>CTC</t>
  </si>
  <si>
    <t>Fruthotec</t>
  </si>
  <si>
    <t>Ital</t>
  </si>
  <si>
    <t>Cereal Chocotec</t>
  </si>
  <si>
    <t>I19 - Satisfação de treinamento/curso in company</t>
  </si>
  <si>
    <t>Quantidade de participantes</t>
  </si>
  <si>
    <t>Quantidade de respondentes</t>
  </si>
  <si>
    <t>I24 - Eventos realizados</t>
  </si>
  <si>
    <t>CÁLCULO DOS INDICADORES</t>
  </si>
  <si>
    <t>Novembro</t>
  </si>
  <si>
    <t>Agosto</t>
  </si>
  <si>
    <t>Junho</t>
  </si>
  <si>
    <t>Julho</t>
  </si>
  <si>
    <t>Outubro</t>
  </si>
  <si>
    <t>PERÍODO</t>
  </si>
  <si>
    <t>Quantidade de Treinamento/Curso Fechado</t>
  </si>
  <si>
    <t>Dezembro</t>
  </si>
  <si>
    <t>Setembro</t>
  </si>
  <si>
    <t>Janeiro</t>
  </si>
  <si>
    <t>Fevereiro</t>
  </si>
  <si>
    <t>Março</t>
  </si>
  <si>
    <t>I17 (%)</t>
  </si>
  <si>
    <t>I19 (%)</t>
  </si>
  <si>
    <t>Abril</t>
  </si>
  <si>
    <t>Maio</t>
  </si>
  <si>
    <t>Ano</t>
  </si>
  <si>
    <t>RELATÓRIO DE PARTICIPANTES</t>
  </si>
  <si>
    <t>Treinamentos e cursos fechados - quantidade de participantes</t>
  </si>
  <si>
    <t>Eventos - quantidade de participantes</t>
  </si>
  <si>
    <t>RELATÓRIO DE RESPONDENTES</t>
  </si>
  <si>
    <t>Eventos - quantidade de respondentes</t>
  </si>
  <si>
    <t>Treinamentos e cursos fechados - quantidade de respondentes</t>
  </si>
  <si>
    <t>ANO:</t>
  </si>
  <si>
    <t>CONTROLE DE EVENTOS E TREINAMENTOS/CURSOS FECHADOS</t>
  </si>
  <si>
    <t>1. EVENTOS</t>
  </si>
  <si>
    <t>2. TREINAMENTOS/CURSOS FECHADOS</t>
  </si>
  <si>
    <t>Observações</t>
  </si>
  <si>
    <t>FQ-08.39 (anexo à IT-07.01.03) - RA -  revisão 00 de 02/08/21 - Página 1/5</t>
  </si>
  <si>
    <t>FQ-08.39 (anexo à IT-07.01.03) - RA -  revisão 00 de 02/08/21 - Página 2/5</t>
  </si>
  <si>
    <t>FQ-08.39 (anexo à IT-07.01.03) - RA -  revisão 00 de 02/08/21 - Página 3/5</t>
  </si>
  <si>
    <t>FQ-08.39 (anexo à IT-08.01.04) - RA -  revisão 00 de 02/08/21 - Página 5/5</t>
  </si>
  <si>
    <t>FQ-08.39 (anexo à IT-08.01.04) - RA -  revisão 00 de 02/08/21 - Página 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</si>
</sst>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b/>
      <sz val="15"/>
      <color theme="1"/>
      <name val="Arial"/>
      <family val="2"/>
    </font>
    <font>
      <b/>
      <sz val="15"/>
      <color theme="4"/>
      <name val="Arial"/>
      <family val="2"/>
    </font>
    <font>
      <b/>
      <sz val="12"/>
      <color rgb="FF0070C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4" borderId="0" xfId="0" applyFont="1" applyFill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justify"/>
    </xf>
    <xf numFmtId="49" fontId="0" fillId="0" borderId="0" xfId="0" applyNumberFormat="1" applyAlignment="1">
      <alignment horizontal="justify"/>
    </xf>
    <xf numFmtId="49" fontId="3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justify" vertical="center"/>
      <protection locked="0"/>
    </xf>
    <xf numFmtId="49" fontId="1" fillId="0" borderId="1" xfId="0" applyNumberFormat="1" applyFont="1" applyBorder="1" applyAlignment="1" applyProtection="1">
      <alignment horizontal="justify" vertical="center" wrapText="1"/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0" fontId="3" fillId="4" borderId="0" xfId="0" applyFont="1" applyFill="1"/>
    <xf numFmtId="1" fontId="1" fillId="0" borderId="1" xfId="0" applyNumberFormat="1" applyFont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0" fontId="11" fillId="0" borderId="1" xfId="0" applyFont="1" applyBorder="1" applyProtection="1">
      <protection locked="0"/>
    </xf>
    <xf numFmtId="0" fontId="10" fillId="0" borderId="2" xfId="0" applyFont="1" applyBorder="1" applyAlignment="1" applyProtection="1">
      <alignment horizontal="left" vertical="center"/>
    </xf>
    <xf numFmtId="0" fontId="10" fillId="0" borderId="3" xfId="0" applyFont="1" applyBorder="1" applyAlignment="1" applyProtection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0" fillId="0" borderId="2" xfId="0" applyFont="1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0" borderId="4" xfId="0" applyFont="1" applyBorder="1" applyAlignment="1" applyProtection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 applyProtection="1">
      <alignment horizontal="center"/>
    </xf>
    <xf numFmtId="0" fontId="9" fillId="0" borderId="6" xfId="0" applyFont="1" applyBorder="1" applyAlignment="1" applyProtection="1">
      <alignment horizontal="center"/>
    </xf>
    <xf numFmtId="0" fontId="9" fillId="0" borderId="5" xfId="0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6"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I53"/>
  <sheetViews>
    <sheetView tabSelected="1" view="pageBreakPreview" zoomScale="90" zoomScaleNormal="80" zoomScaleSheetLayoutView="90" workbookViewId="0">
      <selection activeCell="D17" sqref="D17"/>
    </sheetView>
  </sheetViews>
  <sheetFormatPr defaultRowHeight="15" x14ac:dyDescent="0.25"/>
  <cols>
    <col min="1" max="1" width="21.140625" style="1" customWidth="1"/>
    <col min="2" max="2" width="42.7109375" style="15" customWidth="1"/>
    <col min="3" max="3" width="24.85546875" style="15" customWidth="1"/>
    <col min="4" max="4" width="17.85546875" style="1" customWidth="1"/>
    <col min="5" max="5" width="23.85546875" style="1" customWidth="1"/>
    <col min="6" max="6" width="23.7109375" style="1" customWidth="1"/>
    <col min="7" max="7" width="18.85546875" style="1" customWidth="1"/>
    <col min="8" max="8" width="18.85546875" customWidth="1"/>
    <col min="9" max="9" width="25.42578125" style="50" customWidth="1"/>
  </cols>
  <sheetData>
    <row r="1" spans="1:9" ht="25.5" customHeight="1" thickBot="1" x14ac:dyDescent="0.3">
      <c r="A1" s="54" t="s">
        <v>46</v>
      </c>
      <c r="B1" s="55"/>
      <c r="C1" s="55"/>
      <c r="D1" s="55"/>
      <c r="E1" s="55"/>
      <c r="F1" s="55"/>
      <c r="G1" s="55"/>
      <c r="H1" s="55"/>
      <c r="I1" s="56"/>
    </row>
    <row r="2" spans="1:9" ht="24" customHeight="1" thickBot="1" x14ac:dyDescent="0.3">
      <c r="A2" s="52" t="s">
        <v>47</v>
      </c>
      <c r="B2" s="53"/>
      <c r="C2" s="53"/>
      <c r="D2" s="53"/>
      <c r="E2" s="53"/>
      <c r="F2" s="57" t="s">
        <v>45</v>
      </c>
      <c r="G2" s="58"/>
      <c r="H2" s="58"/>
      <c r="I2" s="59"/>
    </row>
    <row r="3" spans="1:9" x14ac:dyDescent="0.25">
      <c r="A3" s="13"/>
      <c r="B3" s="14"/>
      <c r="C3" s="14"/>
      <c r="D3" s="13"/>
      <c r="E3" s="13"/>
      <c r="F3" s="13"/>
      <c r="G3" s="13"/>
      <c r="H3" s="3"/>
    </row>
    <row r="4" spans="1:9" ht="38.25" x14ac:dyDescent="0.25">
      <c r="A4" s="8" t="s">
        <v>1</v>
      </c>
      <c r="B4" s="16" t="s">
        <v>2</v>
      </c>
      <c r="C4" s="16" t="s">
        <v>27</v>
      </c>
      <c r="D4" s="8" t="s">
        <v>3</v>
      </c>
      <c r="E4" s="8" t="s">
        <v>4</v>
      </c>
      <c r="F4" s="8" t="s">
        <v>5</v>
      </c>
      <c r="G4" s="8" t="s">
        <v>6</v>
      </c>
      <c r="H4" s="7" t="s">
        <v>7</v>
      </c>
      <c r="I4" s="7" t="s">
        <v>49</v>
      </c>
    </row>
    <row r="5" spans="1:9" x14ac:dyDescent="0.25">
      <c r="A5" s="20"/>
      <c r="B5" s="22"/>
      <c r="C5" s="23"/>
      <c r="D5" s="20"/>
      <c r="E5" s="20"/>
      <c r="F5" s="20"/>
      <c r="G5" s="20"/>
      <c r="H5" s="2">
        <f>IFERROR(G5*F5,"-")</f>
        <v>0</v>
      </c>
      <c r="I5" s="51"/>
    </row>
    <row r="6" spans="1:9" x14ac:dyDescent="0.25">
      <c r="A6" s="20"/>
      <c r="B6" s="21"/>
      <c r="C6" s="23"/>
      <c r="D6" s="20"/>
      <c r="E6" s="20"/>
      <c r="F6" s="20"/>
      <c r="G6" s="20"/>
      <c r="H6" s="2">
        <f t="shared" ref="H6:H51" si="0">IFERROR(G6*F6,"-")</f>
        <v>0</v>
      </c>
      <c r="I6" s="51"/>
    </row>
    <row r="7" spans="1:9" x14ac:dyDescent="0.25">
      <c r="A7" s="20"/>
      <c r="B7" s="22"/>
      <c r="C7" s="23"/>
      <c r="D7" s="20"/>
      <c r="E7" s="20"/>
      <c r="F7" s="20"/>
      <c r="G7" s="20"/>
      <c r="H7" s="2">
        <f t="shared" si="0"/>
        <v>0</v>
      </c>
      <c r="I7" s="51"/>
    </row>
    <row r="8" spans="1:9" x14ac:dyDescent="0.25">
      <c r="A8" s="20"/>
      <c r="B8" s="21"/>
      <c r="C8" s="23"/>
      <c r="D8" s="20"/>
      <c r="E8" s="20"/>
      <c r="F8" s="20"/>
      <c r="G8" s="20"/>
      <c r="H8" s="2">
        <f t="shared" si="0"/>
        <v>0</v>
      </c>
      <c r="I8" s="51"/>
    </row>
    <row r="9" spans="1:9" x14ac:dyDescent="0.25">
      <c r="A9" s="20"/>
      <c r="B9" s="21"/>
      <c r="C9" s="23"/>
      <c r="D9" s="20"/>
      <c r="E9" s="20"/>
      <c r="F9" s="20"/>
      <c r="G9" s="20"/>
      <c r="H9" s="2">
        <f t="shared" si="0"/>
        <v>0</v>
      </c>
      <c r="I9" s="51"/>
    </row>
    <row r="10" spans="1:9" x14ac:dyDescent="0.25">
      <c r="A10" s="20"/>
      <c r="B10" s="21"/>
      <c r="C10" s="23"/>
      <c r="D10" s="20"/>
      <c r="E10" s="20"/>
      <c r="F10" s="20"/>
      <c r="G10" s="20"/>
      <c r="H10" s="2">
        <f t="shared" si="0"/>
        <v>0</v>
      </c>
      <c r="I10" s="51"/>
    </row>
    <row r="11" spans="1:9" x14ac:dyDescent="0.25">
      <c r="A11" s="20"/>
      <c r="B11" s="21"/>
      <c r="C11" s="23"/>
      <c r="D11" s="20"/>
      <c r="E11" s="20"/>
      <c r="F11" s="20"/>
      <c r="G11" s="20"/>
      <c r="H11" s="2">
        <f t="shared" si="0"/>
        <v>0</v>
      </c>
      <c r="I11" s="51"/>
    </row>
    <row r="12" spans="1:9" x14ac:dyDescent="0.25">
      <c r="A12" s="20"/>
      <c r="B12" s="22"/>
      <c r="C12" s="23"/>
      <c r="D12" s="20"/>
      <c r="E12" s="20"/>
      <c r="F12" s="20"/>
      <c r="G12" s="20"/>
      <c r="H12" s="2">
        <f t="shared" si="0"/>
        <v>0</v>
      </c>
      <c r="I12" s="51"/>
    </row>
    <row r="13" spans="1:9" x14ac:dyDescent="0.25">
      <c r="A13" s="20"/>
      <c r="B13" s="21"/>
      <c r="C13" s="23"/>
      <c r="D13" s="20"/>
      <c r="E13" s="20"/>
      <c r="F13" s="20"/>
      <c r="G13" s="20"/>
      <c r="H13" s="2">
        <f t="shared" si="0"/>
        <v>0</v>
      </c>
      <c r="I13" s="51"/>
    </row>
    <row r="14" spans="1:9" x14ac:dyDescent="0.25">
      <c r="A14" s="20"/>
      <c r="B14" s="21"/>
      <c r="C14" s="23"/>
      <c r="D14" s="20"/>
      <c r="E14" s="20"/>
      <c r="F14" s="20"/>
      <c r="G14" s="20"/>
      <c r="H14" s="2">
        <f t="shared" si="0"/>
        <v>0</v>
      </c>
      <c r="I14" s="51"/>
    </row>
    <row r="15" spans="1:9" x14ac:dyDescent="0.25">
      <c r="A15" s="20"/>
      <c r="B15" s="21"/>
      <c r="C15" s="23"/>
      <c r="D15" s="20"/>
      <c r="E15" s="20"/>
      <c r="F15" s="20"/>
      <c r="G15" s="20"/>
      <c r="H15" s="2">
        <f t="shared" si="0"/>
        <v>0</v>
      </c>
      <c r="I15" s="51"/>
    </row>
    <row r="16" spans="1:9" x14ac:dyDescent="0.25">
      <c r="A16" s="20"/>
      <c r="B16" s="21"/>
      <c r="C16" s="23"/>
      <c r="D16" s="20"/>
      <c r="E16" s="20"/>
      <c r="F16" s="20"/>
      <c r="G16" s="20"/>
      <c r="H16" s="2">
        <f t="shared" si="0"/>
        <v>0</v>
      </c>
      <c r="I16" s="51"/>
    </row>
    <row r="17" spans="1:9" x14ac:dyDescent="0.25">
      <c r="A17" s="20"/>
      <c r="B17" s="21"/>
      <c r="C17" s="23"/>
      <c r="D17" s="20"/>
      <c r="E17" s="20"/>
      <c r="F17" s="20"/>
      <c r="G17" s="20"/>
      <c r="H17" s="2">
        <f t="shared" si="0"/>
        <v>0</v>
      </c>
      <c r="I17" s="51"/>
    </row>
    <row r="18" spans="1:9" x14ac:dyDescent="0.25">
      <c r="A18" s="20"/>
      <c r="B18" s="21"/>
      <c r="C18" s="23"/>
      <c r="D18" s="20"/>
      <c r="E18" s="20"/>
      <c r="F18" s="20"/>
      <c r="G18" s="20"/>
      <c r="H18" s="2">
        <f t="shared" si="0"/>
        <v>0</v>
      </c>
      <c r="I18" s="51"/>
    </row>
    <row r="19" spans="1:9" x14ac:dyDescent="0.25">
      <c r="A19" s="20"/>
      <c r="B19" s="21"/>
      <c r="C19" s="23"/>
      <c r="D19" s="20"/>
      <c r="E19" s="20"/>
      <c r="F19" s="20"/>
      <c r="G19" s="20"/>
      <c r="H19" s="2">
        <f t="shared" si="0"/>
        <v>0</v>
      </c>
      <c r="I19" s="51"/>
    </row>
    <row r="20" spans="1:9" x14ac:dyDescent="0.25">
      <c r="A20" s="20"/>
      <c r="B20" s="21"/>
      <c r="C20" s="23"/>
      <c r="D20" s="20"/>
      <c r="E20" s="20"/>
      <c r="F20" s="20"/>
      <c r="G20" s="20"/>
      <c r="H20" s="2">
        <f t="shared" si="0"/>
        <v>0</v>
      </c>
      <c r="I20" s="51"/>
    </row>
    <row r="21" spans="1:9" x14ac:dyDescent="0.25">
      <c r="A21" s="20"/>
      <c r="B21" s="22"/>
      <c r="C21" s="24"/>
      <c r="D21" s="20"/>
      <c r="E21" s="20"/>
      <c r="F21" s="20"/>
      <c r="G21" s="20"/>
      <c r="H21" s="2">
        <f t="shared" si="0"/>
        <v>0</v>
      </c>
      <c r="I21" s="51"/>
    </row>
    <row r="22" spans="1:9" x14ac:dyDescent="0.25">
      <c r="A22" s="20"/>
      <c r="B22" s="21"/>
      <c r="C22" s="23"/>
      <c r="D22" s="20"/>
      <c r="E22" s="20"/>
      <c r="F22" s="20"/>
      <c r="G22" s="20"/>
      <c r="H22" s="2">
        <f t="shared" si="0"/>
        <v>0</v>
      </c>
      <c r="I22" s="51"/>
    </row>
    <row r="23" spans="1:9" x14ac:dyDescent="0.25">
      <c r="A23" s="20"/>
      <c r="B23" s="21"/>
      <c r="C23" s="23"/>
      <c r="D23" s="20"/>
      <c r="E23" s="20"/>
      <c r="F23" s="20"/>
      <c r="G23" s="20"/>
      <c r="H23" s="2">
        <f t="shared" si="0"/>
        <v>0</v>
      </c>
      <c r="I23" s="51"/>
    </row>
    <row r="24" spans="1:9" x14ac:dyDescent="0.25">
      <c r="A24" s="20"/>
      <c r="B24" s="21"/>
      <c r="C24" s="23"/>
      <c r="D24" s="20"/>
      <c r="E24" s="20"/>
      <c r="F24" s="20"/>
      <c r="G24" s="20"/>
      <c r="H24" s="2">
        <f t="shared" si="0"/>
        <v>0</v>
      </c>
      <c r="I24" s="51"/>
    </row>
    <row r="25" spans="1:9" x14ac:dyDescent="0.25">
      <c r="A25" s="20"/>
      <c r="B25" s="21"/>
      <c r="C25" s="23"/>
      <c r="D25" s="20"/>
      <c r="E25" s="20"/>
      <c r="F25" s="20"/>
      <c r="G25" s="20"/>
      <c r="H25" s="2">
        <f t="shared" si="0"/>
        <v>0</v>
      </c>
      <c r="I25" s="51"/>
    </row>
    <row r="26" spans="1:9" x14ac:dyDescent="0.25">
      <c r="A26" s="20"/>
      <c r="B26" s="21"/>
      <c r="C26" s="23"/>
      <c r="D26" s="20"/>
      <c r="E26" s="20"/>
      <c r="F26" s="20"/>
      <c r="G26" s="20"/>
      <c r="H26" s="2">
        <f t="shared" si="0"/>
        <v>0</v>
      </c>
      <c r="I26" s="51"/>
    </row>
    <row r="27" spans="1:9" x14ac:dyDescent="0.25">
      <c r="A27" s="20"/>
      <c r="B27" s="21"/>
      <c r="C27" s="23"/>
      <c r="D27" s="20"/>
      <c r="E27" s="20"/>
      <c r="F27" s="20"/>
      <c r="G27" s="20"/>
      <c r="H27" s="2">
        <f t="shared" si="0"/>
        <v>0</v>
      </c>
      <c r="I27" s="51"/>
    </row>
    <row r="28" spans="1:9" x14ac:dyDescent="0.25">
      <c r="A28" s="20"/>
      <c r="B28" s="21"/>
      <c r="C28" s="23"/>
      <c r="D28" s="20"/>
      <c r="E28" s="20"/>
      <c r="F28" s="20"/>
      <c r="G28" s="20"/>
      <c r="H28" s="2">
        <f t="shared" si="0"/>
        <v>0</v>
      </c>
      <c r="I28" s="51"/>
    </row>
    <row r="29" spans="1:9" x14ac:dyDescent="0.25">
      <c r="A29" s="20"/>
      <c r="B29" s="21"/>
      <c r="C29" s="23"/>
      <c r="D29" s="20"/>
      <c r="E29" s="20"/>
      <c r="F29" s="20"/>
      <c r="G29" s="20"/>
      <c r="H29" s="2">
        <f t="shared" si="0"/>
        <v>0</v>
      </c>
      <c r="I29" s="51"/>
    </row>
    <row r="30" spans="1:9" x14ac:dyDescent="0.25">
      <c r="A30" s="20"/>
      <c r="B30" s="21"/>
      <c r="C30" s="23"/>
      <c r="D30" s="20"/>
      <c r="E30" s="20"/>
      <c r="F30" s="20"/>
      <c r="G30" s="20"/>
      <c r="H30" s="2">
        <f t="shared" si="0"/>
        <v>0</v>
      </c>
      <c r="I30" s="51"/>
    </row>
    <row r="31" spans="1:9" x14ac:dyDescent="0.25">
      <c r="A31" s="20"/>
      <c r="B31" s="21"/>
      <c r="C31" s="23"/>
      <c r="D31" s="20"/>
      <c r="E31" s="20"/>
      <c r="F31" s="20"/>
      <c r="G31" s="20"/>
      <c r="H31" s="2">
        <f t="shared" si="0"/>
        <v>0</v>
      </c>
      <c r="I31" s="51"/>
    </row>
    <row r="32" spans="1:9" x14ac:dyDescent="0.25">
      <c r="A32" s="20"/>
      <c r="B32" s="22"/>
      <c r="C32" s="23"/>
      <c r="D32" s="20"/>
      <c r="E32" s="20"/>
      <c r="F32" s="20"/>
      <c r="G32" s="20"/>
      <c r="H32" s="2">
        <f t="shared" si="0"/>
        <v>0</v>
      </c>
      <c r="I32" s="51"/>
    </row>
    <row r="33" spans="1:9" x14ac:dyDescent="0.25">
      <c r="A33" s="20"/>
      <c r="B33" s="22"/>
      <c r="C33" s="23"/>
      <c r="D33" s="20"/>
      <c r="E33" s="20"/>
      <c r="F33" s="20"/>
      <c r="G33" s="20"/>
      <c r="H33" s="2">
        <f t="shared" si="0"/>
        <v>0</v>
      </c>
      <c r="I33" s="51"/>
    </row>
    <row r="34" spans="1:9" x14ac:dyDescent="0.25">
      <c r="A34" s="20"/>
      <c r="B34" s="21"/>
      <c r="C34" s="23"/>
      <c r="D34" s="20"/>
      <c r="E34" s="20"/>
      <c r="F34" s="20"/>
      <c r="G34" s="20"/>
      <c r="H34" s="2">
        <f t="shared" si="0"/>
        <v>0</v>
      </c>
      <c r="I34" s="51"/>
    </row>
    <row r="35" spans="1:9" x14ac:dyDescent="0.25">
      <c r="A35" s="20"/>
      <c r="B35" s="21"/>
      <c r="C35" s="23"/>
      <c r="D35" s="20"/>
      <c r="E35" s="20"/>
      <c r="F35" s="20"/>
      <c r="G35" s="20"/>
      <c r="H35" s="2">
        <f t="shared" si="0"/>
        <v>0</v>
      </c>
      <c r="I35" s="51"/>
    </row>
    <row r="36" spans="1:9" x14ac:dyDescent="0.25">
      <c r="A36" s="20"/>
      <c r="B36" s="21"/>
      <c r="C36" s="23"/>
      <c r="D36" s="20"/>
      <c r="E36" s="20"/>
      <c r="F36" s="20"/>
      <c r="G36" s="20"/>
      <c r="H36" s="2">
        <f t="shared" si="0"/>
        <v>0</v>
      </c>
      <c r="I36" s="51"/>
    </row>
    <row r="37" spans="1:9" x14ac:dyDescent="0.25">
      <c r="A37" s="20"/>
      <c r="B37" s="21"/>
      <c r="C37" s="23"/>
      <c r="D37" s="20"/>
      <c r="E37" s="20"/>
      <c r="F37" s="20"/>
      <c r="G37" s="20"/>
      <c r="H37" s="2">
        <f t="shared" si="0"/>
        <v>0</v>
      </c>
      <c r="I37" s="51"/>
    </row>
    <row r="38" spans="1:9" x14ac:dyDescent="0.25">
      <c r="A38" s="20"/>
      <c r="B38" s="21"/>
      <c r="C38" s="23"/>
      <c r="D38" s="20"/>
      <c r="E38" s="20"/>
      <c r="F38" s="20"/>
      <c r="G38" s="20"/>
      <c r="H38" s="2">
        <f t="shared" si="0"/>
        <v>0</v>
      </c>
      <c r="I38" s="51"/>
    </row>
    <row r="39" spans="1:9" x14ac:dyDescent="0.25">
      <c r="A39" s="20"/>
      <c r="B39" s="21"/>
      <c r="C39" s="23"/>
      <c r="D39" s="20"/>
      <c r="E39" s="20"/>
      <c r="F39" s="20"/>
      <c r="G39" s="20"/>
      <c r="H39" s="2">
        <f t="shared" si="0"/>
        <v>0</v>
      </c>
      <c r="I39" s="51"/>
    </row>
    <row r="40" spans="1:9" x14ac:dyDescent="0.25">
      <c r="A40" s="20"/>
      <c r="B40" s="21"/>
      <c r="C40" s="23"/>
      <c r="D40" s="20"/>
      <c r="E40" s="20"/>
      <c r="F40" s="20"/>
      <c r="G40" s="20"/>
      <c r="H40" s="2">
        <f t="shared" si="0"/>
        <v>0</v>
      </c>
      <c r="I40" s="51"/>
    </row>
    <row r="41" spans="1:9" x14ac:dyDescent="0.25">
      <c r="A41" s="20"/>
      <c r="B41" s="22"/>
      <c r="C41" s="23"/>
      <c r="D41" s="20"/>
      <c r="E41" s="20"/>
      <c r="F41" s="20"/>
      <c r="G41" s="20"/>
      <c r="H41" s="2">
        <f t="shared" si="0"/>
        <v>0</v>
      </c>
      <c r="I41" s="51"/>
    </row>
    <row r="42" spans="1:9" x14ac:dyDescent="0.25">
      <c r="A42" s="20"/>
      <c r="B42" s="22"/>
      <c r="C42" s="23"/>
      <c r="D42" s="20"/>
      <c r="E42" s="20"/>
      <c r="F42" s="20"/>
      <c r="G42" s="20"/>
      <c r="H42" s="2">
        <f t="shared" si="0"/>
        <v>0</v>
      </c>
      <c r="I42" s="51"/>
    </row>
    <row r="43" spans="1:9" x14ac:dyDescent="0.25">
      <c r="A43" s="20"/>
      <c r="B43" s="21"/>
      <c r="C43" s="23"/>
      <c r="D43" s="20"/>
      <c r="E43" s="20"/>
      <c r="F43" s="20"/>
      <c r="G43" s="20"/>
      <c r="H43" s="2">
        <f t="shared" si="0"/>
        <v>0</v>
      </c>
      <c r="I43" s="51"/>
    </row>
    <row r="44" spans="1:9" x14ac:dyDescent="0.25">
      <c r="A44" s="20"/>
      <c r="B44" s="21"/>
      <c r="C44" s="23"/>
      <c r="D44" s="20"/>
      <c r="E44" s="20"/>
      <c r="F44" s="20"/>
      <c r="G44" s="20"/>
      <c r="H44" s="2">
        <f t="shared" si="0"/>
        <v>0</v>
      </c>
      <c r="I44" s="51"/>
    </row>
    <row r="45" spans="1:9" x14ac:dyDescent="0.25">
      <c r="A45" s="20"/>
      <c r="B45" s="21"/>
      <c r="C45" s="23"/>
      <c r="D45" s="20"/>
      <c r="E45" s="20"/>
      <c r="F45" s="20"/>
      <c r="G45" s="20"/>
      <c r="H45" s="2">
        <f t="shared" si="0"/>
        <v>0</v>
      </c>
      <c r="I45" s="51"/>
    </row>
    <row r="46" spans="1:9" x14ac:dyDescent="0.25">
      <c r="A46" s="20"/>
      <c r="B46" s="21"/>
      <c r="C46" s="23"/>
      <c r="D46" s="20"/>
      <c r="E46" s="20"/>
      <c r="F46" s="20"/>
      <c r="G46" s="20"/>
      <c r="H46" s="2">
        <f t="shared" si="0"/>
        <v>0</v>
      </c>
      <c r="I46" s="51"/>
    </row>
    <row r="47" spans="1:9" x14ac:dyDescent="0.25">
      <c r="A47" s="20"/>
      <c r="B47" s="21"/>
      <c r="C47" s="23"/>
      <c r="D47" s="20"/>
      <c r="E47" s="20"/>
      <c r="F47" s="20"/>
      <c r="G47" s="20"/>
      <c r="H47" s="2">
        <f t="shared" si="0"/>
        <v>0</v>
      </c>
      <c r="I47" s="51"/>
    </row>
    <row r="48" spans="1:9" x14ac:dyDescent="0.25">
      <c r="A48" s="20"/>
      <c r="B48" s="21"/>
      <c r="C48" s="23"/>
      <c r="D48" s="20"/>
      <c r="E48" s="20"/>
      <c r="F48" s="20"/>
      <c r="G48" s="20"/>
      <c r="H48" s="2">
        <f t="shared" si="0"/>
        <v>0</v>
      </c>
      <c r="I48" s="51"/>
    </row>
    <row r="49" spans="1:9" x14ac:dyDescent="0.25">
      <c r="A49" s="20"/>
      <c r="B49" s="21"/>
      <c r="C49" s="23"/>
      <c r="D49" s="20"/>
      <c r="E49" s="20"/>
      <c r="F49" s="20"/>
      <c r="G49" s="20"/>
      <c r="H49" s="2">
        <f t="shared" si="0"/>
        <v>0</v>
      </c>
      <c r="I49" s="51"/>
    </row>
    <row r="50" spans="1:9" x14ac:dyDescent="0.25">
      <c r="A50" s="20"/>
      <c r="B50" s="21"/>
      <c r="C50" s="23"/>
      <c r="D50" s="20"/>
      <c r="E50" s="20"/>
      <c r="F50" s="20"/>
      <c r="G50" s="20"/>
      <c r="H50" s="2">
        <f t="shared" si="0"/>
        <v>0</v>
      </c>
      <c r="I50" s="51"/>
    </row>
    <row r="51" spans="1:9" x14ac:dyDescent="0.25">
      <c r="A51" s="20"/>
      <c r="B51" s="21"/>
      <c r="C51" s="23"/>
      <c r="D51" s="20"/>
      <c r="E51" s="20"/>
      <c r="F51" s="20"/>
      <c r="G51" s="20"/>
      <c r="H51" s="2">
        <f t="shared" si="0"/>
        <v>0</v>
      </c>
      <c r="I51" s="51"/>
    </row>
    <row r="53" spans="1:9" x14ac:dyDescent="0.25">
      <c r="A53" s="77" t="s">
        <v>50</v>
      </c>
      <c r="B53" s="77"/>
      <c r="C53" s="77"/>
      <c r="D53" s="77"/>
      <c r="E53" s="77"/>
      <c r="F53" s="77"/>
      <c r="G53" s="77"/>
      <c r="H53" s="77"/>
      <c r="I53" s="77"/>
    </row>
  </sheetData>
  <sheetProtection algorithmName="SHA-512" hashValue="1dYJ8T2y1mF8P/tIICyySO0xLeFokyXSruKpC6zcc087exoGTc6xCTAW8a8R6dXyuuCi7wddiSaMEVWaPwzA4A==" saltValue="sAoQBk/7DaJDnPA1hZGusA==" spinCount="100000" sheet="1" objects="1" scenarios="1" formatCells="0" formatColumns="0" formatRows="0" insertRows="0" deleteRows="0" sort="0" autoFilter="0"/>
  <autoFilter ref="A4:H51"/>
  <sortState ref="A5:H37">
    <sortCondition ref="D5:D37"/>
  </sortState>
  <mergeCells count="4">
    <mergeCell ref="A2:E2"/>
    <mergeCell ref="A1:I1"/>
    <mergeCell ref="F2:I2"/>
    <mergeCell ref="A53:I53"/>
  </mergeCells>
  <conditionalFormatting sqref="G5:G51">
    <cfRule type="cellIs" dxfId="5" priority="4" operator="lessThan">
      <formula>80</formula>
    </cfRule>
    <cfRule type="cellIs" dxfId="4" priority="3" operator="greaterThanOrEqual">
      <formula>80</formula>
    </cfRule>
    <cfRule type="cellIs" dxfId="3" priority="1" operator="equal">
      <formula>0</formula>
    </cfRule>
  </conditionalFormatting>
  <dataValidations count="2">
    <dataValidation type="list" allowBlank="1" showInputMessage="1" showErrorMessage="1" sqref="A5:A51">
      <formula1>"DG,C.Chocotec,CCQA,Tecnolat,Cetea,CTC,Fruthotec"</formula1>
    </dataValidation>
    <dataValidation type="list" allowBlank="1" showInputMessage="1" showErrorMessage="1" sqref="D5:D51">
      <formula1>"Janeiro,Fevereiro,Março,Abril,Maio,Junho,Julho,Agosto,Setembro,Outubro,Novembro,Dezembro"</formula1>
    </dataValidation>
  </dataValidations>
  <pageMargins left="0.70866141732283472" right="0.70866141732283472" top="0.74803149606299213" bottom="0.74803149606299213" header="0.31496062992125984" footer="0.31496062992125984"/>
  <pageSetup paperSize="9" scale="59" orientation="landscape" verticalDpi="300" r:id="rId1"/>
  <headerFooter>
    <oddHeader>&amp;R&amp;P/&amp;N</oddHeader>
    <oddFooter>&amp;L&amp;"Arial,Normal"&amp;10FQ-08.39 (anexo à IT-07.01.03) - RA -  revisão 00 de 02/08/21 - Página 1/5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J53"/>
  <sheetViews>
    <sheetView view="pageBreakPreview" topLeftCell="A7" zoomScale="80" zoomScaleNormal="80" zoomScaleSheetLayoutView="80" workbookViewId="0">
      <selection activeCell="C40" sqref="C40"/>
    </sheetView>
  </sheetViews>
  <sheetFormatPr defaultRowHeight="15" x14ac:dyDescent="0.25"/>
  <cols>
    <col min="1" max="1" width="27.140625" style="26" customWidth="1"/>
    <col min="2" max="2" width="42.7109375" customWidth="1"/>
    <col min="3" max="3" width="25.7109375" style="26" customWidth="1"/>
    <col min="4" max="4" width="17.85546875" style="1" customWidth="1"/>
    <col min="5" max="5" width="23.85546875" customWidth="1"/>
    <col min="6" max="6" width="23.7109375" customWidth="1"/>
    <col min="7" max="8" width="18.85546875" customWidth="1"/>
    <col min="9" max="9" width="20.7109375" style="50" customWidth="1"/>
    <col min="10" max="10" width="9.140625" style="50"/>
  </cols>
  <sheetData>
    <row r="1" spans="1:9" ht="22.5" customHeight="1" thickBot="1" x14ac:dyDescent="0.3">
      <c r="A1" s="60" t="s">
        <v>46</v>
      </c>
      <c r="B1" s="61"/>
      <c r="C1" s="61"/>
      <c r="D1" s="61"/>
      <c r="E1" s="61"/>
      <c r="F1" s="61"/>
      <c r="G1" s="61"/>
      <c r="H1" s="61"/>
      <c r="I1" s="62"/>
    </row>
    <row r="2" spans="1:9" ht="22.5" customHeight="1" thickBot="1" x14ac:dyDescent="0.3">
      <c r="A2" s="52" t="s">
        <v>48</v>
      </c>
      <c r="B2" s="53"/>
      <c r="C2" s="53"/>
      <c r="D2" s="53"/>
      <c r="E2" s="53"/>
      <c r="F2" s="52" t="str">
        <f>Eventos!F2</f>
        <v>ANO:</v>
      </c>
      <c r="G2" s="53"/>
      <c r="H2" s="53"/>
      <c r="I2" s="63"/>
    </row>
    <row r="3" spans="1:9" x14ac:dyDescent="0.25">
      <c r="A3" s="25"/>
      <c r="B3" s="3"/>
      <c r="C3" s="25"/>
      <c r="D3" s="13"/>
      <c r="E3" s="3"/>
      <c r="F3" s="3"/>
      <c r="G3" s="3"/>
      <c r="H3" s="3"/>
    </row>
    <row r="4" spans="1:9" ht="38.25" x14ac:dyDescent="0.25">
      <c r="A4" s="12" t="s">
        <v>1</v>
      </c>
      <c r="B4" s="11" t="s">
        <v>2</v>
      </c>
      <c r="C4" s="12" t="s">
        <v>27</v>
      </c>
      <c r="D4" s="12" t="s">
        <v>3</v>
      </c>
      <c r="E4" s="12" t="s">
        <v>4</v>
      </c>
      <c r="F4" s="12" t="s">
        <v>5</v>
      </c>
      <c r="G4" s="12" t="s">
        <v>6</v>
      </c>
      <c r="H4" s="11" t="s">
        <v>7</v>
      </c>
      <c r="I4" s="11" t="s">
        <v>49</v>
      </c>
    </row>
    <row r="5" spans="1:9" x14ac:dyDescent="0.25">
      <c r="A5" s="45"/>
      <c r="B5" s="46"/>
      <c r="C5" s="47"/>
      <c r="D5" s="45"/>
      <c r="E5" s="45"/>
      <c r="F5" s="45"/>
      <c r="G5" s="45"/>
      <c r="H5" s="48">
        <f>IFERROR(G5*F5,"-")</f>
        <v>0</v>
      </c>
      <c r="I5" s="51"/>
    </row>
    <row r="6" spans="1:9" x14ac:dyDescent="0.25">
      <c r="A6" s="45"/>
      <c r="B6" s="46"/>
      <c r="C6" s="47"/>
      <c r="D6" s="45"/>
      <c r="E6" s="45"/>
      <c r="F6" s="45"/>
      <c r="G6" s="45"/>
      <c r="H6" s="48">
        <f t="shared" ref="H6:H51" si="0">IFERROR(G6*F6,"-")</f>
        <v>0</v>
      </c>
      <c r="I6" s="51"/>
    </row>
    <row r="7" spans="1:9" x14ac:dyDescent="0.25">
      <c r="A7" s="45"/>
      <c r="B7" s="46"/>
      <c r="C7" s="47"/>
      <c r="D7" s="45"/>
      <c r="E7" s="45"/>
      <c r="F7" s="45"/>
      <c r="G7" s="45"/>
      <c r="H7" s="48">
        <f t="shared" si="0"/>
        <v>0</v>
      </c>
      <c r="I7" s="51"/>
    </row>
    <row r="8" spans="1:9" x14ac:dyDescent="0.25">
      <c r="A8" s="45"/>
      <c r="B8" s="46"/>
      <c r="C8" s="47"/>
      <c r="D8" s="45"/>
      <c r="E8" s="49"/>
      <c r="F8" s="49"/>
      <c r="G8" s="49"/>
      <c r="H8" s="48">
        <f t="shared" si="0"/>
        <v>0</v>
      </c>
      <c r="I8" s="51"/>
    </row>
    <row r="9" spans="1:9" x14ac:dyDescent="0.25">
      <c r="A9" s="45"/>
      <c r="B9" s="46"/>
      <c r="C9" s="47"/>
      <c r="D9" s="45"/>
      <c r="E9" s="45"/>
      <c r="F9" s="45"/>
      <c r="G9" s="45"/>
      <c r="H9" s="48">
        <f t="shared" si="0"/>
        <v>0</v>
      </c>
      <c r="I9" s="51"/>
    </row>
    <row r="10" spans="1:9" x14ac:dyDescent="0.25">
      <c r="A10" s="45"/>
      <c r="B10" s="46"/>
      <c r="C10" s="47"/>
      <c r="D10" s="45"/>
      <c r="E10" s="45"/>
      <c r="F10" s="45"/>
      <c r="G10" s="45"/>
      <c r="H10" s="48">
        <f t="shared" si="0"/>
        <v>0</v>
      </c>
      <c r="I10" s="51"/>
    </row>
    <row r="11" spans="1:9" x14ac:dyDescent="0.25">
      <c r="A11" s="45"/>
      <c r="B11" s="46"/>
      <c r="C11" s="47"/>
      <c r="D11" s="45"/>
      <c r="E11" s="45"/>
      <c r="F11" s="45"/>
      <c r="G11" s="45"/>
      <c r="H11" s="48">
        <f t="shared" si="0"/>
        <v>0</v>
      </c>
      <c r="I11" s="51"/>
    </row>
    <row r="12" spans="1:9" x14ac:dyDescent="0.25">
      <c r="A12" s="45"/>
      <c r="B12" s="46"/>
      <c r="C12" s="47"/>
      <c r="D12" s="45"/>
      <c r="E12" s="45"/>
      <c r="F12" s="45"/>
      <c r="G12" s="45"/>
      <c r="H12" s="48">
        <f t="shared" si="0"/>
        <v>0</v>
      </c>
      <c r="I12" s="51"/>
    </row>
    <row r="13" spans="1:9" x14ac:dyDescent="0.25">
      <c r="A13" s="45"/>
      <c r="B13" s="46"/>
      <c r="C13" s="47"/>
      <c r="D13" s="45"/>
      <c r="E13" s="45"/>
      <c r="F13" s="45"/>
      <c r="G13" s="45"/>
      <c r="H13" s="48">
        <f t="shared" si="0"/>
        <v>0</v>
      </c>
      <c r="I13" s="51"/>
    </row>
    <row r="14" spans="1:9" x14ac:dyDescent="0.25">
      <c r="A14" s="45"/>
      <c r="B14" s="46"/>
      <c r="C14" s="47"/>
      <c r="D14" s="45"/>
      <c r="E14" s="45"/>
      <c r="F14" s="45"/>
      <c r="G14" s="45"/>
      <c r="H14" s="48">
        <f t="shared" si="0"/>
        <v>0</v>
      </c>
      <c r="I14" s="51"/>
    </row>
    <row r="15" spans="1:9" x14ac:dyDescent="0.25">
      <c r="A15" s="45"/>
      <c r="B15" s="46"/>
      <c r="C15" s="47"/>
      <c r="D15" s="45"/>
      <c r="E15" s="45"/>
      <c r="F15" s="45"/>
      <c r="G15" s="45"/>
      <c r="H15" s="48">
        <f t="shared" si="0"/>
        <v>0</v>
      </c>
      <c r="I15" s="51"/>
    </row>
    <row r="16" spans="1:9" x14ac:dyDescent="0.25">
      <c r="A16" s="45"/>
      <c r="B16" s="46"/>
      <c r="C16" s="47"/>
      <c r="D16" s="45"/>
      <c r="E16" s="45"/>
      <c r="F16" s="45"/>
      <c r="G16" s="45"/>
      <c r="H16" s="48">
        <f t="shared" si="0"/>
        <v>0</v>
      </c>
      <c r="I16" s="51"/>
    </row>
    <row r="17" spans="1:9" x14ac:dyDescent="0.25">
      <c r="A17" s="45"/>
      <c r="B17" s="46"/>
      <c r="C17" s="47"/>
      <c r="D17" s="45"/>
      <c r="E17" s="45"/>
      <c r="F17" s="45"/>
      <c r="G17" s="45"/>
      <c r="H17" s="48">
        <f t="shared" si="0"/>
        <v>0</v>
      </c>
      <c r="I17" s="51"/>
    </row>
    <row r="18" spans="1:9" x14ac:dyDescent="0.25">
      <c r="A18" s="45"/>
      <c r="B18" s="46"/>
      <c r="C18" s="47"/>
      <c r="D18" s="45"/>
      <c r="E18" s="45"/>
      <c r="F18" s="45"/>
      <c r="G18" s="45"/>
      <c r="H18" s="48">
        <f t="shared" si="0"/>
        <v>0</v>
      </c>
      <c r="I18" s="51"/>
    </row>
    <row r="19" spans="1:9" x14ac:dyDescent="0.25">
      <c r="A19" s="45"/>
      <c r="B19" s="46"/>
      <c r="C19" s="47"/>
      <c r="D19" s="45"/>
      <c r="E19" s="45"/>
      <c r="F19" s="45"/>
      <c r="G19" s="45"/>
      <c r="H19" s="48">
        <f t="shared" si="0"/>
        <v>0</v>
      </c>
      <c r="I19" s="51"/>
    </row>
    <row r="20" spans="1:9" x14ac:dyDescent="0.25">
      <c r="A20" s="45"/>
      <c r="B20" s="46"/>
      <c r="C20" s="47"/>
      <c r="D20" s="45"/>
      <c r="E20" s="45"/>
      <c r="F20" s="45"/>
      <c r="G20" s="45"/>
      <c r="H20" s="48">
        <f t="shared" si="0"/>
        <v>0</v>
      </c>
      <c r="I20" s="51"/>
    </row>
    <row r="21" spans="1:9" x14ac:dyDescent="0.25">
      <c r="A21" s="45"/>
      <c r="B21" s="46"/>
      <c r="C21" s="47"/>
      <c r="D21" s="45"/>
      <c r="E21" s="45"/>
      <c r="F21" s="45"/>
      <c r="G21" s="45"/>
      <c r="H21" s="48">
        <f t="shared" si="0"/>
        <v>0</v>
      </c>
      <c r="I21" s="51"/>
    </row>
    <row r="22" spans="1:9" x14ac:dyDescent="0.25">
      <c r="A22" s="45"/>
      <c r="B22" s="46"/>
      <c r="C22" s="47"/>
      <c r="D22" s="45"/>
      <c r="E22" s="45"/>
      <c r="F22" s="45"/>
      <c r="G22" s="45"/>
      <c r="H22" s="48">
        <f t="shared" si="0"/>
        <v>0</v>
      </c>
      <c r="I22" s="51"/>
    </row>
    <row r="23" spans="1:9" x14ac:dyDescent="0.25">
      <c r="A23" s="45"/>
      <c r="B23" s="46"/>
      <c r="C23" s="47"/>
      <c r="D23" s="45"/>
      <c r="E23" s="45"/>
      <c r="F23" s="45"/>
      <c r="G23" s="45"/>
      <c r="H23" s="48">
        <f t="shared" si="0"/>
        <v>0</v>
      </c>
      <c r="I23" s="51"/>
    </row>
    <row r="24" spans="1:9" x14ac:dyDescent="0.25">
      <c r="A24" s="45"/>
      <c r="B24" s="46"/>
      <c r="C24" s="47"/>
      <c r="D24" s="45"/>
      <c r="E24" s="45"/>
      <c r="F24" s="45"/>
      <c r="G24" s="45"/>
      <c r="H24" s="48">
        <f t="shared" si="0"/>
        <v>0</v>
      </c>
      <c r="I24" s="51"/>
    </row>
    <row r="25" spans="1:9" x14ac:dyDescent="0.25">
      <c r="A25" s="45"/>
      <c r="B25" s="46"/>
      <c r="C25" s="47"/>
      <c r="D25" s="45"/>
      <c r="E25" s="45"/>
      <c r="F25" s="45"/>
      <c r="G25" s="45"/>
      <c r="H25" s="48">
        <f t="shared" si="0"/>
        <v>0</v>
      </c>
      <c r="I25" s="51"/>
    </row>
    <row r="26" spans="1:9" x14ac:dyDescent="0.25">
      <c r="A26" s="45"/>
      <c r="B26" s="46"/>
      <c r="C26" s="47"/>
      <c r="D26" s="45"/>
      <c r="E26" s="45"/>
      <c r="F26" s="45"/>
      <c r="G26" s="45"/>
      <c r="H26" s="48">
        <f t="shared" si="0"/>
        <v>0</v>
      </c>
      <c r="I26" s="51"/>
    </row>
    <row r="27" spans="1:9" x14ac:dyDescent="0.25">
      <c r="A27" s="45"/>
      <c r="B27" s="46"/>
      <c r="C27" s="47"/>
      <c r="D27" s="45"/>
      <c r="E27" s="45"/>
      <c r="F27" s="45"/>
      <c r="G27" s="45"/>
      <c r="H27" s="48">
        <f t="shared" si="0"/>
        <v>0</v>
      </c>
      <c r="I27" s="51"/>
    </row>
    <row r="28" spans="1:9" x14ac:dyDescent="0.25">
      <c r="A28" s="45"/>
      <c r="B28" s="46"/>
      <c r="C28" s="47"/>
      <c r="D28" s="45"/>
      <c r="E28" s="45"/>
      <c r="F28" s="45"/>
      <c r="G28" s="45"/>
      <c r="H28" s="48">
        <f t="shared" si="0"/>
        <v>0</v>
      </c>
      <c r="I28" s="51"/>
    </row>
    <row r="29" spans="1:9" x14ac:dyDescent="0.25">
      <c r="A29" s="45"/>
      <c r="B29" s="46"/>
      <c r="C29" s="47"/>
      <c r="D29" s="45"/>
      <c r="E29" s="45"/>
      <c r="F29" s="45"/>
      <c r="G29" s="45"/>
      <c r="H29" s="48">
        <f t="shared" si="0"/>
        <v>0</v>
      </c>
      <c r="I29" s="51"/>
    </row>
    <row r="30" spans="1:9" x14ac:dyDescent="0.25">
      <c r="A30" s="45"/>
      <c r="B30" s="46"/>
      <c r="C30" s="47"/>
      <c r="D30" s="45"/>
      <c r="E30" s="45"/>
      <c r="F30" s="45"/>
      <c r="G30" s="45"/>
      <c r="H30" s="48">
        <f t="shared" si="0"/>
        <v>0</v>
      </c>
      <c r="I30" s="51"/>
    </row>
    <row r="31" spans="1:9" x14ac:dyDescent="0.25">
      <c r="A31" s="45"/>
      <c r="B31" s="46"/>
      <c r="C31" s="47"/>
      <c r="D31" s="45"/>
      <c r="E31" s="45"/>
      <c r="F31" s="45"/>
      <c r="G31" s="45"/>
      <c r="H31" s="48">
        <f t="shared" si="0"/>
        <v>0</v>
      </c>
      <c r="I31" s="51"/>
    </row>
    <row r="32" spans="1:9" x14ac:dyDescent="0.25">
      <c r="A32" s="45"/>
      <c r="B32" s="46"/>
      <c r="C32" s="47"/>
      <c r="D32" s="45"/>
      <c r="E32" s="45"/>
      <c r="F32" s="45"/>
      <c r="G32" s="45"/>
      <c r="H32" s="48">
        <f t="shared" si="0"/>
        <v>0</v>
      </c>
      <c r="I32" s="51"/>
    </row>
    <row r="33" spans="1:9" x14ac:dyDescent="0.25">
      <c r="A33" s="45"/>
      <c r="B33" s="46"/>
      <c r="C33" s="47"/>
      <c r="D33" s="45"/>
      <c r="E33" s="45"/>
      <c r="F33" s="45"/>
      <c r="G33" s="45"/>
      <c r="H33" s="48">
        <f t="shared" si="0"/>
        <v>0</v>
      </c>
      <c r="I33" s="51"/>
    </row>
    <row r="34" spans="1:9" x14ac:dyDescent="0.25">
      <c r="A34" s="45"/>
      <c r="B34" s="46"/>
      <c r="C34" s="47"/>
      <c r="D34" s="45"/>
      <c r="E34" s="45"/>
      <c r="F34" s="45"/>
      <c r="G34" s="45"/>
      <c r="H34" s="48">
        <f t="shared" si="0"/>
        <v>0</v>
      </c>
      <c r="I34" s="51"/>
    </row>
    <row r="35" spans="1:9" x14ac:dyDescent="0.25">
      <c r="A35" s="45"/>
      <c r="B35" s="46"/>
      <c r="C35" s="47"/>
      <c r="D35" s="45"/>
      <c r="E35" s="45"/>
      <c r="F35" s="45"/>
      <c r="G35" s="45"/>
      <c r="H35" s="48">
        <f t="shared" si="0"/>
        <v>0</v>
      </c>
      <c r="I35" s="51"/>
    </row>
    <row r="36" spans="1:9" x14ac:dyDescent="0.25">
      <c r="A36" s="45"/>
      <c r="B36" s="46"/>
      <c r="C36" s="47"/>
      <c r="D36" s="45"/>
      <c r="E36" s="45"/>
      <c r="F36" s="45"/>
      <c r="G36" s="45"/>
      <c r="H36" s="48">
        <f t="shared" si="0"/>
        <v>0</v>
      </c>
      <c r="I36" s="51"/>
    </row>
    <row r="37" spans="1:9" x14ac:dyDescent="0.25">
      <c r="A37" s="45"/>
      <c r="B37" s="46"/>
      <c r="C37" s="47"/>
      <c r="D37" s="45"/>
      <c r="E37" s="45"/>
      <c r="F37" s="45"/>
      <c r="G37" s="45"/>
      <c r="H37" s="48">
        <f t="shared" si="0"/>
        <v>0</v>
      </c>
      <c r="I37" s="51"/>
    </row>
    <row r="38" spans="1:9" x14ac:dyDescent="0.25">
      <c r="A38" s="45"/>
      <c r="B38" s="46"/>
      <c r="C38" s="47"/>
      <c r="D38" s="45"/>
      <c r="E38" s="45"/>
      <c r="F38" s="45"/>
      <c r="G38" s="45"/>
      <c r="H38" s="48">
        <f t="shared" si="0"/>
        <v>0</v>
      </c>
      <c r="I38" s="51"/>
    </row>
    <row r="39" spans="1:9" x14ac:dyDescent="0.25">
      <c r="A39" s="45"/>
      <c r="B39" s="46"/>
      <c r="C39" s="47"/>
      <c r="D39" s="45"/>
      <c r="E39" s="45"/>
      <c r="F39" s="45"/>
      <c r="G39" s="45"/>
      <c r="H39" s="48">
        <f t="shared" si="0"/>
        <v>0</v>
      </c>
      <c r="I39" s="51"/>
    </row>
    <row r="40" spans="1:9" x14ac:dyDescent="0.25">
      <c r="A40" s="45"/>
      <c r="B40" s="46"/>
      <c r="C40" s="47"/>
      <c r="D40" s="45"/>
      <c r="E40" s="45"/>
      <c r="F40" s="45"/>
      <c r="G40" s="45"/>
      <c r="H40" s="48">
        <f t="shared" si="0"/>
        <v>0</v>
      </c>
      <c r="I40" s="51"/>
    </row>
    <row r="41" spans="1:9" x14ac:dyDescent="0.25">
      <c r="A41" s="45"/>
      <c r="B41" s="46"/>
      <c r="C41" s="47"/>
      <c r="D41" s="45"/>
      <c r="E41" s="45"/>
      <c r="F41" s="45"/>
      <c r="G41" s="45"/>
      <c r="H41" s="48">
        <f t="shared" si="0"/>
        <v>0</v>
      </c>
      <c r="I41" s="51"/>
    </row>
    <row r="42" spans="1:9" x14ac:dyDescent="0.25">
      <c r="A42" s="45"/>
      <c r="B42" s="46"/>
      <c r="C42" s="47"/>
      <c r="D42" s="45"/>
      <c r="E42" s="45"/>
      <c r="F42" s="45"/>
      <c r="G42" s="45"/>
      <c r="H42" s="48">
        <f t="shared" si="0"/>
        <v>0</v>
      </c>
      <c r="I42" s="51"/>
    </row>
    <row r="43" spans="1:9" x14ac:dyDescent="0.25">
      <c r="A43" s="45"/>
      <c r="B43" s="46"/>
      <c r="C43" s="47"/>
      <c r="D43" s="45"/>
      <c r="E43" s="45"/>
      <c r="F43" s="45"/>
      <c r="G43" s="45"/>
      <c r="H43" s="48">
        <f t="shared" si="0"/>
        <v>0</v>
      </c>
      <c r="I43" s="51"/>
    </row>
    <row r="44" spans="1:9" x14ac:dyDescent="0.25">
      <c r="A44" s="45"/>
      <c r="B44" s="46"/>
      <c r="C44" s="47"/>
      <c r="D44" s="45"/>
      <c r="E44" s="45"/>
      <c r="F44" s="45"/>
      <c r="G44" s="45"/>
      <c r="H44" s="48">
        <f t="shared" si="0"/>
        <v>0</v>
      </c>
      <c r="I44" s="51"/>
    </row>
    <row r="45" spans="1:9" x14ac:dyDescent="0.25">
      <c r="A45" s="45"/>
      <c r="B45" s="46"/>
      <c r="C45" s="47"/>
      <c r="D45" s="45"/>
      <c r="E45" s="45"/>
      <c r="F45" s="45"/>
      <c r="G45" s="45"/>
      <c r="H45" s="48">
        <f t="shared" si="0"/>
        <v>0</v>
      </c>
      <c r="I45" s="51"/>
    </row>
    <row r="46" spans="1:9" x14ac:dyDescent="0.25">
      <c r="A46" s="45"/>
      <c r="B46" s="46"/>
      <c r="C46" s="47"/>
      <c r="D46" s="45"/>
      <c r="E46" s="45"/>
      <c r="F46" s="45"/>
      <c r="G46" s="45"/>
      <c r="H46" s="48">
        <f t="shared" si="0"/>
        <v>0</v>
      </c>
      <c r="I46" s="51"/>
    </row>
    <row r="47" spans="1:9" x14ac:dyDescent="0.25">
      <c r="A47" s="45"/>
      <c r="B47" s="46"/>
      <c r="C47" s="47"/>
      <c r="D47" s="45"/>
      <c r="E47" s="45"/>
      <c r="F47" s="45"/>
      <c r="G47" s="45"/>
      <c r="H47" s="48">
        <f t="shared" si="0"/>
        <v>0</v>
      </c>
      <c r="I47" s="51"/>
    </row>
    <row r="48" spans="1:9" x14ac:dyDescent="0.25">
      <c r="A48" s="45"/>
      <c r="B48" s="46"/>
      <c r="C48" s="47"/>
      <c r="D48" s="45"/>
      <c r="E48" s="45"/>
      <c r="F48" s="45"/>
      <c r="G48" s="45"/>
      <c r="H48" s="48">
        <f t="shared" si="0"/>
        <v>0</v>
      </c>
      <c r="I48" s="51"/>
    </row>
    <row r="49" spans="1:9" x14ac:dyDescent="0.25">
      <c r="A49" s="45"/>
      <c r="B49" s="46"/>
      <c r="C49" s="47"/>
      <c r="D49" s="45"/>
      <c r="E49" s="45"/>
      <c r="F49" s="45"/>
      <c r="G49" s="45"/>
      <c r="H49" s="48">
        <f t="shared" si="0"/>
        <v>0</v>
      </c>
      <c r="I49" s="51"/>
    </row>
    <row r="50" spans="1:9" x14ac:dyDescent="0.25">
      <c r="A50" s="45"/>
      <c r="B50" s="46"/>
      <c r="C50" s="47"/>
      <c r="D50" s="45"/>
      <c r="E50" s="45"/>
      <c r="F50" s="45"/>
      <c r="G50" s="45"/>
      <c r="H50" s="48">
        <f t="shared" si="0"/>
        <v>0</v>
      </c>
      <c r="I50" s="51"/>
    </row>
    <row r="51" spans="1:9" x14ac:dyDescent="0.25">
      <c r="A51" s="45"/>
      <c r="B51" s="46"/>
      <c r="C51" s="47"/>
      <c r="D51" s="45"/>
      <c r="E51" s="45"/>
      <c r="F51" s="45"/>
      <c r="G51" s="45"/>
      <c r="H51" s="48">
        <f t="shared" si="0"/>
        <v>0</v>
      </c>
      <c r="I51" s="51"/>
    </row>
    <row r="53" spans="1:9" x14ac:dyDescent="0.25">
      <c r="A53" s="77" t="s">
        <v>51</v>
      </c>
      <c r="B53" s="77"/>
      <c r="C53" s="77"/>
      <c r="D53" s="77"/>
      <c r="E53" s="77"/>
      <c r="F53" s="77"/>
      <c r="G53" s="77"/>
      <c r="H53" s="77"/>
      <c r="I53" s="77"/>
    </row>
  </sheetData>
  <sheetProtection algorithmName="SHA-512" hashValue="WWJl3KqvLAbqGOc2Ej1h0w4U21HnfPhGS3dDuLpVk4VPIQAxh8SBEFscS+EWnmGD5So7uEFkQHNR1BZKjGFM2Q==" saltValue="vIlH5r+ogMZvZ/4UC6EaPw==" spinCount="100000" sheet="1" objects="1" scenarios="1" formatCells="0" formatRows="0" insertRows="0" deleteRows="0" sort="0" autoFilter="0"/>
  <autoFilter ref="A4:H4"/>
  <sortState ref="A5:H51">
    <sortCondition ref="D5:D51"/>
  </sortState>
  <mergeCells count="4">
    <mergeCell ref="A2:E2"/>
    <mergeCell ref="A1:I1"/>
    <mergeCell ref="F2:I2"/>
    <mergeCell ref="A53:I53"/>
  </mergeCells>
  <conditionalFormatting sqref="G5:G51">
    <cfRule type="cellIs" dxfId="2" priority="3" operator="lessThan">
      <formula>80</formula>
    </cfRule>
    <cfRule type="cellIs" dxfId="1" priority="2" operator="greaterThanOrEqual">
      <formula>80</formula>
    </cfRule>
    <cfRule type="cellIs" dxfId="0" priority="1" operator="equal">
      <formula>0</formula>
    </cfRule>
  </conditionalFormatting>
  <dataValidations count="2">
    <dataValidation type="list" allowBlank="1" showInputMessage="1" showErrorMessage="1" sqref="A5:A51">
      <formula1>"DG,C.Chocotec,CCQA,Tecnolat,Cetea,CTC,Fruthotec"</formula1>
    </dataValidation>
    <dataValidation type="list" allowBlank="1" showInputMessage="1" showErrorMessage="1" sqref="D5:D51">
      <formula1>"Janeiro,Fevereiro,Março,Abril,Maio,Junho,Julho,Agosto,Setembro,Outubro,Novembro,Dezembro"</formula1>
    </dataValidation>
  </dataValidations>
  <pageMargins left="0.70866141732283472" right="0.70866141732283472" top="0.74803149606299213" bottom="0.74803149606299213" header="0.31496062992125984" footer="0.31496062992125984"/>
  <pageSetup paperSize="9" scale="59" orientation="landscape" verticalDpi="300" r:id="rId1"/>
  <headerFooter>
    <oddHeader>&amp;R&amp;P/&amp;N</oddHeader>
    <oddFooter>&amp;L&amp;"Arial,Normal"&amp;10FQ-08.39 (anexo à IT-07.01.03) - RA -  revisão 00 de 02/08/21 - Página 2/5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view="pageBreakPreview" zoomScale="60" zoomScaleNormal="80" workbookViewId="0">
      <selection activeCell="B56" sqref="B56"/>
    </sheetView>
  </sheetViews>
  <sheetFormatPr defaultRowHeight="15" x14ac:dyDescent="0.25"/>
  <cols>
    <col min="1" max="1" width="24.7109375" style="17" bestFit="1" customWidth="1"/>
    <col min="2" max="2" width="23.85546875" style="17" customWidth="1"/>
    <col min="3" max="3" width="22" style="17" bestFit="1" customWidth="1"/>
    <col min="4" max="4" width="21" style="17" customWidth="1"/>
    <col min="5" max="5" width="21.140625" style="17" customWidth="1"/>
    <col min="6" max="17" width="13.140625" style="26" customWidth="1"/>
    <col min="18" max="18" width="9.140625" style="26"/>
  </cols>
  <sheetData>
    <row r="1" spans="1:19" ht="25.5" customHeight="1" thickBot="1" x14ac:dyDescent="0.3">
      <c r="A1" s="70" t="s">
        <v>21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2"/>
    </row>
    <row r="2" spans="1:19" ht="19.5" x14ac:dyDescent="0.3">
      <c r="A2" s="73" t="str">
        <f>Eventos!F2</f>
        <v>ANO: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1:19" ht="15.75" thickBot="1" x14ac:dyDescent="0.3">
      <c r="A3" s="3"/>
      <c r="B3" s="3"/>
      <c r="C3" s="3"/>
      <c r="D3" s="3"/>
    </row>
    <row r="4" spans="1:19" ht="15.75" thickBot="1" x14ac:dyDescent="0.3">
      <c r="A4" s="67" t="s">
        <v>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9"/>
    </row>
    <row r="5" spans="1:19" x14ac:dyDescent="0.25">
      <c r="A5" s="3"/>
      <c r="B5" s="3"/>
      <c r="C5" s="3"/>
      <c r="D5" s="3"/>
    </row>
    <row r="6" spans="1:19" ht="38.25" x14ac:dyDescent="0.25">
      <c r="A6" s="6" t="s">
        <v>0</v>
      </c>
      <c r="B6" s="7" t="s">
        <v>7</v>
      </c>
      <c r="C6" s="7" t="s">
        <v>19</v>
      </c>
      <c r="D6" s="8" t="s">
        <v>34</v>
      </c>
      <c r="E6" s="7" t="s">
        <v>18</v>
      </c>
      <c r="F6" s="7" t="s">
        <v>31</v>
      </c>
      <c r="G6" s="7" t="s">
        <v>32</v>
      </c>
      <c r="H6" s="7" t="s">
        <v>33</v>
      </c>
      <c r="I6" s="7" t="s">
        <v>36</v>
      </c>
      <c r="J6" s="7" t="s">
        <v>37</v>
      </c>
      <c r="K6" s="7" t="s">
        <v>24</v>
      </c>
      <c r="L6" s="7" t="s">
        <v>25</v>
      </c>
      <c r="M6" s="7" t="s">
        <v>23</v>
      </c>
      <c r="N6" s="7" t="s">
        <v>30</v>
      </c>
      <c r="O6" s="7" t="s">
        <v>26</v>
      </c>
      <c r="P6" s="7" t="s">
        <v>22</v>
      </c>
      <c r="Q6" s="7" t="s">
        <v>29</v>
      </c>
      <c r="R6" s="7" t="s">
        <v>38</v>
      </c>
      <c r="S6" s="3"/>
    </row>
    <row r="7" spans="1:19" x14ac:dyDescent="0.25">
      <c r="A7" s="5" t="s">
        <v>16</v>
      </c>
      <c r="B7" s="2">
        <f>SUMIF(Eventos!A5:A51,"C.Chocotec",Eventos!H5:H51)</f>
        <v>0</v>
      </c>
      <c r="C7" s="2">
        <f>SUMIF(Eventos!A5:A51,"C.Chocotec",Eventos!F5:F51)</f>
        <v>0</v>
      </c>
      <c r="D7" s="27" t="str">
        <f>IFERROR(B7/C7,"---")</f>
        <v>---</v>
      </c>
      <c r="E7" s="4">
        <f>SUMIF(Eventos!A5:A51,"C.Chocotec",Eventos!E5:E51)</f>
        <v>0</v>
      </c>
      <c r="F7" s="32" t="str">
        <f>IFERROR((SUMIFS(Eventos!H5:H51,Eventos!D5:D51,"Janeiro",Eventos!A5:A51,"C.Chocotec"))/(SUMIFS(Eventos!F5:F51,Eventos!D5:D51,"Janeiro",Eventos!A5:A51,"C.Chocotec")),"-")</f>
        <v>-</v>
      </c>
      <c r="G7" s="32" t="str">
        <f>IFERROR((SUMIFS(Eventos!H5:H51,Eventos!D5:D51,"Fevereiro",Eventos!A5:A51,"C.Chocotec"))/(SUMIFS(Eventos!F5:F51,Eventos!D5:D51,"Fevereiro",Eventos!A5:A51,"C.Chocotec")),"-")</f>
        <v>-</v>
      </c>
      <c r="H7" s="32" t="str">
        <f>IFERROR((SUMIFS(Eventos!H5:H51,Eventos!D5:D51,"Março",Eventos!A5:A51,"C.Chocotec"))/(SUMIFS(Eventos!F5:F51,Eventos!D5:D51,"Março",Eventos!A5:A51,"C.Chocotec")),"-")</f>
        <v>-</v>
      </c>
      <c r="I7" s="32" t="str">
        <f>IFERROR((SUMIFS(Eventos!H5:H51,Eventos!D5:D51,"Abril",Eventos!A5:A51,"C.Chocotec"))/(SUMIFS(Eventos!F5:F51,Eventos!D5:D51,"Abril",Eventos!A5:A51,"C.Chocotec")),"-")</f>
        <v>-</v>
      </c>
      <c r="J7" s="32" t="str">
        <f>IFERROR((SUMIFS(Eventos!H5:H51,Eventos!D5:D51,"Maio",Eventos!A5:A51,"C.Chocotec"))/(SUMIFS(Eventos!F5:F51,Eventos!D5:D51,"Maio",Eventos!A5:A51,"C.Chocotec")),"-")</f>
        <v>-</v>
      </c>
      <c r="K7" s="32" t="str">
        <f>IFERROR((SUMIFS(Eventos!H5:H51,Eventos!D5:D51,"Junho",Eventos!A5:A51,"C.Chocotec"))/(SUMIFS(Eventos!F5:F51,Eventos!D5:D51,"Junho",Eventos!A5:A51,"C.Chocotec")),"-")</f>
        <v>-</v>
      </c>
      <c r="L7" s="32" t="str">
        <f>IFERROR((SUMIFS(Eventos!H5:H51,Eventos!D5:D51,"Julho",Eventos!A5:A51,"C.Chocotec"))/(SUMIFS(Eventos!F5:F51,Eventos!D5:D51,"Julho",Eventos!A5:A51,"C.Chocotec")),"-")</f>
        <v>-</v>
      </c>
      <c r="M7" s="32" t="str">
        <f>IFERROR((SUMIFS(Eventos!H5:H51,Eventos!D5:D51,"Agosto",Eventos!A5:A51,"C.Chocotec"))/(SUMIFS(Eventos!F5:F51,Eventos!D5:D51,"Agosto",Eventos!A5:A51,"C.Chocotec")),"-")</f>
        <v>-</v>
      </c>
      <c r="N7" s="32" t="str">
        <f>IFERROR((SUMIFS(Eventos!H5:H51,Eventos!D5:D51,"Setembro",Eventos!A5:A51,"C.Chocotec"))/(SUMIFS(Eventos!F5:F51,Eventos!D5:D51,"Setembro",Eventos!A5:A51,"C.Chocotec")),"-")</f>
        <v>-</v>
      </c>
      <c r="O7" s="32" t="str">
        <f>IFERROR((SUMIFS(Eventos!H5:H51,Eventos!D5:D51,"Outubro",Eventos!A5:A51,"C.Chocotec"))/(SUMIFS(Eventos!F5:F51,Eventos!D5:D51,"Outubro",Eventos!A5:A51,"C.Chocotec")),"-")</f>
        <v>-</v>
      </c>
      <c r="P7" s="32" t="str">
        <f>IFERROR((SUMIFS(Eventos!H5:H51,Eventos!D5:D51,"Novembro",Eventos!A5:A51,"C.Chocotec"))/(SUMIFS(Eventos!F5:F51,Eventos!D5:D51,"Novembro",Eventos!A5:A51,"C.Chocotec")),"-")</f>
        <v>-</v>
      </c>
      <c r="Q7" s="32" t="str">
        <f>IFERROR((SUMIFS(Eventos!H5:H51,Eventos!D5:D51,"Dezembro",Eventos!A5:A51,"C.Chocotec"))/(SUMIFS(Eventos!F5:F51,Eventos!D5:D51,"Dezembro",Eventos!A5:A51,"C.Chocotec")),"-")</f>
        <v>-</v>
      </c>
      <c r="R7" s="32" t="str">
        <f>D7</f>
        <v>---</v>
      </c>
      <c r="S7" s="3"/>
    </row>
    <row r="8" spans="1:19" x14ac:dyDescent="0.25">
      <c r="A8" s="5" t="s">
        <v>10</v>
      </c>
      <c r="B8" s="2">
        <f>SUMIF(Eventos!A5:A51,"CCQA",Eventos!H5:H51)</f>
        <v>0</v>
      </c>
      <c r="C8" s="2">
        <f>SUMIF(Eventos!A5:A51,"CCQA",Eventos!F5:F51)</f>
        <v>0</v>
      </c>
      <c r="D8" s="27" t="str">
        <f t="shared" ref="D8:D14" si="0">IFERROR(B8/C8,"---")</f>
        <v>---</v>
      </c>
      <c r="E8" s="4">
        <f>SUMIF(Eventos!A5:A51,"CCQA",Eventos!E5:E51)</f>
        <v>0</v>
      </c>
      <c r="F8" s="32" t="str">
        <f>IFERROR((SUMIFS(Eventos!H5:H51,Eventos!D5:D51,"Janeiro",Eventos!A5:A51,"CCQA"))/(SUMIFS(Eventos!F5:F51,Eventos!D5:D51,"Janeiro",Eventos!A5:A51,"CCQA")),"-")</f>
        <v>-</v>
      </c>
      <c r="G8" s="32" t="str">
        <f>IFERROR((SUMIFS(Eventos!H5:H51,Eventos!D5:D51,"Fevereiro",Eventos!A5:A51,"CCQA"))/(SUMIFS(Eventos!F5:F51,Eventos!D5:D51,"Fevereiro",Eventos!A5:A51,"CCQA")),"-")</f>
        <v>-</v>
      </c>
      <c r="H8" s="32" t="str">
        <f>IFERROR((SUMIFS(Eventos!H5:H51,Eventos!D5:D51,"Março",Eventos!A5:A51,"CCQA"))/(SUMIFS(Eventos!F5:F51,Eventos!D5:D51,"Março",Eventos!A5:A51,"CCQA")),"-")</f>
        <v>-</v>
      </c>
      <c r="I8" s="35" t="str">
        <f>IFERROR((SUMIFS(Eventos!H5:H51,Eventos!D5:D51,"Abril",Eventos!A5:A51,"CCQA"))/(SUMIFS(Eventos!F5:F51,Eventos!D5:D51,"Abril",Eventos!A5:A51,"CCQA")),"-")</f>
        <v>-</v>
      </c>
      <c r="J8" s="35" t="str">
        <f>IFERROR((SUMIFS(Eventos!H5:H51,Eventos!D5:D51,"Maio",Eventos!A5:A51,"CCQA"))/(SUMIFS(Eventos!F5:F51,Eventos!D5:D51,"Maio",Eventos!A5:A51,"CCQA")),"-")</f>
        <v>-</v>
      </c>
      <c r="K8" s="35" t="str">
        <f>IFERROR((SUMIFS(Eventos!H5:H51,Eventos!D5:D51,"Junho",Eventos!A5:A51,"CCQA"))/(SUMIFS(Eventos!F5:F51,Eventos!D5:D51,"Junho",Eventos!A5:A51,"CCQA")),"-")</f>
        <v>-</v>
      </c>
      <c r="L8" s="35" t="str">
        <f>IFERROR((SUMIFS(Eventos!H5:H51,Eventos!D5:D51,"Julho",Eventos!A5:A51,"CCQA"))/(SUMIFS(Eventos!F5:F51,Eventos!D5:D51,"Julho",Eventos!A5:A51,"CCQA")),"-")</f>
        <v>-</v>
      </c>
      <c r="M8" s="35" t="str">
        <f>IFERROR((SUMIFS(Eventos!H5:H51,Eventos!D5:D51,"Agosto",Eventos!A5:A51,"CCQA"))/(SUMIFS(Eventos!F5:F51,Eventos!D5:D51,"Agosto",Eventos!A5:A51,"CCQA")),"-")</f>
        <v>-</v>
      </c>
      <c r="N8" s="35" t="str">
        <f>IFERROR((SUMIFS(Eventos!H5:H51,Eventos!D5:D51,"Setembro",Eventos!A5:A51,"CCQA"))/(SUMIFS(Eventos!F5:F51,Eventos!D5:D51,"Setembro",Eventos!A5:A51,"CCQA")),"-")</f>
        <v>-</v>
      </c>
      <c r="O8" s="35" t="str">
        <f>IFERROR((SUMIFS(Eventos!H5:H51,Eventos!D5:D51,"Outubro",Eventos!A5:A51,"CCQA"))/(SUMIFS(Eventos!F5:F51,Eventos!D5:D51,"Outubro",Eventos!A5:A51,"CCQA")),"-")</f>
        <v>-</v>
      </c>
      <c r="P8" s="35" t="str">
        <f>IFERROR((SUMIFS(Eventos!H5:H51,Eventos!D5:D51,"Novembro",Eventos!A5:A51,"CCQA"))/(SUMIFS(Eventos!F5:F51,Eventos!D5:D51,"Novembro",Eventos!A5:A51,"CCQA")),"-")</f>
        <v>-</v>
      </c>
      <c r="Q8" s="35" t="str">
        <f>IFERROR((SUMIFS(Eventos!H5:H51,Eventos!D5:D51,"Dezembro",Eventos!A5:A51,"CCQA"))/(SUMIFS(Eventos!F5:F51,Eventos!D5:D51,"Dezembro",Eventos!A5:A51,"CCQA")),"-")</f>
        <v>-</v>
      </c>
      <c r="R8" s="32" t="str">
        <f t="shared" ref="R8:R13" si="1">D8</f>
        <v>---</v>
      </c>
      <c r="S8" s="3"/>
    </row>
    <row r="9" spans="1:19" x14ac:dyDescent="0.25">
      <c r="A9" s="5" t="s">
        <v>11</v>
      </c>
      <c r="B9" s="2">
        <f>SUMIF(Eventos!A5:A51,"Cetea",Eventos!H5:H51)</f>
        <v>0</v>
      </c>
      <c r="C9" s="2">
        <f>SUMIF(Eventos!A5:A51,"Cetea",Eventos!F5:F51)</f>
        <v>0</v>
      </c>
      <c r="D9" s="27" t="str">
        <f t="shared" si="0"/>
        <v>---</v>
      </c>
      <c r="E9" s="4">
        <f>SUMIF(Eventos!A5:A51,"Cetea",Eventos!E5:E51)</f>
        <v>0</v>
      </c>
      <c r="F9" s="32" t="str">
        <f>IFERROR((SUMIFS(Eventos!H5:H51,Eventos!D5:D51,"Janeiro",Eventos!A5:A51,"Cetea"))/(SUMIFS(Eventos!F5:F51,Eventos!D5:D51,"Janeiro",Eventos!A5:A51,"Cetea")),"-")</f>
        <v>-</v>
      </c>
      <c r="G9" s="32" t="str">
        <f>IFERROR((SUMIFS(Eventos!H5:H51,Eventos!D5:D51,"Fevereiro",Eventos!A5:A51,"Cetea"))/(SUMIFS(Eventos!F5:F51,Eventos!D5:D51,"Fevereiro",Eventos!A5:A51,"Cetea")),"-")</f>
        <v>-</v>
      </c>
      <c r="H9" s="32" t="str">
        <f>IFERROR((SUMIFS(Eventos!H5:H51,Eventos!D5:D51,"Março",Eventos!A5:A51,"Cetea"))/(SUMIFS(Eventos!F5:F51,Eventos!D5:D51,"Março",Eventos!A5:A51,"Cetea")),"-")</f>
        <v>-</v>
      </c>
      <c r="I9" s="35" t="str">
        <f>IFERROR((SUMIFS(Eventos!H5:H51,Eventos!D5:D51,"Abril",Eventos!A5:A51,"Cetea"))/(SUMIFS(Eventos!F5:F51,Eventos!D5:D51,"Abril",Eventos!A5:A51,"Cetea")),"-")</f>
        <v>-</v>
      </c>
      <c r="J9" s="35" t="str">
        <f>IFERROR((SUMIFS(Eventos!H5:H51,Eventos!D5:D51,"Maio",Eventos!A5:A51,"Cetea"))/(SUMIFS(Eventos!F5:F51,Eventos!D5:D51,"Maio",Eventos!A5:A51,"Cetea")),"-")</f>
        <v>-</v>
      </c>
      <c r="K9" s="35" t="str">
        <f>IFERROR((SUMIFS(Eventos!H5:H51,Eventos!D5:D51,"Junho",Eventos!A5:A51,"Cetea"))/(SUMIFS(Eventos!F5:F51,Eventos!D5:D51,"Junho",Eventos!A5:A51,"Cetea")),"-")</f>
        <v>-</v>
      </c>
      <c r="L9" s="35" t="str">
        <f>IFERROR((SUMIFS(Eventos!H5:H51,Eventos!D5:D51,"Julho",Eventos!A5:A51,"Cetea"))/(SUMIFS(Eventos!F5:F51,Eventos!D5:D51,"Julho",Eventos!A5:A51,"Cetea")),"-")</f>
        <v>-</v>
      </c>
      <c r="M9" s="35" t="str">
        <f>IFERROR((SUMIFS(Eventos!H5:H51,Eventos!D5:D51,"Agosto",Eventos!A5:A51,"Cetea"))/(SUMIFS(Eventos!F5:F51,Eventos!D5:D51,"Agosto",Eventos!A5:A51,"Cetea")),"-")</f>
        <v>-</v>
      </c>
      <c r="N9" s="35" t="str">
        <f>IFERROR((SUMIFS(Eventos!H5:H51,Eventos!D5:D51,"Setembro",Eventos!A5:A51,"Cetea"))/(SUMIFS(Eventos!F5:F51,Eventos!D5:D51,"Setembro",Eventos!A5:A51,"Cetea")),"-")</f>
        <v>-</v>
      </c>
      <c r="O9" s="35" t="str">
        <f>IFERROR((SUMIFS(Eventos!H5:H51,Eventos!D5:D51,"Outubro",Eventos!A5:A51,"Cetea"))/(SUMIFS(Eventos!F5:F51,Eventos!D5:D51,"Outubro",Eventos!A5:A51,"Cetea")),"-")</f>
        <v>-</v>
      </c>
      <c r="P9" s="35" t="str">
        <f>IFERROR((SUMIFS(Eventos!H5:H51,Eventos!D5:D51,"Novembro",Eventos!A5:A51,"Cetea"))/(SUMIFS(Eventos!F5:F51,Eventos!D5:D51,"Novembro",Eventos!A5:A51,"Cetea")),"-")</f>
        <v>-</v>
      </c>
      <c r="Q9" s="35" t="str">
        <f>IFERROR((SUMIFS(Eventos!H5:H51,Eventos!D5:D51,"Dezembro",Eventos!A5:A51,"Cetea"))/(SUMIFS(Eventos!F5:F51,Eventos!D5:D51,"Dezembro",Eventos!A5:A51,"Cetea")),"-")</f>
        <v>-</v>
      </c>
      <c r="R9" s="32" t="str">
        <f t="shared" si="1"/>
        <v>---</v>
      </c>
      <c r="S9" s="3"/>
    </row>
    <row r="10" spans="1:19" x14ac:dyDescent="0.25">
      <c r="A10" s="5" t="s">
        <v>13</v>
      </c>
      <c r="B10" s="2">
        <f>SUMIF(Eventos!A5:A51,"CTC",Eventos!H5:H51)</f>
        <v>0</v>
      </c>
      <c r="C10" s="2">
        <f>SUMIF(Eventos!A5:A51,"CTC",Eventos!F5:F51)</f>
        <v>0</v>
      </c>
      <c r="D10" s="27" t="str">
        <f t="shared" si="0"/>
        <v>---</v>
      </c>
      <c r="E10" s="4">
        <f>SUMIF(Eventos!A5:A51,"CTC",Eventos!E5:E51)</f>
        <v>0</v>
      </c>
      <c r="F10" s="32" t="str">
        <f>IFERROR((SUMIFS(Eventos!H5:H51,Eventos!D5:D51,"Janeiro",Eventos!A5:A51,"CTC"))/(SUMIFS(Eventos!F5:F51,Eventos!D5:D51,"Janeiro",Eventos!A5:A51,"CTC")),"-")</f>
        <v>-</v>
      </c>
      <c r="G10" s="32" t="str">
        <f>IFERROR((SUMIFS(Eventos!H5:H51,Eventos!D5:D51,"Fevereiro",Eventos!A5:A51,"CTC"))/(SUMIFS(Eventos!F5:F51,Eventos!D5:D51,"Fevereiro",Eventos!A5:A51,"CTC")),"-")</f>
        <v>-</v>
      </c>
      <c r="H10" s="32" t="str">
        <f>IFERROR((SUMIFS(Eventos!H5:H51,Eventos!D5:D51,"Março",Eventos!A5:A51,"CTC"))/(SUMIFS(Eventos!F5:F51,Eventos!D5:D51,"Março",Eventos!A5:A51,"CTC")),"-")</f>
        <v>-</v>
      </c>
      <c r="I10" s="35" t="str">
        <f>IFERROR((SUMIFS(Eventos!H5:H51,Eventos!D5:D51,"Abril",Eventos!A5:A51,"CTC"))/(SUMIFS(Eventos!F5:F51,Eventos!D5:D51,"Abril",Eventos!A5:A51,"CTC")),"-")</f>
        <v>-</v>
      </c>
      <c r="J10" s="35" t="str">
        <f>IFERROR((SUMIFS(Eventos!H5:H51,Eventos!D5:D51,"Maio",Eventos!A5:A51,"CTC"))/(SUMIFS(Eventos!F5:F51,Eventos!D5:D51,"Maio",Eventos!A5:A51,"CTC")),"-")</f>
        <v>-</v>
      </c>
      <c r="K10" s="35" t="str">
        <f>IFERROR((SUMIFS(Eventos!H5:H51,Eventos!D5:D51,"Junho",Eventos!A5:A51,"CTC"))/(SUMIFS(Eventos!F5:F51,Eventos!D5:D51,"Junho",Eventos!A5:A51,"CTC")),"-")</f>
        <v>-</v>
      </c>
      <c r="L10" s="35" t="str">
        <f>IFERROR((SUMIFS(Eventos!H5:H51,Eventos!D5:D51,"Julho",Eventos!A5:A51,"CTC"))/(SUMIFS(Eventos!F5:F51,Eventos!D5:D51,"Julho",Eventos!A5:A51,"CTC")),"-")</f>
        <v>-</v>
      </c>
      <c r="M10" s="35" t="str">
        <f>IFERROR((SUMIFS(Eventos!H5:H51,Eventos!D5:D51,"Agosto",Eventos!A5:A51,"CTC"))/(SUMIFS(Eventos!F5:F51,Eventos!D5:D51,"Agosto",Eventos!A5:A51,"CTC")),"-")</f>
        <v>-</v>
      </c>
      <c r="N10" s="35" t="str">
        <f>IFERROR((SUMIFS(Eventos!H5:H51,Eventos!D5:D51,"Setembro",Eventos!A5:A51,"CTC"))/(SUMIFS(Eventos!F5:F51,Eventos!D5:D51,"Setembro",Eventos!A5:A51,"CTC")),"-")</f>
        <v>-</v>
      </c>
      <c r="O10" s="35" t="str">
        <f>IFERROR((SUMIFS(Eventos!H5:H51,Eventos!D5:D51,"Outubro",Eventos!A5:A51,"CTC"))/(SUMIFS(Eventos!F5:F51,Eventos!D5:D51,"Outubro",Eventos!A5:A51,"CTC")),"-")</f>
        <v>-</v>
      </c>
      <c r="P10" s="35" t="str">
        <f>IFERROR((SUMIFS(Eventos!H5:H51,Eventos!D5:D51,"Novembro",Eventos!A5:A51,"CTC"))/(SUMIFS(Eventos!F5:F51,Eventos!D5:D51,"Novembro",Eventos!A5:A51,"CTC")),"-")</f>
        <v>-</v>
      </c>
      <c r="Q10" s="35" t="str">
        <f>IFERROR((SUMIFS(Eventos!H5:H51,Eventos!D5:D51,"Dezembro",Eventos!A5:A51,"CTC"))/(SUMIFS(Eventos!F5:F51,Eventos!D5:D51,"Dezembro",Eventos!A5:A51,"CTC")),"-")</f>
        <v>-</v>
      </c>
      <c r="R10" s="32" t="str">
        <f t="shared" si="1"/>
        <v>---</v>
      </c>
      <c r="S10" s="3"/>
    </row>
    <row r="11" spans="1:19" x14ac:dyDescent="0.25">
      <c r="A11" s="5" t="s">
        <v>9</v>
      </c>
      <c r="B11" s="2">
        <f>SUMIF(Eventos!A5:A51,"DG",Eventos!H5:H51)</f>
        <v>0</v>
      </c>
      <c r="C11" s="2">
        <f>SUMIF(Eventos!A5:A51,"DG",Eventos!F5:F51)</f>
        <v>0</v>
      </c>
      <c r="D11" s="27" t="str">
        <f t="shared" si="0"/>
        <v>---</v>
      </c>
      <c r="E11" s="4">
        <f>SUMIF(Eventos!A5:A51,"DG",Eventos!E5:E51)</f>
        <v>0</v>
      </c>
      <c r="F11" s="32" t="str">
        <f>IFERROR((SUMIFS(Eventos!H5:H51,Eventos!D5:D51,"Janeiro",Eventos!A5:A51,"DG"))/(SUMIFS(Eventos!F5:F51,Eventos!D5:D51,"Janeiro",Eventos!A5:A51,"DG")),"-")</f>
        <v>-</v>
      </c>
      <c r="G11" s="32" t="str">
        <f>IFERROR((SUMIFS(Eventos!H5:H51,Eventos!D5:D51,"Fevereiro",Eventos!A5:A51,"DG"))/(SUMIFS(Eventos!F5:F51,Eventos!D5:D51,"Fevereiro",Eventos!A5:A51,"DG")),"-")</f>
        <v>-</v>
      </c>
      <c r="H11" s="32" t="str">
        <f>IFERROR((SUMIFS(Eventos!H5:H51,Eventos!D5:D51,"Março",Eventos!A5:A51,"DG"))/(SUMIFS(Eventos!F5:F51,Eventos!D5:D51,"Março",Eventos!A5:A51,"DG")),"-")</f>
        <v>-</v>
      </c>
      <c r="I11" s="35" t="str">
        <f>IFERROR((SUMIFS(Eventos!H5:H51,Eventos!D5:D51,"Abril",Eventos!A5:A51,"DG"))/(SUMIFS(Eventos!F5:F51,Eventos!D5:D51,"Abril",Eventos!A5:A51,"DG")),"-")</f>
        <v>-</v>
      </c>
      <c r="J11" s="35" t="str">
        <f>IFERROR((SUMIFS(Eventos!H5:H51,Eventos!D5:D51,"Maio",Eventos!A5:A51,"DG"))/(SUMIFS(Eventos!F5:F51,Eventos!D5:D51,"Maio",Eventos!A5:A51,"DG")),"-")</f>
        <v>-</v>
      </c>
      <c r="K11" s="35" t="str">
        <f>IFERROR((SUMIFS(Eventos!H5:H51,Eventos!D5:D51,"Junho",Eventos!A5:A51,"DG"))/(SUMIFS(Eventos!F5:F51,Eventos!D5:D51,"Junho",Eventos!A5:A51,"DG")),"-")</f>
        <v>-</v>
      </c>
      <c r="L11" s="35" t="str">
        <f>IFERROR((SUMIFS(Eventos!H5:H51,Eventos!D5:D51,"Julho",Eventos!A5:A51,"DG"))/(SUMIFS(Eventos!F5:F51,Eventos!D5:D51,"Julho",Eventos!A5:A51,"DG")),"-")</f>
        <v>-</v>
      </c>
      <c r="M11" s="35" t="str">
        <f>IFERROR((SUMIFS(Eventos!H5:H51,Eventos!D5:D51,"Agosto",Eventos!A5:A51,"DG"))/(SUMIFS(Eventos!F5:F51,Eventos!D5:D51,"Agosto",Eventos!A5:A51,"DG")),"-")</f>
        <v>-</v>
      </c>
      <c r="N11" s="35" t="str">
        <f>IFERROR((SUMIFS(Eventos!H5:H51,Eventos!D5:D51,"Setembro",Eventos!A5:A51,"DG"))/(SUMIFS(Eventos!F5:F51,Eventos!D5:D51,"Setembro",Eventos!A5:A51,"DG")),"-")</f>
        <v>-</v>
      </c>
      <c r="O11" s="35" t="str">
        <f>IFERROR((SUMIFS(Eventos!H5:H51,Eventos!D5:D51,"Outubro",Eventos!A5:A51,"DG"))/(SUMIFS(Eventos!F5:F51,Eventos!D5:D51,"Outubro",Eventos!A5:A51,"DG")),"-")</f>
        <v>-</v>
      </c>
      <c r="P11" s="35" t="str">
        <f>IFERROR((SUMIFS(Eventos!H5:H51,Eventos!D5:D51,"Novembro",Eventos!A5:A51,"DG"))/(SUMIFS(Eventos!F5:F51,Eventos!D5:D51,"Novembro",Eventos!A5:A51,"DG")),"-")</f>
        <v>-</v>
      </c>
      <c r="Q11" s="35" t="str">
        <f>IFERROR((SUMIFS(Eventos!H5:H51,Eventos!D5:D51,"Dezembro",Eventos!A5:A51,"DG"))/(SUMIFS(Eventos!F5:F51,Eventos!D5:D51,"Dezembro",Eventos!A5:A51,"DG")),"-")</f>
        <v>-</v>
      </c>
      <c r="R11" s="32" t="str">
        <f t="shared" si="1"/>
        <v>---</v>
      </c>
      <c r="S11" s="3"/>
    </row>
    <row r="12" spans="1:19" x14ac:dyDescent="0.25">
      <c r="A12" s="5" t="s">
        <v>14</v>
      </c>
      <c r="B12" s="2">
        <f>SUMIF(Eventos!A5:A51,"Fruthotec",Eventos!H5:H51)</f>
        <v>0</v>
      </c>
      <c r="C12" s="2">
        <f>SUMIF(Eventos!A5:A51,"Fruthotec",Eventos!F5:F51)</f>
        <v>0</v>
      </c>
      <c r="D12" s="27" t="str">
        <f t="shared" si="0"/>
        <v>---</v>
      </c>
      <c r="E12" s="4">
        <f>SUMIF(Eventos!A5:A51,"Fruthotec",Eventos!E5:E51)</f>
        <v>0</v>
      </c>
      <c r="F12" s="32" t="str">
        <f>IFERROR((SUMIFS(Eventos!H5:H51,Eventos!D5:D51,"Janeiro",Eventos!A5:A51,"Fruthotec"))/(SUMIFS(Eventos!F5:F51,Eventos!D5:D51,"Janeiro",Eventos!A5:A51,"Fruthotec")),"-")</f>
        <v>-</v>
      </c>
      <c r="G12" s="32" t="str">
        <f>IFERROR((SUMIFS(Eventos!H5:H51,Eventos!D5:D51,"Fevereiro",Eventos!A5:A51,"Fruthotec"))/(SUMIFS(Eventos!F5:F51,Eventos!D5:D51,"Fevereiro",Eventos!A5:A51,"Fruthotec")),"-")</f>
        <v>-</v>
      </c>
      <c r="H12" s="32" t="str">
        <f>IFERROR((SUMIFS(Eventos!H5:H51,Eventos!D5:D51,"Março",Eventos!A5:A51,"Fruthotec"))/(SUMIFS(Eventos!F5:F51,Eventos!D5:D51,"Março",Eventos!A5:A51,"Fruthotec")),"-")</f>
        <v>-</v>
      </c>
      <c r="I12" s="35" t="str">
        <f>IFERROR((SUMIFS(Eventos!H5:H51,Eventos!D5:D51,"Abril",Eventos!A5:A51,"Fruthotec"))/(SUMIFS(Eventos!F5:F51,Eventos!D5:D51,"Abril",Eventos!A5:A51,"Fruthotec")),"-")</f>
        <v>-</v>
      </c>
      <c r="J12" s="35" t="str">
        <f>IFERROR((SUMIFS(Eventos!H5:H51,Eventos!D5:D51,"Maio",Eventos!A5:A51,"Fruthotec"))/(SUMIFS(Eventos!F5:F51,Eventos!D5:D51,"Maio",Eventos!A5:A51,"Fruthotec")),"-")</f>
        <v>-</v>
      </c>
      <c r="K12" s="35" t="str">
        <f>IFERROR((SUMIFS(Eventos!H5:H51,Eventos!D5:D51,"Junho",Eventos!A5:A51,"Fruthotec"))/(SUMIFS(Eventos!F5:F51,Eventos!D5:D51,"Junho",Eventos!A5:A51,"Fruthotec")),"-")</f>
        <v>-</v>
      </c>
      <c r="L12" s="35" t="str">
        <f>IFERROR((SUMIFS(Eventos!H5:H51,Eventos!D5:D51,"Julho",Eventos!A5:A51,"Fruthotec"))/(SUMIFS(Eventos!F5:F51,Eventos!D5:D51,"Julho",Eventos!A5:A51,"Fruthotec")),"-")</f>
        <v>-</v>
      </c>
      <c r="M12" s="35" t="str">
        <f>IFERROR((SUMIFS(Eventos!H5:H51,Eventos!D5:D51,"Agosto",Eventos!A5:A51,"Fruthotec"))/(SUMIFS(Eventos!F5:F51,Eventos!D5:D51,"Agosto",Eventos!A5:A51,"Fruthotec")),"-")</f>
        <v>-</v>
      </c>
      <c r="N12" s="35" t="str">
        <f>IFERROR((SUMIFS(Eventos!H5:H51,Eventos!D5:D51,"Setembro",Eventos!A5:A51,"Fruthotec"))/(SUMIFS(Eventos!F5:F51,Eventos!D5:D51,"Setembro",Eventos!A5:A51,"Fruthotec")),"-")</f>
        <v>-</v>
      </c>
      <c r="O12" s="35" t="str">
        <f>IFERROR((SUMIFS(Eventos!H5:H51,Eventos!D5:D51,"Outubro",Eventos!A5:A51,"Fruthotec"))/(SUMIFS(Eventos!F5:F51,Eventos!D5:D51,"Outubro",Eventos!A5:A51,"Fruthotec")),"-")</f>
        <v>-</v>
      </c>
      <c r="P12" s="35" t="str">
        <f>IFERROR((SUMIFS(Eventos!H5:H51,Eventos!D5:D51,"Novembro",Eventos!A5:A51,"Fruthotec"))/(SUMIFS(Eventos!F5:F51,Eventos!D5:D51,"Novembro",Eventos!A5:A51,"Fruthotec")),"-")</f>
        <v>-</v>
      </c>
      <c r="Q12" s="35" t="str">
        <f>IFERROR((SUMIFS(Eventos!H5:H51,Eventos!D5:D51,"Dezembro",Eventos!A5:A51,"Fruthotec"))/(SUMIFS(Eventos!F5:F51,Eventos!D5:D51,"Dezembro",Eventos!A5:A51,"Fruthotec")),"-")</f>
        <v>-</v>
      </c>
      <c r="R12" s="32" t="str">
        <f t="shared" si="1"/>
        <v>---</v>
      </c>
      <c r="S12" s="3"/>
    </row>
    <row r="13" spans="1:19" x14ac:dyDescent="0.25">
      <c r="A13" s="5" t="s">
        <v>12</v>
      </c>
      <c r="B13" s="2">
        <f>SUMIF(Eventos!A5:A51,"Tecnolat",Eventos!H5:H51)</f>
        <v>0</v>
      </c>
      <c r="C13" s="2">
        <f>SUMIF(Eventos!A5:A51,"Tecnolat",Eventos!F5:F51)</f>
        <v>0</v>
      </c>
      <c r="D13" s="27" t="str">
        <f t="shared" si="0"/>
        <v>---</v>
      </c>
      <c r="E13" s="4">
        <f>SUMIF(Eventos!A5:A51,"Tecnolat",Eventos!E5:E51)</f>
        <v>0</v>
      </c>
      <c r="F13" s="32" t="str">
        <f>IFERROR((SUMIFS(Eventos!H5:H51,Eventos!D5:D51,"Tecnolat",Eventos!A5:A51,"Cetea"))/(SUMIFS(Eventos!F5:F51,Eventos!D5:D51,"Janeiro",Eventos!A5:A51,"Tecnolat")),"-")</f>
        <v>-</v>
      </c>
      <c r="G13" s="32" t="str">
        <f>IFERROR((SUMIFS(Eventos!H5:H51,Eventos!D5:D51,"Fevereiro",Eventos!A5:A51,"Tecnolat"))/(SUMIFS(Eventos!F5:F51,Eventos!D5:D51,"Fevereiro",Eventos!A5:A51,"Tecnolat")),"-")</f>
        <v>-</v>
      </c>
      <c r="H13" s="32" t="str">
        <f>IFERROR((SUMIFS(Eventos!H5:H51,Eventos!D5:D51,"Março",Eventos!A5:A51,"Tecnolat"))/(SUMIFS(Eventos!F5:F51,Eventos!D5:D51,"Março",Eventos!A5:A51,"Tecnolat")),"-")</f>
        <v>-</v>
      </c>
      <c r="I13" s="35" t="str">
        <f>IFERROR((SUMIFS(Eventos!H5:H51,Eventos!D5:D51,"Abril",Eventos!A5:A51,"Tecnolat"))/(SUMIFS(Eventos!F5:F51,Eventos!D5:D51,"Abril",Eventos!A5:A51,"Tecnolat")),"-")</f>
        <v>-</v>
      </c>
      <c r="J13" s="35" t="str">
        <f>IFERROR((SUMIFS(Eventos!H5:H51,Eventos!D5:D51,"Maio",Eventos!A5:A51,"Tecnolat"))/(SUMIFS(Eventos!F5:F51,Eventos!D5:D51,"Maio",Eventos!A5:A51,"Tecnolat")),"-")</f>
        <v>-</v>
      </c>
      <c r="K13" s="35" t="str">
        <f>IFERROR((SUMIFS(Eventos!H5:H51,Eventos!D5:D51,"Junho",Eventos!A5:A51,"Tecnolat"))/(SUMIFS(Eventos!F5:F51,Eventos!D5:D51,"Junho",Eventos!A5:A51,"Tecnolat")),"-")</f>
        <v>-</v>
      </c>
      <c r="L13" s="35" t="str">
        <f>IFERROR((SUMIFS(Eventos!H5:H51,Eventos!D5:D51,"Julho",Eventos!A5:A51,"Tecnolat"))/(SUMIFS(Eventos!F5:F51,Eventos!D5:D51,"Julho",Eventos!A5:A51,"Tecnolat")),"-")</f>
        <v>-</v>
      </c>
      <c r="M13" s="35" t="str">
        <f>IFERROR((SUMIFS(Eventos!H5:H51,Eventos!D5:D51,"Agosto",Eventos!A5:A51,"Tecnolat"))/(SUMIFS(Eventos!F5:F51,Eventos!D5:D51,"Agosto",Eventos!A5:A51,"Tecnolat")),"-")</f>
        <v>-</v>
      </c>
      <c r="N13" s="35" t="str">
        <f>IFERROR((SUMIFS(Eventos!H5:H51,Eventos!D5:D51,"Setembro",Eventos!A5:A51,"Tecnolat"))/(SUMIFS(Eventos!F5:F51,Eventos!D5:D51,"Setembro",Eventos!A5:A51,"Tecnolat")),"-")</f>
        <v>-</v>
      </c>
      <c r="O13" s="35" t="str">
        <f>IFERROR((SUMIFS(Eventos!H5:H51,Eventos!D5:D51,"Outubro",Eventos!A5:A51,"Tecnolat"))/(SUMIFS(Eventos!F5:F51,Eventos!D5:D51,"Outubro",Eventos!A5:A51,"Tecnolat")),"-")</f>
        <v>-</v>
      </c>
      <c r="P13" s="35" t="str">
        <f>IFERROR((SUMIFS(Eventos!H5:H51,Eventos!D5:D51,"Novembro",Eventos!A5:A51,"Tecnolat"))/(SUMIFS(Eventos!F5:F51,Eventos!D5:D51,"Novembro",Eventos!A5:A51,"Tecnolat")),"-")</f>
        <v>-</v>
      </c>
      <c r="Q13" s="35" t="str">
        <f>IFERROR((SUMIFS(Eventos!H5:H51,Eventos!D5:D51,"Dezembro",Eventos!A5:A51,"Tecnolat"))/(SUMIFS(Eventos!F5:F51,Eventos!D5:D51,"Dezembro",Eventos!A5:A51,"Tecnolat")),"-")</f>
        <v>-</v>
      </c>
      <c r="R13" s="32" t="str">
        <f t="shared" si="1"/>
        <v>---</v>
      </c>
      <c r="S13" s="3"/>
    </row>
    <row r="14" spans="1:19" s="9" customFormat="1" ht="27" customHeight="1" x14ac:dyDescent="0.2">
      <c r="A14" s="6" t="s">
        <v>15</v>
      </c>
      <c r="B14" s="8">
        <f>SUM(B7:B13)</f>
        <v>0</v>
      </c>
      <c r="C14" s="8">
        <f>SUM(C7:C13)</f>
        <v>0</v>
      </c>
      <c r="D14" s="28" t="str">
        <f t="shared" si="0"/>
        <v>---</v>
      </c>
      <c r="E14" s="8">
        <f>SUM(E7:E13)</f>
        <v>0</v>
      </c>
      <c r="F14" s="28" t="str">
        <f>IFERROR((SUMIF(Eventos!D5:D51,"Janeiro",Eventos!H5:H51))/(SUMIF(Eventos!D5:D51,"Janeiro",Eventos!F5:F51)),"-")</f>
        <v>-</v>
      </c>
      <c r="G14" s="28" t="str">
        <f>IFERROR((SUMIF(Eventos!D5:D51,"Fevereiro",Eventos!H5:H51))/(SUMIF(Eventos!D5:D51,"Fevereiro",Eventos!F5:F51)),"-")</f>
        <v>-</v>
      </c>
      <c r="H14" s="28" t="str">
        <f>IFERROR((SUMIF(Eventos!D5:D51,"Março",Eventos!H5:H51))/(SUMIF(Eventos!D5:D51,"Março",Eventos!F5:F51)),"-")</f>
        <v>-</v>
      </c>
      <c r="I14" s="28" t="str">
        <f>IFERROR((SUMIF(Eventos!D5:D51,"Abril",Eventos!H5:H51))/(SUMIF(Eventos!D5:D51,"Abril",Eventos!F5:F51)),"-")</f>
        <v>-</v>
      </c>
      <c r="J14" s="28" t="str">
        <f>IFERROR((SUMIF(Eventos!D5:D51,"Maio",Eventos!H5:H51))/(SUMIF(Eventos!D5:D51,"Maio",Eventos!F5:F51)),"-")</f>
        <v>-</v>
      </c>
      <c r="K14" s="28" t="str">
        <f>IFERROR((SUMIF(Eventos!D5:D51,"Junho",Eventos!H5:H51))/(SUMIF(Eventos!D5:D51,"Junho",Eventos!F5:F51)),"-")</f>
        <v>-</v>
      </c>
      <c r="L14" s="28" t="str">
        <f>IFERROR((SUMIF(Eventos!D5:D51,"Julho",Eventos!H5:H51))/(SUMIF(Eventos!D5:D51,"Julho",Eventos!F5:F51)),"-")</f>
        <v>-</v>
      </c>
      <c r="M14" s="28" t="str">
        <f>IFERROR((SUMIF(Eventos!D5:D51,"Agosto",Eventos!H5:H51))/(SUMIF(Eventos!D5:D51,"Agosto",Eventos!F5:F51)),"-")</f>
        <v>-</v>
      </c>
      <c r="N14" s="28" t="str">
        <f>IFERROR((SUMIF(Eventos!D5:D51,"Setembro",Eventos!H5:H51))/(SUMIF(Eventos!D5:D51,"Setembro",Eventos!F5:F51)),"-")</f>
        <v>-</v>
      </c>
      <c r="O14" s="28" t="str">
        <f>IFERROR((SUMIF(Eventos!D5:D51,"Outubro",Eventos!H5:H51))/(SUMIF(Eventos!D5:D51,"Outubro",Eventos!F5:F51)),"-")</f>
        <v>-</v>
      </c>
      <c r="P14" s="28" t="str">
        <f>IFERROR((SUMIF(Eventos!D5:D51,"Novembro",Eventos!H5:H51))/(SUMIF(Eventos!D5:D51,"Novembro",Eventos!F5:F51)),"-")</f>
        <v>-</v>
      </c>
      <c r="Q14" s="28" t="str">
        <f>IFERROR((SUMIF(Eventos!D5:D51,"Dezembro",Eventos!H5:H51))/(SUMIF(Eventos!D5:D51,"Dezembro",Eventos!F5:F51)),"-")</f>
        <v>-</v>
      </c>
      <c r="R14" s="28" t="str">
        <f>D14</f>
        <v>---</v>
      </c>
      <c r="S14" s="38"/>
    </row>
    <row r="15" spans="1:19" ht="15.75" thickBot="1" x14ac:dyDescent="0.3">
      <c r="A15" s="3"/>
      <c r="B15" s="3"/>
      <c r="C15" s="3"/>
      <c r="D15" s="3"/>
      <c r="E15" s="3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3"/>
    </row>
    <row r="16" spans="1:19" ht="15.75" thickBot="1" x14ac:dyDescent="0.3">
      <c r="A16" s="67" t="s">
        <v>17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9"/>
      <c r="S16" s="3"/>
    </row>
    <row r="17" spans="1:19" x14ac:dyDescent="0.25">
      <c r="A17" s="3"/>
      <c r="B17" s="3"/>
      <c r="C17" s="3"/>
      <c r="D17" s="3"/>
      <c r="E17" s="3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3"/>
    </row>
    <row r="18" spans="1:19" ht="38.25" x14ac:dyDescent="0.25">
      <c r="A18" s="10" t="s">
        <v>0</v>
      </c>
      <c r="B18" s="11" t="s">
        <v>7</v>
      </c>
      <c r="C18" s="11" t="s">
        <v>19</v>
      </c>
      <c r="D18" s="12" t="s">
        <v>35</v>
      </c>
      <c r="E18" s="11" t="s">
        <v>18</v>
      </c>
      <c r="F18" s="11" t="s">
        <v>31</v>
      </c>
      <c r="G18" s="11" t="s">
        <v>32</v>
      </c>
      <c r="H18" s="11" t="s">
        <v>33</v>
      </c>
      <c r="I18" s="11" t="s">
        <v>36</v>
      </c>
      <c r="J18" s="11" t="s">
        <v>37</v>
      </c>
      <c r="K18" s="11" t="s">
        <v>24</v>
      </c>
      <c r="L18" s="11" t="s">
        <v>25</v>
      </c>
      <c r="M18" s="11" t="s">
        <v>23</v>
      </c>
      <c r="N18" s="11" t="s">
        <v>30</v>
      </c>
      <c r="O18" s="11" t="s">
        <v>26</v>
      </c>
      <c r="P18" s="11" t="s">
        <v>22</v>
      </c>
      <c r="Q18" s="11" t="s">
        <v>29</v>
      </c>
      <c r="R18" s="11" t="s">
        <v>38</v>
      </c>
      <c r="S18" s="3"/>
    </row>
    <row r="19" spans="1:19" s="3" customFormat="1" ht="12.75" x14ac:dyDescent="0.2">
      <c r="A19" s="5" t="s">
        <v>16</v>
      </c>
      <c r="B19" s="2">
        <f>SUMIF('Treinamentos Fechados'!A5:A51,"C.Chocotec",'Treinamentos Fechados'!H5:H51)</f>
        <v>0</v>
      </c>
      <c r="C19" s="2">
        <f>SUMIF('Treinamentos Fechados'!A5:A51,"C.Chocotec",'Treinamentos Fechados'!F5:F51)</f>
        <v>0</v>
      </c>
      <c r="D19" s="27" t="str">
        <f>IFERROR(B19/C19,"---")</f>
        <v>---</v>
      </c>
      <c r="E19" s="4">
        <f>SUMIF('Treinamentos Fechados'!A5:A51,"C.Chocotec",'Treinamentos Fechados'!E5:E51)</f>
        <v>0</v>
      </c>
      <c r="F19" s="32" t="str">
        <f>IFERROR(SUMIFS('Treinamentos Fechados'!H5:H51,'Treinamentos Fechados'!D5:D51,"Janeiro",'Treinamentos Fechados'!A5:A51,"C.Chocotec")/(SUMIFS('Treinamentos Fechados'!F5:F51,'Treinamentos Fechados'!A5:A51,"C.Chocotec",'Treinamentos Fechados'!D5:D51,"Janeiro")),"-")</f>
        <v>-</v>
      </c>
      <c r="G19" s="32" t="str">
        <f>IFERROR(SUMIFS('Treinamentos Fechados'!H5:H51,'Treinamentos Fechados'!D5:D51,"Fevereiro",'Treinamentos Fechados'!A5:A51,"C.Chocotec")/(SUMIFS('Treinamentos Fechados'!F5:F51,'Treinamentos Fechados'!A5:A51,"C.Chocotec",'Treinamentos Fechados'!D5:D51,"Fevereiro")),"-")</f>
        <v>-</v>
      </c>
      <c r="H19" s="32" t="str">
        <f>IFERROR(SUMIFS('Treinamentos Fechados'!H5:H51,'Treinamentos Fechados'!D5:D51,"Março",'Treinamentos Fechados'!A5:A51,"C.Chocotec")/(SUMIFS('Treinamentos Fechados'!F5:F51,'Treinamentos Fechados'!A5:A51,"C.Chocotec",'Treinamentos Fechados'!D5:D51,"Março")),"-")</f>
        <v>-</v>
      </c>
      <c r="I19" s="32" t="str">
        <f>IFERROR(SUMIFS('Treinamentos Fechados'!H5:H51,'Treinamentos Fechados'!D5:D51,"Abril",'Treinamentos Fechados'!A5:A51,"C.Chocotec")/(SUMIFS('Treinamentos Fechados'!F5:F51,'Treinamentos Fechados'!A5:A51,"C.Chocotec",'Treinamentos Fechados'!D5:D51,"Abril")),"-")</f>
        <v>-</v>
      </c>
      <c r="J19" s="32" t="str">
        <f>IFERROR(SUMIFS('Treinamentos Fechados'!H5:H51,'Treinamentos Fechados'!D5:D51,"Maio",'Treinamentos Fechados'!A5:A51,"C.Chocotec")/(SUMIFS('Treinamentos Fechados'!F5:F51,'Treinamentos Fechados'!A5:A51,"C.Chocotec",'Treinamentos Fechados'!D5:D51,"Maio")),"-")</f>
        <v>-</v>
      </c>
      <c r="K19" s="32" t="str">
        <f>IFERROR(SUMIFS('Treinamentos Fechados'!H5:H51,'Treinamentos Fechados'!D5:D51,"Junho",'Treinamentos Fechados'!A5:A51,"C.Chocotec")/(SUMIFS('Treinamentos Fechados'!F5:F51,'Treinamentos Fechados'!A5:A51,"C.Chocotec",'Treinamentos Fechados'!D5:D51,"Junho")),"-")</f>
        <v>-</v>
      </c>
      <c r="L19" s="32" t="str">
        <f>IFERROR(SUMIFS('Treinamentos Fechados'!H5:H51,'Treinamentos Fechados'!D5:D51,"Julho",'Treinamentos Fechados'!A5:A51,"C.Chocotec")/(SUMIFS('Treinamentos Fechados'!F5:F51,'Treinamentos Fechados'!A5:A51,"C.Chocotec",'Treinamentos Fechados'!D5:D51,"Julho")),"-")</f>
        <v>-</v>
      </c>
      <c r="M19" s="32" t="str">
        <f>IFERROR(SUMIFS('Treinamentos Fechados'!H5:H51,'Treinamentos Fechados'!D5:D51,"Agosto",'Treinamentos Fechados'!A5:A51,"C.Chocotec")/(SUMIFS('Treinamentos Fechados'!F5:F51,'Treinamentos Fechados'!A5:A51,"C.Chocotec",'Treinamentos Fechados'!D5:D51,"Agosto")),"-")</f>
        <v>-</v>
      </c>
      <c r="N19" s="32" t="str">
        <f>IFERROR(SUMIFS('Treinamentos Fechados'!H5:H51,'Treinamentos Fechados'!D5:D51,"Setembro",'Treinamentos Fechados'!A5:A51,"C.Chocotec")/(SUMIFS('Treinamentos Fechados'!F5:F51,'Treinamentos Fechados'!A5:A51,"C.Chocotec",'Treinamentos Fechados'!D5:D51,"Setembro")),"-")</f>
        <v>-</v>
      </c>
      <c r="O19" s="32" t="str">
        <f>IFERROR(SUMIFS('Treinamentos Fechados'!H5:H51,'Treinamentos Fechados'!D5:D51,"Outubro",'Treinamentos Fechados'!A5:A51,"C.Chocotec")/(SUMIFS('Treinamentos Fechados'!F5:F51,'Treinamentos Fechados'!A5:A51,"C.Chocotec",'Treinamentos Fechados'!D5:D51,"Outubro")),"-")</f>
        <v>-</v>
      </c>
      <c r="P19" s="32" t="str">
        <f>IFERROR(SUMIFS('Treinamentos Fechados'!H5:H51,'Treinamentos Fechados'!D5:D51,"Novembro",'Treinamentos Fechados'!A5:A51,"C.Chocotec")/(SUMIFS('Treinamentos Fechados'!F5:F51,'Treinamentos Fechados'!A5:A51,"C.Chocotec",'Treinamentos Fechados'!D5:D51,"Novembro")),"-")</f>
        <v>-</v>
      </c>
      <c r="Q19" s="32" t="str">
        <f>IFERROR(SUMIFS('Treinamentos Fechados'!H5:H51,'Treinamentos Fechados'!D5:D51,"Dezembro",'Treinamentos Fechados'!A5:A51,"C.Chocotec")/(SUMIFS('Treinamentos Fechados'!F5:F51,'Treinamentos Fechados'!A5:A51,"C.Chocotec",'Treinamentos Fechados'!D5:D51,"Dezembro")),"-")</f>
        <v>-</v>
      </c>
      <c r="R19" s="32" t="str">
        <f>D19</f>
        <v>---</v>
      </c>
    </row>
    <row r="20" spans="1:19" s="3" customFormat="1" ht="12.75" x14ac:dyDescent="0.2">
      <c r="A20" s="5" t="s">
        <v>10</v>
      </c>
      <c r="B20" s="2">
        <f>SUMIF('Treinamentos Fechados'!A5:A51,"CCQA",'Treinamentos Fechados'!H5:H51)</f>
        <v>0</v>
      </c>
      <c r="C20" s="2">
        <f>SUMIF('Treinamentos Fechados'!A5:A51,"CCQA",'Treinamentos Fechados'!F5:F51)</f>
        <v>0</v>
      </c>
      <c r="D20" s="27" t="str">
        <f t="shared" ref="D20:D25" si="2">IFERROR(B20/C20,"---")</f>
        <v>---</v>
      </c>
      <c r="E20" s="4">
        <f>SUMIF('Treinamentos Fechados'!A5:A51,"CCQA",'Treinamentos Fechados'!E5:E51)</f>
        <v>0</v>
      </c>
      <c r="F20" s="2" t="str">
        <f>IFERROR(SUMIFS('Treinamentos Fechados'!H5:H51,'Treinamentos Fechados'!D5:D51,"Janeiro",'Treinamentos Fechados'!A5:A51,"CCQA")/(SUMIFS('Treinamentos Fechados'!F5:F51,'Treinamentos Fechados'!A5:A51,"CCQA",'Treinamentos Fechados'!D5:D51,"Janeiro")),"-")</f>
        <v>-</v>
      </c>
      <c r="G20" s="34" t="str">
        <f>IFERROR(SUMIFS('Treinamentos Fechados'!H5:H51,'Treinamentos Fechados'!D5:D51,"Fevereiro",'Treinamentos Fechados'!A5:A51,"CCQA")/(SUMIFS('Treinamentos Fechados'!F5:F51,'Treinamentos Fechados'!A5:A51,"CCQA",'Treinamentos Fechados'!D5:D51,"Fevereiro")),"-")</f>
        <v>-</v>
      </c>
      <c r="H20" s="34" t="str">
        <f>IFERROR(SUMIFS('Treinamentos Fechados'!H5:H51,'Treinamentos Fechados'!D5:D51,"Março",'Treinamentos Fechados'!A5:A51,"CCQA")/(SUMIFS('Treinamentos Fechados'!F5:F51,'Treinamentos Fechados'!A5:A51,"CCQA",'Treinamentos Fechados'!D5:D51,"Março")),"-")</f>
        <v>-</v>
      </c>
      <c r="I20" s="34" t="str">
        <f>IFERROR(SUMIFS('Treinamentos Fechados'!H5:H51,'Treinamentos Fechados'!D5:D51,"Abril",'Treinamentos Fechados'!A5:A51,"CCQA")/(SUMIFS('Treinamentos Fechados'!F5:F51,'Treinamentos Fechados'!A5:A51,"CCQA",'Treinamentos Fechados'!D5:D51,"Abril")),"-")</f>
        <v>-</v>
      </c>
      <c r="J20" s="34" t="str">
        <f>IFERROR(SUMIFS('Treinamentos Fechados'!H5:H51,'Treinamentos Fechados'!D5:D51,"Maio",'Treinamentos Fechados'!A5:A51,"CCQA")/(SUMIFS('Treinamentos Fechados'!F5:F51,'Treinamentos Fechados'!A5:A51,"CCQA",'Treinamentos Fechados'!D5:D51,"Maio")),"-")</f>
        <v>-</v>
      </c>
      <c r="K20" s="34" t="str">
        <f>IFERROR(SUMIFS('Treinamentos Fechados'!H5:H51,'Treinamentos Fechados'!D5:D51,"Junho",'Treinamentos Fechados'!A5:A51,"CCQA")/(SUMIFS('Treinamentos Fechados'!F5:F51,'Treinamentos Fechados'!A5:A51,"CCQA",'Treinamentos Fechados'!D5:D51,"Junho")),"-")</f>
        <v>-</v>
      </c>
      <c r="L20" s="34" t="str">
        <f>IFERROR(SUMIFS('Treinamentos Fechados'!H5:H51,'Treinamentos Fechados'!D5:D51,"Julho",'Treinamentos Fechados'!A5:A51,"CCQA")/(SUMIFS('Treinamentos Fechados'!F5:F51,'Treinamentos Fechados'!A5:A51,"CCQA",'Treinamentos Fechados'!D5:D51,"Julho")),"-")</f>
        <v>-</v>
      </c>
      <c r="M20" s="34" t="str">
        <f>IFERROR(SUMIFS('Treinamentos Fechados'!H5:H51,'Treinamentos Fechados'!D5:D51,"Agosto",'Treinamentos Fechados'!A5:A51,"CCQA")/(SUMIFS('Treinamentos Fechados'!F5:F51,'Treinamentos Fechados'!A5:A51,"CCQA",'Treinamentos Fechados'!D5:D51,"Agosto")),"-")</f>
        <v>-</v>
      </c>
      <c r="N20" s="34" t="str">
        <f>IFERROR(SUMIFS('Treinamentos Fechados'!H5:H51,'Treinamentos Fechados'!D5:D51,"Setembro",'Treinamentos Fechados'!A5:A51,"CCQA")/(SUMIFS('Treinamentos Fechados'!F5:F51,'Treinamentos Fechados'!A5:A51,"CCQA",'Treinamentos Fechados'!D5:D51,"Setembro")),"-")</f>
        <v>-</v>
      </c>
      <c r="O20" s="34" t="str">
        <f>IFERROR(SUMIFS('Treinamentos Fechados'!H5:H51,'Treinamentos Fechados'!D5:D51,"Outubro",'Treinamentos Fechados'!A5:A51,"CCQA")/(SUMIFS('Treinamentos Fechados'!F5:F51,'Treinamentos Fechados'!A5:A51,"CCQA",'Treinamentos Fechados'!D5:D51,"Outubro")),"-")</f>
        <v>-</v>
      </c>
      <c r="P20" s="34" t="str">
        <f>IFERROR(SUMIFS('Treinamentos Fechados'!H5:H51,'Treinamentos Fechados'!D5:D51,"Novembro",'Treinamentos Fechados'!A5:A51,"CCQA")/(SUMIFS('Treinamentos Fechados'!F5:F51,'Treinamentos Fechados'!A5:A51,"CCQA",'Treinamentos Fechados'!D5:D51,"Novembro")),"-")</f>
        <v>-</v>
      </c>
      <c r="Q20" s="34" t="str">
        <f>IFERROR(SUMIFS('Treinamentos Fechados'!H5:H51,'Treinamentos Fechados'!D5:D51,"Dezembro",'Treinamentos Fechados'!A5:A51,"CCQA")/(SUMIFS('Treinamentos Fechados'!F5:F51,'Treinamentos Fechados'!A5:A51,"CCQA",'Treinamentos Fechados'!D5:D51,"Dezembro")),"-")</f>
        <v>-</v>
      </c>
      <c r="R20" s="32" t="str">
        <f t="shared" ref="R20:R26" si="3">D20</f>
        <v>---</v>
      </c>
    </row>
    <row r="21" spans="1:19" s="3" customFormat="1" ht="12.75" x14ac:dyDescent="0.2">
      <c r="A21" s="5" t="s">
        <v>11</v>
      </c>
      <c r="B21" s="2">
        <f>SUMIF('Treinamentos Fechados'!A5:A51,"Cetea",'Treinamentos Fechados'!H5:H51)</f>
        <v>0</v>
      </c>
      <c r="C21" s="2">
        <f>SUMIF('Treinamentos Fechados'!A5:A51,"Cetea",'Treinamentos Fechados'!F5:F51)</f>
        <v>0</v>
      </c>
      <c r="D21" s="27" t="str">
        <f t="shared" si="2"/>
        <v>---</v>
      </c>
      <c r="E21" s="4">
        <f>SUMIF('Treinamentos Fechados'!A5:A51,"Cetea",'Treinamentos Fechados'!E5:E51)</f>
        <v>0</v>
      </c>
      <c r="F21" s="2" t="str">
        <f>IFERROR(SUMIFS('Treinamentos Fechados'!H5:H51,'Treinamentos Fechados'!D5:D51,"Janeiro",'Treinamentos Fechados'!A5:A51,"Cetea")/(SUMIFS('Treinamentos Fechados'!F5:F51,'Treinamentos Fechados'!A5:A51,"Cetea",'Treinamentos Fechados'!D5:D51,"Janeiro")),"-")</f>
        <v>-</v>
      </c>
      <c r="G21" s="34" t="str">
        <f>IFERROR(SUMIFS('Treinamentos Fechados'!H5:H51,'Treinamentos Fechados'!D5:D51,"Fevereiro",'Treinamentos Fechados'!A5:A51,"Cetea")/(SUMIFS('Treinamentos Fechados'!F5:F51,'Treinamentos Fechados'!A5:A51,"Cetea",'Treinamentos Fechados'!D5:D51,"Fevereiro")),"-")</f>
        <v>-</v>
      </c>
      <c r="H21" s="34" t="str">
        <f>IFERROR(SUMIFS('Treinamentos Fechados'!H5:H51,'Treinamentos Fechados'!D5:D51,"Março",'Treinamentos Fechados'!A5:A51,"Cetea")/(SUMIFS('Treinamentos Fechados'!F5:F51,'Treinamentos Fechados'!A5:A51,"Cetea",'Treinamentos Fechados'!D5:D51,"Março")),"-")</f>
        <v>-</v>
      </c>
      <c r="I21" s="34" t="str">
        <f>IFERROR(SUMIFS('Treinamentos Fechados'!H5:H51,'Treinamentos Fechados'!D5:D51,"Abril",'Treinamentos Fechados'!A5:A51,"Cetea")/(SUMIFS('Treinamentos Fechados'!F5:F51,'Treinamentos Fechados'!A5:A51,"Cetea",'Treinamentos Fechados'!D5:D51,"Abril")),"-")</f>
        <v>-</v>
      </c>
      <c r="J21" s="34" t="str">
        <f>IFERROR(SUMIFS('Treinamentos Fechados'!H5:H51,'Treinamentos Fechados'!D5:D51,"Maio",'Treinamentos Fechados'!A5:A51,"Cetea")/(SUMIFS('Treinamentos Fechados'!F5:F51,'Treinamentos Fechados'!A5:A51,"Cetea",'Treinamentos Fechados'!D5:D51,"Maio")),"-")</f>
        <v>-</v>
      </c>
      <c r="K21" s="34" t="str">
        <f>IFERROR(SUMIFS('Treinamentos Fechados'!H5:H51,'Treinamentos Fechados'!D5:D51,"Junho",'Treinamentos Fechados'!A5:A51,"Cetea")/(SUMIFS('Treinamentos Fechados'!F5:F51,'Treinamentos Fechados'!A5:A51,"Cetea",'Treinamentos Fechados'!D5:D51,"Junho")),"-")</f>
        <v>-</v>
      </c>
      <c r="L21" s="34" t="str">
        <f>IFERROR(SUMIFS('Treinamentos Fechados'!H5:H51,'Treinamentos Fechados'!D5:D51,"Julho",'Treinamentos Fechados'!A5:A51,"Cetea")/(SUMIFS('Treinamentos Fechados'!F5:F51,'Treinamentos Fechados'!A5:A51,"Cetea",'Treinamentos Fechados'!D5:D51,"Julho")),"-")</f>
        <v>-</v>
      </c>
      <c r="M21" s="34" t="str">
        <f>IFERROR(SUMIFS('Treinamentos Fechados'!H5:H51,'Treinamentos Fechados'!D5:D51,"Agosto",'Treinamentos Fechados'!A5:A51,"Cetea")/(SUMIFS('Treinamentos Fechados'!F5:F51,'Treinamentos Fechados'!A5:A51,"Cetea",'Treinamentos Fechados'!D5:D51,"Agosto")),"-")</f>
        <v>-</v>
      </c>
      <c r="N21" s="34" t="str">
        <f>IFERROR(SUMIFS('Treinamentos Fechados'!H5:H51,'Treinamentos Fechados'!D5:D51,"Setembro",'Treinamentos Fechados'!A5:A51,"Cetea")/(SUMIFS('Treinamentos Fechados'!F5:F51,'Treinamentos Fechados'!A5:A51,"Cetea",'Treinamentos Fechados'!D5:D51,"Setembro")),"-")</f>
        <v>-</v>
      </c>
      <c r="O21" s="34" t="str">
        <f>IFERROR(SUMIFS('Treinamentos Fechados'!H5:H51,'Treinamentos Fechados'!D5:D51,"Outubro",'Treinamentos Fechados'!A5:A51,"Cetea")/(SUMIFS('Treinamentos Fechados'!F5:F51,'Treinamentos Fechados'!A5:A51,"Cetea",'Treinamentos Fechados'!D5:D51,"Outubro")),"-")</f>
        <v>-</v>
      </c>
      <c r="P21" s="34" t="str">
        <f>IFERROR(SUMIFS('Treinamentos Fechados'!H5:H51,'Treinamentos Fechados'!D5:D51,"Novembro",'Treinamentos Fechados'!A5:A51,"Cetea")/(SUMIFS('Treinamentos Fechados'!F5:F51,'Treinamentos Fechados'!A5:A51,"Cetea",'Treinamentos Fechados'!D5:D51,"Novembro")),"-")</f>
        <v>-</v>
      </c>
      <c r="Q21" s="34" t="str">
        <f>IFERROR(SUMIFS('Treinamentos Fechados'!H5:H51,'Treinamentos Fechados'!D5:D51,"Dezembro",'Treinamentos Fechados'!A5:A51,"Cetea")/(SUMIFS('Treinamentos Fechados'!F5:F51,'Treinamentos Fechados'!A5:A51,"Cetea",'Treinamentos Fechados'!D5:D51,"Dezembro")),"-")</f>
        <v>-</v>
      </c>
      <c r="R21" s="32" t="str">
        <f t="shared" si="3"/>
        <v>---</v>
      </c>
    </row>
    <row r="22" spans="1:19" s="3" customFormat="1" ht="12.75" x14ac:dyDescent="0.2">
      <c r="A22" s="5" t="s">
        <v>13</v>
      </c>
      <c r="B22" s="2">
        <f>SUMIF('Treinamentos Fechados'!A5:A51,"CTC",'Treinamentos Fechados'!H5:H51)</f>
        <v>0</v>
      </c>
      <c r="C22" s="2">
        <f>SUMIF('Treinamentos Fechados'!A5:A51,"CTC",'Treinamentos Fechados'!F5:F51)</f>
        <v>0</v>
      </c>
      <c r="D22" s="27" t="str">
        <f t="shared" si="2"/>
        <v>---</v>
      </c>
      <c r="E22" s="4">
        <f>SUMIF('Treinamentos Fechados'!A5:A51,"CTC",'Treinamentos Fechados'!E5:E51)</f>
        <v>0</v>
      </c>
      <c r="F22" s="2" t="str">
        <f>IFERROR(SUMIFS('Treinamentos Fechados'!H5:H51,'Treinamentos Fechados'!D5:D51,"Janeiro",'Treinamentos Fechados'!A5:A51,"CTC")/(SUMIFS('Treinamentos Fechados'!F5:F51,'Treinamentos Fechados'!A5:A51,"CTC",'Treinamentos Fechados'!D5:D51,"Janeiro")),"-")</f>
        <v>-</v>
      </c>
      <c r="G22" s="34" t="str">
        <f>IFERROR(SUMIFS('Treinamentos Fechados'!H5:H51,'Treinamentos Fechados'!D5:D51,"Fevereiro",'Treinamentos Fechados'!A5:A51,"CTC")/(SUMIFS('Treinamentos Fechados'!F5:F51,'Treinamentos Fechados'!A5:A51,"CTC",'Treinamentos Fechados'!D5:D51,"Fevereiro")),"-")</f>
        <v>-</v>
      </c>
      <c r="H22" s="34" t="str">
        <f>IFERROR(SUMIFS('Treinamentos Fechados'!H5:H51,'Treinamentos Fechados'!D5:D51,"Março",'Treinamentos Fechados'!A5:A51,"CTC")/(SUMIFS('Treinamentos Fechados'!F5:F51,'Treinamentos Fechados'!A5:A51,"CTC",'Treinamentos Fechados'!D5:D51,"Março")),"-")</f>
        <v>-</v>
      </c>
      <c r="I22" s="34" t="str">
        <f>IFERROR(SUMIFS('Treinamentos Fechados'!H5:H51,'Treinamentos Fechados'!D5:D51,"Abril",'Treinamentos Fechados'!A5:A51,"CTC")/(SUMIFS('Treinamentos Fechados'!F5:F51,'Treinamentos Fechados'!A5:A51,"CTC",'Treinamentos Fechados'!D5:D51,"Abril")),"-")</f>
        <v>-</v>
      </c>
      <c r="J22" s="34" t="str">
        <f>IFERROR(SUMIFS('Treinamentos Fechados'!H5:H51,'Treinamentos Fechados'!D5:D51,"Maio",'Treinamentos Fechados'!A5:A51,"CTC")/(SUMIFS('Treinamentos Fechados'!F5:F51,'Treinamentos Fechados'!A5:A51,"CTC",'Treinamentos Fechados'!D5:D51,"Maio")),"-")</f>
        <v>-</v>
      </c>
      <c r="K22" s="34" t="str">
        <f>IFERROR(SUMIFS('Treinamentos Fechados'!H5:H51,'Treinamentos Fechados'!D5:D51,"Junho",'Treinamentos Fechados'!A5:A51,"CTC")/(SUMIFS('Treinamentos Fechados'!F5:F51,'Treinamentos Fechados'!A5:A51,"CTC",'Treinamentos Fechados'!D5:D51,"Junho")),"-")</f>
        <v>-</v>
      </c>
      <c r="L22" s="34" t="str">
        <f>IFERROR(SUMIFS('Treinamentos Fechados'!H5:H51,'Treinamentos Fechados'!D5:D51,"Julho",'Treinamentos Fechados'!A5:A51,"CTC")/(SUMIFS('Treinamentos Fechados'!F5:F51,'Treinamentos Fechados'!A5:A51,"CTC",'Treinamentos Fechados'!D5:D51,"Julho")),"-")</f>
        <v>-</v>
      </c>
      <c r="M22" s="34" t="str">
        <f>IFERROR(SUMIFS('Treinamentos Fechados'!H5:H51,'Treinamentos Fechados'!D5:D51,"Agosto",'Treinamentos Fechados'!A5:A51,"CTC")/(SUMIFS('Treinamentos Fechados'!F5:F51,'Treinamentos Fechados'!A5:A51,"CTC",'Treinamentos Fechados'!D5:D51,"Agosto")),"-")</f>
        <v>-</v>
      </c>
      <c r="N22" s="34" t="str">
        <f>IFERROR(SUMIFS('Treinamentos Fechados'!H5:H51,'Treinamentos Fechados'!D5:D51,"Setembro",'Treinamentos Fechados'!A5:A51,"CTC")/(SUMIFS('Treinamentos Fechados'!F5:F51,'Treinamentos Fechados'!A5:A51,"CTC",'Treinamentos Fechados'!D5:D51,"Setembro")),"-")</f>
        <v>-</v>
      </c>
      <c r="O22" s="34" t="str">
        <f>IFERROR(SUMIFS('Treinamentos Fechados'!H5:H51,'Treinamentos Fechados'!D5:D51,"Outubro",'Treinamentos Fechados'!A5:A51,"CTC")/(SUMIFS('Treinamentos Fechados'!F5:F51,'Treinamentos Fechados'!A5:A51,"CTC",'Treinamentos Fechados'!D5:D51,"Outubro")),"-")</f>
        <v>-</v>
      </c>
      <c r="P22" s="34" t="str">
        <f>IFERROR(SUMIFS('Treinamentos Fechados'!H5:H51,'Treinamentos Fechados'!D5:D51,"Novembro",'Treinamentos Fechados'!A5:A51,"CTC")/(SUMIFS('Treinamentos Fechados'!F5:F51,'Treinamentos Fechados'!A5:A51,"CTC",'Treinamentos Fechados'!D5:D51,"Novembro")),"-")</f>
        <v>-</v>
      </c>
      <c r="Q22" s="34" t="str">
        <f>IFERROR(SUMIFS('Treinamentos Fechados'!H5:H51,'Treinamentos Fechados'!D5:D51,"Dezembro",'Treinamentos Fechados'!A5:A51,"CTC")/(SUMIFS('Treinamentos Fechados'!F5:F51,'Treinamentos Fechados'!A5:A51,"CTC",'Treinamentos Fechados'!D5:D51,"Dezembro")),"-")</f>
        <v>-</v>
      </c>
      <c r="R22" s="32" t="str">
        <f t="shared" si="3"/>
        <v>---</v>
      </c>
    </row>
    <row r="23" spans="1:19" s="3" customFormat="1" ht="12.75" x14ac:dyDescent="0.2">
      <c r="A23" s="5" t="s">
        <v>9</v>
      </c>
      <c r="B23" s="2">
        <f>SUMIF('Treinamentos Fechados'!A5:A51,"DG",'Treinamentos Fechados'!H5:H51)</f>
        <v>0</v>
      </c>
      <c r="C23" s="2">
        <f>SUMIF('Treinamentos Fechados'!A5:A51,"DG",'Treinamentos Fechados'!F5:F51)</f>
        <v>0</v>
      </c>
      <c r="D23" s="27" t="str">
        <f t="shared" si="2"/>
        <v>---</v>
      </c>
      <c r="E23" s="4">
        <f>SUMIF('Treinamentos Fechados'!A5:A51,"DG",'Treinamentos Fechados'!E5:E51)</f>
        <v>0</v>
      </c>
      <c r="F23" s="2" t="str">
        <f>IFERROR(SUMIFS('Treinamentos Fechados'!H5:H51,'Treinamentos Fechados'!D5:D51,"Janeiro",'Treinamentos Fechados'!A5:A51,"DG")/(SUMIFS('Treinamentos Fechados'!F5:F51,'Treinamentos Fechados'!A5:A51,"DG",'Treinamentos Fechados'!D5:D51,"Janeiro")),"-")</f>
        <v>-</v>
      </c>
      <c r="G23" s="34" t="str">
        <f>IFERROR(SUMIFS('Treinamentos Fechados'!H5:H51,'Treinamentos Fechados'!D5:D51,"Fevereiro",'Treinamentos Fechados'!A5:A51,"DG")/(SUMIFS('Treinamentos Fechados'!F5:F51,'Treinamentos Fechados'!A5:A51,"DG",'Treinamentos Fechados'!D5:D51,"Fevereiro")),"-")</f>
        <v>-</v>
      </c>
      <c r="H23" s="34" t="str">
        <f>IFERROR(SUMIFS('Treinamentos Fechados'!H5:H51,'Treinamentos Fechados'!D5:D51,"Março",'Treinamentos Fechados'!A5:A51,"DG")/(SUMIFS('Treinamentos Fechados'!F5:F51,'Treinamentos Fechados'!A5:A51,"DG",'Treinamentos Fechados'!D5:D51,"Março")),"-")</f>
        <v>-</v>
      </c>
      <c r="I23" s="34" t="str">
        <f>IFERROR(SUMIFS('Treinamentos Fechados'!H5:H51,'Treinamentos Fechados'!D5:D51,"Abril",'Treinamentos Fechados'!A5:A51,"DG")/(SUMIFS('Treinamentos Fechados'!F5:F51,'Treinamentos Fechados'!A5:A51,"DG",'Treinamentos Fechados'!D5:D51,"Abril")),"-")</f>
        <v>-</v>
      </c>
      <c r="J23" s="34" t="str">
        <f>IFERROR(SUMIFS('Treinamentos Fechados'!H5:H51,'Treinamentos Fechados'!D5:D51,"Maio",'Treinamentos Fechados'!A5:A51,"DG")/(SUMIFS('Treinamentos Fechados'!F5:F51,'Treinamentos Fechados'!A5:A51,"DG",'Treinamentos Fechados'!D5:D51,"Maio")),"-")</f>
        <v>-</v>
      </c>
      <c r="K23" s="34" t="str">
        <f>IFERROR(SUMIFS('Treinamentos Fechados'!H5:H51,'Treinamentos Fechados'!D5:D51,"Junho",'Treinamentos Fechados'!A5:A51,"DG")/(SUMIFS('Treinamentos Fechados'!F5:F51,'Treinamentos Fechados'!A5:A51,"DG",'Treinamentos Fechados'!D5:D51,"Junho")),"-")</f>
        <v>-</v>
      </c>
      <c r="L23" s="34" t="str">
        <f>IFERROR(SUMIFS('Treinamentos Fechados'!H5:H51,'Treinamentos Fechados'!D5:D51,"Julho",'Treinamentos Fechados'!A5:A51,"DG")/(SUMIFS('Treinamentos Fechados'!F5:F51,'Treinamentos Fechados'!A5:A51,"DG",'Treinamentos Fechados'!D5:D51,"Julho")),"-")</f>
        <v>-</v>
      </c>
      <c r="M23" s="34" t="str">
        <f>IFERROR(SUMIFS('Treinamentos Fechados'!H5:H51,'Treinamentos Fechados'!D5:D51,"Agosto",'Treinamentos Fechados'!A5:A51,"DG")/(SUMIFS('Treinamentos Fechados'!F5:F51,'Treinamentos Fechados'!A5:A51,"DG",'Treinamentos Fechados'!D5:D51,"Agosto")),"-")</f>
        <v>-</v>
      </c>
      <c r="N23" s="34" t="str">
        <f>IFERROR(SUMIFS('Treinamentos Fechados'!H5:H51,'Treinamentos Fechados'!D5:D51,"Setembro",'Treinamentos Fechados'!A5:A51,"DG")/(SUMIFS('Treinamentos Fechados'!F5:F51,'Treinamentos Fechados'!A5:A51,"DG",'Treinamentos Fechados'!D5:D51,"Setembro")),"-")</f>
        <v>-</v>
      </c>
      <c r="O23" s="34" t="str">
        <f>IFERROR(SUMIFS('Treinamentos Fechados'!H5:H51,'Treinamentos Fechados'!D5:D51,"Outubro",'Treinamentos Fechados'!A5:A51,"DG")/(SUMIFS('Treinamentos Fechados'!F5:F51,'Treinamentos Fechados'!A5:A51,"DG",'Treinamentos Fechados'!D5:D51,"Outubro")),"-")</f>
        <v>-</v>
      </c>
      <c r="P23" s="34" t="str">
        <f>IFERROR(SUMIFS('Treinamentos Fechados'!H5:H51,'Treinamentos Fechados'!D5:D51,"Novembro",'Treinamentos Fechados'!A5:A51,"DG")/(SUMIFS('Treinamentos Fechados'!F5:F51,'Treinamentos Fechados'!A5:A51,"DG",'Treinamentos Fechados'!D5:D51,"Novembro")),"-")</f>
        <v>-</v>
      </c>
      <c r="Q23" s="34" t="str">
        <f>IFERROR(SUMIFS('Treinamentos Fechados'!H5:H51,'Treinamentos Fechados'!D5:D51,"Dezembro",'Treinamentos Fechados'!A5:A51,"DG")/(SUMIFS('Treinamentos Fechados'!F5:F51,'Treinamentos Fechados'!A5:A51,"DG",'Treinamentos Fechados'!D5:D51,"Dezembro")),"-")</f>
        <v>-</v>
      </c>
      <c r="R23" s="32" t="str">
        <f t="shared" si="3"/>
        <v>---</v>
      </c>
    </row>
    <row r="24" spans="1:19" s="3" customFormat="1" ht="12.75" x14ac:dyDescent="0.2">
      <c r="A24" s="5" t="s">
        <v>14</v>
      </c>
      <c r="B24" s="2">
        <f>SUMIF('Treinamentos Fechados'!A5:A51,"Fruthotec",'Treinamentos Fechados'!H5:H51)</f>
        <v>0</v>
      </c>
      <c r="C24" s="2">
        <f>SUMIF('Treinamentos Fechados'!A5:A51,"Fruthotec",'Treinamentos Fechados'!F5:F51)</f>
        <v>0</v>
      </c>
      <c r="D24" s="27" t="str">
        <f t="shared" si="2"/>
        <v>---</v>
      </c>
      <c r="E24" s="4">
        <f>SUMIF('Treinamentos Fechados'!A5:A51,"Fruthotec",'Treinamentos Fechados'!E5:E51)</f>
        <v>0</v>
      </c>
      <c r="F24" s="2" t="str">
        <f>IFERROR(SUMIFS('Treinamentos Fechados'!H5:H51,'Treinamentos Fechados'!D5:D51,"Janeiro",'Treinamentos Fechados'!A5:A51,"Fruthotec")/(SUMIFS('Treinamentos Fechados'!F5:F51,'Treinamentos Fechados'!A5:A51,"Fruthotec",'Treinamentos Fechados'!D5:D51,"Janeiro")),"-")</f>
        <v>-</v>
      </c>
      <c r="G24" s="34" t="str">
        <f>IFERROR(SUMIFS('Treinamentos Fechados'!H5:H51,'Treinamentos Fechados'!D5:D51,"Fevereiro",'Treinamentos Fechados'!A5:A51,"Fruthotec")/(SUMIFS('Treinamentos Fechados'!F5:F51,'Treinamentos Fechados'!A5:A51,"Fruthotec",'Treinamentos Fechados'!D5:D51,"Fevereiro")),"-")</f>
        <v>-</v>
      </c>
      <c r="H24" s="34" t="str">
        <f>IFERROR(SUMIFS('Treinamentos Fechados'!H5:H51,'Treinamentos Fechados'!D5:D51,"Março",'Treinamentos Fechados'!A5:A51,"Fruthotec")/(SUMIFS('Treinamentos Fechados'!F5:F51,'Treinamentos Fechados'!A5:A51,"Fruthotec",'Treinamentos Fechados'!D5:D51,"Março")),"-")</f>
        <v>-</v>
      </c>
      <c r="I24" s="34" t="str">
        <f>IFERROR(SUMIFS('Treinamentos Fechados'!H5:H51,'Treinamentos Fechados'!D5:D51,"Abril",'Treinamentos Fechados'!A5:A51,"Fruthotec")/(SUMIFS('Treinamentos Fechados'!F5:F51,'Treinamentos Fechados'!A5:A51,"Fruthotec",'Treinamentos Fechados'!D5:D51,"Abril")),"-")</f>
        <v>-</v>
      </c>
      <c r="J24" s="34" t="str">
        <f>IFERROR(SUMIFS('Treinamentos Fechados'!H5:H51,'Treinamentos Fechados'!D5:D51,"Maio",'Treinamentos Fechados'!A5:A51,"Fruthotec")/(SUMIFS('Treinamentos Fechados'!F5:F51,'Treinamentos Fechados'!A5:A51,"Fruthotec",'Treinamentos Fechados'!D5:D51,"Maio")),"-")</f>
        <v>-</v>
      </c>
      <c r="K24" s="34" t="str">
        <f>IFERROR(SUMIFS('Treinamentos Fechados'!H5:H51,'Treinamentos Fechados'!D5:D51,"Junho",'Treinamentos Fechados'!A5:A51,"Fruthotec")/(SUMIFS('Treinamentos Fechados'!F5:F51,'Treinamentos Fechados'!A5:A51,"Fruthotec",'Treinamentos Fechados'!D5:D51,"Junho")),"-")</f>
        <v>-</v>
      </c>
      <c r="L24" s="34" t="str">
        <f>IFERROR(SUMIFS('Treinamentos Fechados'!H5:H51,'Treinamentos Fechados'!D5:D51,"Julho",'Treinamentos Fechados'!A5:A51,"Fruthotec")/(SUMIFS('Treinamentos Fechados'!F5:F51,'Treinamentos Fechados'!A5:A51,"Fruthotec",'Treinamentos Fechados'!D5:D51,"Julho")),"-")</f>
        <v>-</v>
      </c>
      <c r="M24" s="34" t="str">
        <f>IFERROR(SUMIFS('Treinamentos Fechados'!H5:H51,'Treinamentos Fechados'!D5:D51,"Agosto",'Treinamentos Fechados'!A5:A51,"Fruthotec")/(SUMIFS('Treinamentos Fechados'!F5:F51,'Treinamentos Fechados'!A5:A51,"Fruthotec",'Treinamentos Fechados'!D5:D51,"Agosto")),"-")</f>
        <v>-</v>
      </c>
      <c r="N24" s="34" t="str">
        <f>IFERROR(SUMIFS('Treinamentos Fechados'!H5:H51,'Treinamentos Fechados'!D5:D51,"Setembro",'Treinamentos Fechados'!A5:A51,"Fruthotec")/(SUMIFS('Treinamentos Fechados'!F5:F51,'Treinamentos Fechados'!A5:A51,"Fruthotec",'Treinamentos Fechados'!D5:D51,"Setembro")),"-")</f>
        <v>-</v>
      </c>
      <c r="O24" s="34" t="str">
        <f>IFERROR(SUMIFS('Treinamentos Fechados'!H5:H51,'Treinamentos Fechados'!D5:D51,"Outubro",'Treinamentos Fechados'!A5:A51,"Fruthotec")/(SUMIFS('Treinamentos Fechados'!F5:F51,'Treinamentos Fechados'!A5:A51,"Fruthotec",'Treinamentos Fechados'!D5:D51,"Outubro")),"-")</f>
        <v>-</v>
      </c>
      <c r="P24" s="34" t="str">
        <f>IFERROR(SUMIFS('Treinamentos Fechados'!H5:H51,'Treinamentos Fechados'!D5:D51,"Novembro",'Treinamentos Fechados'!A5:A51,"Fruthotec")/(SUMIFS('Treinamentos Fechados'!F5:F51,'Treinamentos Fechados'!A5:A51,"Fruthotec",'Treinamentos Fechados'!D5:D51,"Novembro")),"-")</f>
        <v>-</v>
      </c>
      <c r="Q24" s="34" t="str">
        <f>IFERROR(SUMIFS('Treinamentos Fechados'!H5:H51,'Treinamentos Fechados'!D5:D51,"Dezembro",'Treinamentos Fechados'!A5:A51,"Fruthotec")/(SUMIFS('Treinamentos Fechados'!F5:F51,'Treinamentos Fechados'!A5:A51,"Fruthotec",'Treinamentos Fechados'!D5:D51,"Dezembro")),"-")</f>
        <v>-</v>
      </c>
      <c r="R24" s="32" t="str">
        <f t="shared" si="3"/>
        <v>---</v>
      </c>
    </row>
    <row r="25" spans="1:19" s="3" customFormat="1" ht="12.75" x14ac:dyDescent="0.2">
      <c r="A25" s="5" t="s">
        <v>12</v>
      </c>
      <c r="B25" s="2">
        <f>SUMIF('Treinamentos Fechados'!A5:A51,"Tecnolat",'Treinamentos Fechados'!H5:H51)</f>
        <v>0</v>
      </c>
      <c r="C25" s="2">
        <f>SUMIF('Treinamentos Fechados'!A5:A51,"Tecnolat",'Treinamentos Fechados'!F5:F51)</f>
        <v>0</v>
      </c>
      <c r="D25" s="27" t="str">
        <f t="shared" si="2"/>
        <v>---</v>
      </c>
      <c r="E25" s="4">
        <f>SUMIF('Treinamentos Fechados'!A5:A51,"Tecnolat",'Treinamentos Fechados'!E5:E51)</f>
        <v>0</v>
      </c>
      <c r="F25" s="2" t="str">
        <f>IFERROR(SUMIFS('Treinamentos Fechados'!H5:H51,'Treinamentos Fechados'!D5:D51,"Janeiro",'Treinamentos Fechados'!A5:A51,"Tecnolat")/(SUMIFS('Treinamentos Fechados'!F5:F51,'Treinamentos Fechados'!A5:A51,"Tecnolat",'Treinamentos Fechados'!D5:D51,"Janeiro")),"-")</f>
        <v>-</v>
      </c>
      <c r="G25" s="34" t="str">
        <f>IFERROR(SUMIFS('Treinamentos Fechados'!H5:H51,'Treinamentos Fechados'!D5:D51,"Fevereiro",'Treinamentos Fechados'!A5:A51,"Tecnolat")/(SUMIFS('Treinamentos Fechados'!F5:F51,'Treinamentos Fechados'!A5:A51,"Tecnolat",'Treinamentos Fechados'!D5:D51,"Fevereiro")),"-")</f>
        <v>-</v>
      </c>
      <c r="H25" s="34" t="str">
        <f>IFERROR(SUMIFS('Treinamentos Fechados'!H5:H51,'Treinamentos Fechados'!D5:D51,"Março",'Treinamentos Fechados'!A5:A51,"Tecnolat")/(SUMIFS('Treinamentos Fechados'!F5:F51,'Treinamentos Fechados'!A5:A51,"Tecnolat",'Treinamentos Fechados'!D5:D51,"Março")),"-")</f>
        <v>-</v>
      </c>
      <c r="I25" s="34" t="str">
        <f>IFERROR(SUMIFS('Treinamentos Fechados'!H5:H51,'Treinamentos Fechados'!D5:D51,"Abril",'Treinamentos Fechados'!A5:A51,"Tecnolat")/(SUMIFS('Treinamentos Fechados'!F5:F51,'Treinamentos Fechados'!A5:A51,"Tecnolat",'Treinamentos Fechados'!D5:D51,"Abril")),"-")</f>
        <v>-</v>
      </c>
      <c r="J25" s="34" t="str">
        <f>IFERROR(SUMIFS('Treinamentos Fechados'!H5:H51,'Treinamentos Fechados'!D5:D51,"Maio",'Treinamentos Fechados'!A5:A51,"Tecnolat")/(SUMIFS('Treinamentos Fechados'!F5:F51,'Treinamentos Fechados'!A5:A51,"Tecnolat",'Treinamentos Fechados'!D5:D51,"Maio")),"-")</f>
        <v>-</v>
      </c>
      <c r="K25" s="34" t="str">
        <f>IFERROR(SUMIFS('Treinamentos Fechados'!H5:H51,'Treinamentos Fechados'!D5:D51,"Junho",'Treinamentos Fechados'!A5:A51,"Tecnolat")/(SUMIFS('Treinamentos Fechados'!F5:F51,'Treinamentos Fechados'!A5:A51,"Tecnolat",'Treinamentos Fechados'!D5:D51,"Junho")),"-")</f>
        <v>-</v>
      </c>
      <c r="L25" s="34" t="str">
        <f>IFERROR(SUMIFS('Treinamentos Fechados'!H5:H51,'Treinamentos Fechados'!D5:D51,"Julho",'Treinamentos Fechados'!A5:A51,"Tecnolat")/(SUMIFS('Treinamentos Fechados'!F5:F51,'Treinamentos Fechados'!A5:A51,"Tecnolat",'Treinamentos Fechados'!D5:D51,"Julho")),"-")</f>
        <v>-</v>
      </c>
      <c r="M25" s="34" t="str">
        <f>IFERROR(SUMIFS('Treinamentos Fechados'!H5:H51,'Treinamentos Fechados'!D5:D51,"Agosto",'Treinamentos Fechados'!A5:A51,"Tecnolat")/(SUMIFS('Treinamentos Fechados'!F5:F51,'Treinamentos Fechados'!A5:A51,"Tecnolat",'Treinamentos Fechados'!D5:D51,"Agosto")),"-")</f>
        <v>-</v>
      </c>
      <c r="N25" s="34" t="str">
        <f>IFERROR(SUMIFS('Treinamentos Fechados'!H5:H51,'Treinamentos Fechados'!D5:D51,"Setembro",'Treinamentos Fechados'!A5:A51,"Tecnolat")/(SUMIFS('Treinamentos Fechados'!F5:F51,'Treinamentos Fechados'!A5:A51,"Tecnolat",'Treinamentos Fechados'!D5:D51,"Setembro")),"-")</f>
        <v>-</v>
      </c>
      <c r="O25" s="34" t="str">
        <f>IFERROR(SUMIFS('Treinamentos Fechados'!H5:H51,'Treinamentos Fechados'!D5:D51,"Outubro",'Treinamentos Fechados'!A5:A51,"Tecnolat")/(SUMIFS('Treinamentos Fechados'!F5:F51,'Treinamentos Fechados'!A5:A51,"Tecnolat",'Treinamentos Fechados'!D5:D51,"Outubro")),"-")</f>
        <v>-</v>
      </c>
      <c r="P25" s="34" t="str">
        <f>IFERROR(SUMIFS('Treinamentos Fechados'!H5:H51,'Treinamentos Fechados'!D5:D51,"Novembro",'Treinamentos Fechados'!A5:A51,"Tecnolat")/(SUMIFS('Treinamentos Fechados'!F5:F51,'Treinamentos Fechados'!A5:A51,"Tecnolat",'Treinamentos Fechados'!D5:D51,"Novembro")),"-")</f>
        <v>-</v>
      </c>
      <c r="Q25" s="34" t="str">
        <f>IFERROR(SUMIFS('Treinamentos Fechados'!H5:H51,'Treinamentos Fechados'!D5:D51,"Dezembro",'Treinamentos Fechados'!A5:A51,"Tecnolat")/(SUMIFS('Treinamentos Fechados'!F5:F51,'Treinamentos Fechados'!A5:A51,"Tecnolat",'Treinamentos Fechados'!D5:D51,"Dezembro")),"-")</f>
        <v>-</v>
      </c>
      <c r="R25" s="35" t="str">
        <f t="shared" si="3"/>
        <v>---</v>
      </c>
    </row>
    <row r="26" spans="1:19" s="3" customFormat="1" ht="12.75" x14ac:dyDescent="0.2">
      <c r="A26" s="10" t="s">
        <v>15</v>
      </c>
      <c r="B26" s="12">
        <f>SUM(B19:B25)</f>
        <v>0</v>
      </c>
      <c r="C26" s="12">
        <f>SUM(C19:C25)</f>
        <v>0</v>
      </c>
      <c r="D26" s="29" t="str">
        <f>IFERROR(B26/C26,"---")</f>
        <v>---</v>
      </c>
      <c r="E26" s="12">
        <f>SUM(E19:E25)</f>
        <v>0</v>
      </c>
      <c r="F26" s="12" t="str">
        <f>IFERROR(SUMIF('Treinamentos Fechados'!D5:D51,"Janeiro",'Treinamentos Fechados'!H5:H51)/(SUMIF('Treinamentos Fechados'!D5:D51,"Janeiro",'Treinamentos Fechados'!F5:F51)),"-")</f>
        <v>-</v>
      </c>
      <c r="G26" s="12" t="str">
        <f>IFERROR(SUMIF('Treinamentos Fechados'!D5:D51,"Fevereiro",'Treinamentos Fechados'!H5:H51)/(SUMIF('Treinamentos Fechados'!D5:D51,"Fevereiro",'Treinamentos Fechados'!F5:F51)),"-")</f>
        <v>-</v>
      </c>
      <c r="H26" s="12" t="str">
        <f>IFERROR(SUMIF('Treinamentos Fechados'!D5:D51,"Março",'Treinamentos Fechados'!H5:H51)/(SUMIF('Treinamentos Fechados'!D5:D51,"Março",'Treinamentos Fechados'!F5:F51)),"-")</f>
        <v>-</v>
      </c>
      <c r="I26" s="12" t="str">
        <f>IFERROR(SUMIF('Treinamentos Fechados'!D5:D51,"Abril",'Treinamentos Fechados'!H5:H51)/(SUMIF('Treinamentos Fechados'!D5:D51,"Abril",'Treinamentos Fechados'!F5:F51)),"-")</f>
        <v>-</v>
      </c>
      <c r="J26" s="12" t="str">
        <f>IFERROR(SUMIF('Treinamentos Fechados'!D5:D51,"Maio",'Treinamentos Fechados'!H5:H51)/(SUMIF('Treinamentos Fechados'!D5:D51,"Maio",'Treinamentos Fechados'!F5:F51)),"-")</f>
        <v>-</v>
      </c>
      <c r="K26" s="12" t="str">
        <f>IFERROR(SUMIF('Treinamentos Fechados'!D5:D51,"Junho",'Treinamentos Fechados'!H5:H51)/(SUMIF('Treinamentos Fechados'!D5:D51,"Junho",'Treinamentos Fechados'!F5:F51)),"-")</f>
        <v>-</v>
      </c>
      <c r="L26" s="12" t="str">
        <f>IFERROR(SUMIF('Treinamentos Fechados'!D5:D51,"Julho",'Treinamentos Fechados'!H5:H51)/(SUMIF('Treinamentos Fechados'!D5:D51,"Julho",'Treinamentos Fechados'!F5:F51)),"-")</f>
        <v>-</v>
      </c>
      <c r="M26" s="12" t="str">
        <f>IFERROR(SUMIF('Treinamentos Fechados'!D5:D51,"Agosto",'Treinamentos Fechados'!H5:H51)/(SUMIF('Treinamentos Fechados'!D5:D51,"Agosto",'Treinamentos Fechados'!F5:F51)),"-")</f>
        <v>-</v>
      </c>
      <c r="N26" s="12" t="str">
        <f>IFERROR(SUMIF('Treinamentos Fechados'!D5:D51,"Setembro",'Treinamentos Fechados'!H5:H51)/(SUMIF('Treinamentos Fechados'!D5:D51,"Setembro",'Treinamentos Fechados'!F5:F51)),"-")</f>
        <v>-</v>
      </c>
      <c r="O26" s="12" t="str">
        <f>IFERROR(SUMIF('Treinamentos Fechados'!D5:D51,"Outubro",'Treinamentos Fechados'!H5:H51)/(SUMIF('Treinamentos Fechados'!D5:D51,"Outubro",'Treinamentos Fechados'!F5:F51)),"-")</f>
        <v>-</v>
      </c>
      <c r="P26" s="12" t="str">
        <f>IFERROR(SUMIF('Treinamentos Fechados'!D5:D51,"Novembro",'Treinamentos Fechados'!H5:H51)/(SUMIF('Treinamentos Fechados'!D5:D51,"Novembro",'Treinamentos Fechados'!F5:F51)),"-")</f>
        <v>-</v>
      </c>
      <c r="Q26" s="12" t="str">
        <f>IFERROR(SUMIF('Treinamentos Fechados'!D5:D51,"Dezembro",'Treinamentos Fechados'!H5:H51)/(SUMIF('Treinamentos Fechados'!D5:D51,"Dezembro",'Treinamentos Fechados'!F5:F51)),"-")</f>
        <v>-</v>
      </c>
      <c r="R26" s="33" t="str">
        <f t="shared" si="3"/>
        <v>---</v>
      </c>
    </row>
    <row r="27" spans="1:19" ht="15.75" thickBot="1" x14ac:dyDescent="0.3">
      <c r="A27" s="3"/>
      <c r="B27" s="3"/>
      <c r="C27" s="3"/>
      <c r="D27" s="3"/>
      <c r="E27" s="3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3"/>
    </row>
    <row r="28" spans="1:19" ht="15.75" thickBot="1" x14ac:dyDescent="0.3">
      <c r="A28" s="67" t="s">
        <v>20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9"/>
      <c r="S28" s="3"/>
    </row>
    <row r="29" spans="1:19" x14ac:dyDescent="0.25">
      <c r="A29" s="3"/>
      <c r="B29" s="3"/>
      <c r="C29" s="3"/>
      <c r="D29" s="3"/>
      <c r="E29" s="3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3"/>
    </row>
    <row r="30" spans="1:19" x14ac:dyDescent="0.25">
      <c r="A30" s="18" t="s">
        <v>0</v>
      </c>
      <c r="B30" s="19" t="s">
        <v>31</v>
      </c>
      <c r="C30" s="19" t="s">
        <v>32</v>
      </c>
      <c r="D30" s="19" t="s">
        <v>33</v>
      </c>
      <c r="E30" s="19" t="s">
        <v>36</v>
      </c>
      <c r="F30" s="19" t="s">
        <v>37</v>
      </c>
      <c r="G30" s="19" t="s">
        <v>24</v>
      </c>
      <c r="H30" s="19" t="s">
        <v>25</v>
      </c>
      <c r="I30" s="19" t="s">
        <v>23</v>
      </c>
      <c r="J30" s="19" t="s">
        <v>30</v>
      </c>
      <c r="K30" s="19" t="s">
        <v>26</v>
      </c>
      <c r="L30" s="19" t="s">
        <v>22</v>
      </c>
      <c r="M30" s="19" t="s">
        <v>29</v>
      </c>
      <c r="N30" s="19" t="s">
        <v>38</v>
      </c>
      <c r="O30" s="25"/>
      <c r="P30" s="25"/>
      <c r="Q30" s="25"/>
      <c r="R30" s="25"/>
      <c r="S30" s="3"/>
    </row>
    <row r="31" spans="1:19" x14ac:dyDescent="0.25">
      <c r="A31" s="5" t="s">
        <v>16</v>
      </c>
      <c r="B31" s="4">
        <f>COUNTIFS(Eventos!A5:A51,"C.Chocotec",Eventos!D5:D51,"Janeiro")</f>
        <v>0</v>
      </c>
      <c r="C31" s="4">
        <f>COUNTIFS(Eventos!A5:A51,"C.Chocotec",Eventos!D5:D51,"Fevereiro")</f>
        <v>0</v>
      </c>
      <c r="D31" s="4">
        <f>COUNTIFS(Eventos!A5:A51,"C.Chocotec",Eventos!D5:D51,"Março")</f>
        <v>0</v>
      </c>
      <c r="E31" s="4">
        <f>COUNTIFS(Eventos!A5:A51,"C.Chocotec",Eventos!D5:D51,"Abril")</f>
        <v>0</v>
      </c>
      <c r="F31" s="2">
        <f>COUNTIFS(Eventos!A5:A51,"C.Chocotec",Eventos!D5:D51,"Maio")</f>
        <v>0</v>
      </c>
      <c r="G31" s="2">
        <f>COUNTIFS(Eventos!A5:A51,"C.Chocotec",Eventos!D5:D51,"Junho")</f>
        <v>0</v>
      </c>
      <c r="H31" s="2">
        <f>COUNTIFS(Eventos!A5:A51,"C.Chocotec",Eventos!D5:D51,"Julho")</f>
        <v>0</v>
      </c>
      <c r="I31" s="2">
        <f>COUNTIFS(Eventos!A5:A51,"C.Chocotec",Eventos!D5:D51,"Agosto")</f>
        <v>0</v>
      </c>
      <c r="J31" s="2">
        <f>COUNTIFS(Eventos!A5:A51,"C.Chocotec",Eventos!D5:D51,"Setembro")</f>
        <v>0</v>
      </c>
      <c r="K31" s="2">
        <f>COUNTIFS(Eventos!A5:A51,"C.Chocotec",Eventos!D5:D51,"Outubro")</f>
        <v>0</v>
      </c>
      <c r="L31" s="2">
        <f>COUNTIFS(Eventos!A5:A51,"C.Chocotec",Eventos!D5:D51,"Novembro")</f>
        <v>0</v>
      </c>
      <c r="M31" s="2">
        <f>COUNTIFS(Eventos!A5:A51,"C.Chocotec",Eventos!D5:D51,"Dezembro")</f>
        <v>0</v>
      </c>
      <c r="N31" s="2">
        <f>COUNTIF(Eventos!A5:A51,"C.Chocotec")</f>
        <v>0</v>
      </c>
      <c r="O31" s="25"/>
      <c r="P31" s="25"/>
      <c r="Q31" s="25"/>
      <c r="R31" s="25"/>
      <c r="S31" s="3"/>
    </row>
    <row r="32" spans="1:19" x14ac:dyDescent="0.25">
      <c r="A32" s="5" t="s">
        <v>10</v>
      </c>
      <c r="B32" s="39">
        <f>COUNTIFS(Eventos!A5:A51,"CCQA",Eventos!D5:D51,"Janeiro")</f>
        <v>0</v>
      </c>
      <c r="C32" s="39">
        <f>COUNTIFS(Eventos!A5:A51,"CCQA",Eventos!D5:D51,"Fevereiro")</f>
        <v>0</v>
      </c>
      <c r="D32" s="39">
        <f>COUNTIFS(Eventos!A5:A51,"CCQA",Eventos!D5:D51,"Março")</f>
        <v>0</v>
      </c>
      <c r="E32" s="39">
        <f>COUNTIFS(Eventos!A5:A51,"CCQA",Eventos!D5:D51,"Abril")</f>
        <v>0</v>
      </c>
      <c r="F32" s="39">
        <f>COUNTIFS(Eventos!A5:A51,"CCQA",Eventos!D5:D51,"Maio")</f>
        <v>0</v>
      </c>
      <c r="G32" s="39">
        <f>COUNTIFS(Eventos!A5:A51,"CCQA",Eventos!D5:D51,"Junho")</f>
        <v>0</v>
      </c>
      <c r="H32" s="39">
        <f>COUNTIFS(Eventos!A5:A51,"CCQA",Eventos!D5:D51,"Julho")</f>
        <v>0</v>
      </c>
      <c r="I32" s="39">
        <f>COUNTIFS(Eventos!A5:A51,"CCQA",Eventos!D5:D51,"Agosto")</f>
        <v>0</v>
      </c>
      <c r="J32" s="39">
        <f>COUNTIFS(Eventos!A5:A51,"CCQA",Eventos!D5:D51,"Setembro")</f>
        <v>0</v>
      </c>
      <c r="K32" s="39">
        <f>COUNTIFS(Eventos!A5:A51,"CCQA",Eventos!D5:D51,"Outubro")</f>
        <v>0</v>
      </c>
      <c r="L32" s="39">
        <f>COUNTIFS(Eventos!A5:A51,"CCQA",Eventos!D5:D51,"Novembro")</f>
        <v>0</v>
      </c>
      <c r="M32" s="39">
        <f>COUNTIFS(Eventos!A5:A51,"CCQA",Eventos!D5:D51,"Dezembro")</f>
        <v>0</v>
      </c>
      <c r="N32" s="2">
        <f>COUNTIF(Eventos!A5:A51,"CCQA")</f>
        <v>0</v>
      </c>
      <c r="O32" s="25"/>
      <c r="P32" s="25"/>
      <c r="Q32" s="25"/>
      <c r="R32" s="25"/>
      <c r="S32" s="3"/>
    </row>
    <row r="33" spans="1:19" x14ac:dyDescent="0.25">
      <c r="A33" s="5" t="s">
        <v>11</v>
      </c>
      <c r="B33" s="39">
        <f>COUNTIFS(Eventos!A5:A51,"Cetea",Eventos!D5:D51,"Janeiro")</f>
        <v>0</v>
      </c>
      <c r="C33" s="39">
        <f>COUNTIFS(Eventos!A5:A51,"Cetea",Eventos!D5:D51,"Fevereiro")</f>
        <v>0</v>
      </c>
      <c r="D33" s="39">
        <f>COUNTIFS(Eventos!A5:A51,"Cetea",Eventos!D5:D51,"Março")</f>
        <v>0</v>
      </c>
      <c r="E33" s="39">
        <f>COUNTIFS(Eventos!A5:A51,"Cetea",Eventos!D5:D51,"Abril")</f>
        <v>0</v>
      </c>
      <c r="F33" s="39">
        <f>COUNTIFS(Eventos!A5:A51,"Cetea",Eventos!D5:D51,"Maio")</f>
        <v>0</v>
      </c>
      <c r="G33" s="39">
        <f>COUNTIFS(Eventos!A5:A51,"Cetea",Eventos!D5:D51,"Junho")</f>
        <v>0</v>
      </c>
      <c r="H33" s="39">
        <f>COUNTIFS(Eventos!A5:A51,"Cetea",Eventos!D5:D51,"Julho")</f>
        <v>0</v>
      </c>
      <c r="I33" s="39">
        <f>COUNTIFS(Eventos!A5:A51,"Cetea",Eventos!D5:D51,"Agosto")</f>
        <v>0</v>
      </c>
      <c r="J33" s="39">
        <f>COUNTIFS(Eventos!A5:A51,"Cetea",Eventos!D5:D51,"Setembro")</f>
        <v>0</v>
      </c>
      <c r="K33" s="39">
        <f>COUNTIFS(Eventos!A5:A51,"Cetea",Eventos!D5:D51,"Outubro")</f>
        <v>0</v>
      </c>
      <c r="L33" s="39">
        <f>COUNTIFS(Eventos!A5:A51,"Cetea",Eventos!D5:D51,"Novembro")</f>
        <v>0</v>
      </c>
      <c r="M33" s="39">
        <f>COUNTIFS(Eventos!A5:A51,"Cetea",Eventos!D5:D51,"Dezembro")</f>
        <v>0</v>
      </c>
      <c r="N33" s="2">
        <f>COUNTIF(Eventos!A5:A51,"Cetea")</f>
        <v>0</v>
      </c>
      <c r="O33" s="25"/>
      <c r="P33" s="25"/>
      <c r="Q33" s="25"/>
      <c r="R33" s="25"/>
      <c r="S33" s="3"/>
    </row>
    <row r="34" spans="1:19" x14ac:dyDescent="0.25">
      <c r="A34" s="5" t="s">
        <v>13</v>
      </c>
      <c r="B34" s="39">
        <f>COUNTIFS(Eventos!A5:A51,"CTC",Eventos!D5:D51,"Janeiro")</f>
        <v>0</v>
      </c>
      <c r="C34" s="39">
        <f>COUNTIFS(Eventos!A5:A51,"CTC",Eventos!D5:D51,"Fevereiro")</f>
        <v>0</v>
      </c>
      <c r="D34" s="39">
        <f>COUNTIFS(Eventos!A5:A51,"CTC",Eventos!D5:D51,"Março")</f>
        <v>0</v>
      </c>
      <c r="E34" s="39">
        <f>COUNTIFS(Eventos!A5:A51,"CTC",Eventos!D5:D51,"Abril")</f>
        <v>0</v>
      </c>
      <c r="F34" s="39">
        <f>COUNTIFS(Eventos!A5:A51,"CTC",Eventos!D5:D51,"Maio")</f>
        <v>0</v>
      </c>
      <c r="G34" s="39">
        <f>COUNTIFS(Eventos!A5:A51,"CTC",Eventos!D5:D51,"Junho")</f>
        <v>0</v>
      </c>
      <c r="H34" s="39">
        <f>COUNTIFS(Eventos!A5:A51,"CTC",Eventos!D5:D51,"Julho")</f>
        <v>0</v>
      </c>
      <c r="I34" s="39">
        <f>COUNTIFS(Eventos!A5:A51,"CTC",Eventos!D5:D51,"Agosto")</f>
        <v>0</v>
      </c>
      <c r="J34" s="39">
        <f>COUNTIFS(Eventos!A5:A51,"CTC",Eventos!D5:D51,"Setembro")</f>
        <v>0</v>
      </c>
      <c r="K34" s="39">
        <f>COUNTIFS(Eventos!A5:A51,"CTC",Eventos!D5:D51,"Outubro")</f>
        <v>0</v>
      </c>
      <c r="L34" s="39">
        <f>COUNTIFS(Eventos!A5:A51,"CTC",Eventos!D5:D51,"Novembro")</f>
        <v>0</v>
      </c>
      <c r="M34" s="39">
        <f>COUNTIFS(Eventos!A5:A51,"CTC",Eventos!D5:D51,"Dezembro")</f>
        <v>0</v>
      </c>
      <c r="N34" s="2">
        <f>COUNTIF(Eventos!A5:A51,"CTC")</f>
        <v>0</v>
      </c>
      <c r="O34" s="25"/>
      <c r="P34" s="25"/>
      <c r="Q34" s="25"/>
      <c r="R34" s="25"/>
      <c r="S34" s="3"/>
    </row>
    <row r="35" spans="1:19" x14ac:dyDescent="0.25">
      <c r="A35" s="5" t="s">
        <v>9</v>
      </c>
      <c r="B35" s="39">
        <f>COUNTIFS(Eventos!A5:A51,"DG",Eventos!D5:D51,"Janeiro")</f>
        <v>0</v>
      </c>
      <c r="C35" s="39">
        <f>COUNTIFS(Eventos!A5:A51,"DG",Eventos!D5:D51,"Fevereiro")</f>
        <v>0</v>
      </c>
      <c r="D35" s="39">
        <f>COUNTIFS(Eventos!A5:A51,"DG",Eventos!D5:D51,"Março")</f>
        <v>0</v>
      </c>
      <c r="E35" s="39">
        <f>COUNTIFS(Eventos!A5:A51,"DG",Eventos!D5:D51,"Abril")</f>
        <v>0</v>
      </c>
      <c r="F35" s="39">
        <f>COUNTIFS(Eventos!A5:A51,"DG",Eventos!D5:D51,"Maio")</f>
        <v>0</v>
      </c>
      <c r="G35" s="39">
        <f>COUNTIFS(Eventos!A5:A51,"DG",Eventos!D5:D51,"Junho")</f>
        <v>0</v>
      </c>
      <c r="H35" s="39">
        <f>COUNTIFS(Eventos!A5:A51,"DG",Eventos!D5:D51,"Julho")</f>
        <v>0</v>
      </c>
      <c r="I35" s="39">
        <f>COUNTIFS(Eventos!A5:A51,"DG",Eventos!D5:D51,"Agosto")</f>
        <v>0</v>
      </c>
      <c r="J35" s="39">
        <f>COUNTIFS(Eventos!A5:A51,"DG",Eventos!D5:D51,"Setembro")</f>
        <v>0</v>
      </c>
      <c r="K35" s="39">
        <f>COUNTIFS(Eventos!A5:A51,"DG",Eventos!D5:D51,"Outubro")</f>
        <v>0</v>
      </c>
      <c r="L35" s="39">
        <f>COUNTIFS(Eventos!A5:A51,"DG",Eventos!D5:D51,"Novembro")</f>
        <v>0</v>
      </c>
      <c r="M35" s="39">
        <f>COUNTIFS(Eventos!A5:A51,"DG",Eventos!D5:D51,"Dezembro")</f>
        <v>0</v>
      </c>
      <c r="N35" s="2">
        <f>COUNTIF(Eventos!A5:A51,"DG")</f>
        <v>0</v>
      </c>
      <c r="O35" s="25"/>
      <c r="P35" s="25"/>
      <c r="Q35" s="25"/>
      <c r="R35" s="25"/>
      <c r="S35" s="3"/>
    </row>
    <row r="36" spans="1:19" x14ac:dyDescent="0.25">
      <c r="A36" s="5" t="s">
        <v>14</v>
      </c>
      <c r="B36" s="39">
        <f>COUNTIFS(Eventos!A5:A51,"Fruthotec",Eventos!D5:D51,"Janeiro")</f>
        <v>0</v>
      </c>
      <c r="C36" s="39">
        <f>COUNTIFS(Eventos!A5:A51,"Fruthotec",Eventos!D5:D51,"Fevereiro")</f>
        <v>0</v>
      </c>
      <c r="D36" s="39">
        <f>COUNTIFS(Eventos!A5:A51,"Fruthotec",Eventos!D5:D51,"Março")</f>
        <v>0</v>
      </c>
      <c r="E36" s="39">
        <f>COUNTIFS(Eventos!A5:A51,"Fruthotec",Eventos!D5:D51,"Abril")</f>
        <v>0</v>
      </c>
      <c r="F36" s="39">
        <f>COUNTIFS(Eventos!A5:A51,"Fruthotec",Eventos!D5:D51,"Maio")</f>
        <v>0</v>
      </c>
      <c r="G36" s="39">
        <f>COUNTIFS(Eventos!A5:A51,"Fruthotec",Eventos!D5:D51,"Junho")</f>
        <v>0</v>
      </c>
      <c r="H36" s="39">
        <f>COUNTIFS(Eventos!A5:A51,"Fruthotec",Eventos!D5:D51,"Julho")</f>
        <v>0</v>
      </c>
      <c r="I36" s="39">
        <f>COUNTIFS(Eventos!A5:A51,"Fruthotec",Eventos!D5:D51,"Agosto")</f>
        <v>0</v>
      </c>
      <c r="J36" s="39">
        <f>COUNTIFS(Eventos!A5:A51,"Fruthotec",Eventos!D5:D51,"Setembro")</f>
        <v>0</v>
      </c>
      <c r="K36" s="39">
        <f>COUNTIFS(Eventos!A5:A51,"Fruthotec",Eventos!D5:D51,"Outubro")</f>
        <v>0</v>
      </c>
      <c r="L36" s="39">
        <f>COUNTIFS(Eventos!A5:A51,"Fruthotec",Eventos!D5:D51,"Novembro")</f>
        <v>0</v>
      </c>
      <c r="M36" s="39">
        <f>COUNTIFS(Eventos!A5:A51,"Fruthotec",Eventos!D5:D51,"Dezembro")</f>
        <v>0</v>
      </c>
      <c r="N36" s="2">
        <f>COUNTIF(Eventos!A5:A51,"Fruthotec")</f>
        <v>0</v>
      </c>
      <c r="O36" s="25"/>
      <c r="P36" s="25"/>
      <c r="Q36" s="25"/>
      <c r="R36" s="25"/>
      <c r="S36" s="3"/>
    </row>
    <row r="37" spans="1:19" x14ac:dyDescent="0.25">
      <c r="A37" s="5" t="s">
        <v>12</v>
      </c>
      <c r="B37" s="39">
        <f>COUNTIFS(Eventos!A5:A51,"Tecnolat",Eventos!D5:D51,"Janeiro")</f>
        <v>0</v>
      </c>
      <c r="C37" s="39">
        <f>COUNTIFS(Eventos!A5:A51,"Tecnolat",Eventos!D5:D51,"Fevereiro")</f>
        <v>0</v>
      </c>
      <c r="D37" s="39">
        <f>COUNTIFS(Eventos!A5:A51,"Tecnolat",Eventos!D5:D51,"Março")</f>
        <v>0</v>
      </c>
      <c r="E37" s="39">
        <f>COUNTIFS(Eventos!A5:A51,"Tecnolat",Eventos!D5:D51,"Abril")</f>
        <v>0</v>
      </c>
      <c r="F37" s="39">
        <f>COUNTIFS(Eventos!A5:A51,"Tecnolat",Eventos!D5:D51,"Maio")</f>
        <v>0</v>
      </c>
      <c r="G37" s="39">
        <f>COUNTIFS(Eventos!A5:A51,"Tecnolat",Eventos!D5:D51,"Junho")</f>
        <v>0</v>
      </c>
      <c r="H37" s="39">
        <f>COUNTIFS(Eventos!A5:A51,"Tecnolat",Eventos!D5:D51,"Julho")</f>
        <v>0</v>
      </c>
      <c r="I37" s="39">
        <f>COUNTIFS(Eventos!A5:A51,"Tecnolat",Eventos!D5:D51,"Agosto")</f>
        <v>0</v>
      </c>
      <c r="J37" s="39">
        <f>COUNTIFS(Eventos!A5:A51,"Tecnolat",Eventos!D5:D51,"Setembro")</f>
        <v>0</v>
      </c>
      <c r="K37" s="39">
        <f>COUNTIFS(Eventos!A5:A51,"Tecnolat",Eventos!D5:D51,"Outubro")</f>
        <v>0</v>
      </c>
      <c r="L37" s="39">
        <f>COUNTIFS(Eventos!A5:A51,"Tecnolat",Eventos!D5:D51,"Novembro")</f>
        <v>0</v>
      </c>
      <c r="M37" s="39">
        <f>COUNTIFS(Eventos!A5:A51,"Tecnolat",Eventos!D5:D51,"Dezembro")</f>
        <v>0</v>
      </c>
      <c r="N37" s="2">
        <f>COUNTIF(Eventos!A5:A51,"Tecnolat")</f>
        <v>0</v>
      </c>
      <c r="O37" s="25"/>
      <c r="P37" s="25"/>
      <c r="Q37" s="25"/>
      <c r="R37" s="25"/>
      <c r="S37" s="3"/>
    </row>
    <row r="38" spans="1:19" x14ac:dyDescent="0.25">
      <c r="A38" s="18" t="s">
        <v>15</v>
      </c>
      <c r="B38" s="36">
        <f>SUM(B31:B37)</f>
        <v>0</v>
      </c>
      <c r="C38" s="36">
        <f t="shared" ref="C38:M38" si="4">SUM(C31:C37)</f>
        <v>0</v>
      </c>
      <c r="D38" s="36">
        <f t="shared" si="4"/>
        <v>0</v>
      </c>
      <c r="E38" s="36">
        <f t="shared" si="4"/>
        <v>0</v>
      </c>
      <c r="F38" s="36">
        <f t="shared" si="4"/>
        <v>0</v>
      </c>
      <c r="G38" s="36">
        <f t="shared" si="4"/>
        <v>0</v>
      </c>
      <c r="H38" s="36">
        <f t="shared" si="4"/>
        <v>0</v>
      </c>
      <c r="I38" s="36">
        <f t="shared" si="4"/>
        <v>0</v>
      </c>
      <c r="J38" s="36">
        <f t="shared" si="4"/>
        <v>0</v>
      </c>
      <c r="K38" s="36">
        <f t="shared" si="4"/>
        <v>0</v>
      </c>
      <c r="L38" s="36">
        <f t="shared" si="4"/>
        <v>0</v>
      </c>
      <c r="M38" s="36">
        <f t="shared" si="4"/>
        <v>0</v>
      </c>
      <c r="N38" s="36">
        <f>SUM(B38:M38)</f>
        <v>0</v>
      </c>
      <c r="O38" s="25"/>
      <c r="P38" s="25"/>
      <c r="Q38" s="25"/>
      <c r="R38" s="25"/>
      <c r="S38" s="3"/>
    </row>
    <row r="39" spans="1:19" ht="15.75" thickBot="1" x14ac:dyDescent="0.3">
      <c r="A39" s="3"/>
      <c r="B39" s="3"/>
      <c r="C39" s="3"/>
      <c r="D39" s="3"/>
      <c r="E39" s="3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3"/>
    </row>
    <row r="40" spans="1:19" ht="15.75" thickBot="1" x14ac:dyDescent="0.3">
      <c r="A40" s="64" t="s">
        <v>28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6"/>
      <c r="S40" s="3"/>
    </row>
    <row r="41" spans="1:19" x14ac:dyDescent="0.25">
      <c r="A41" s="3"/>
      <c r="B41" s="3"/>
      <c r="C41" s="3"/>
      <c r="D41" s="3"/>
      <c r="E41" s="3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3"/>
    </row>
    <row r="42" spans="1:19" x14ac:dyDescent="0.25">
      <c r="A42" s="30" t="s">
        <v>0</v>
      </c>
      <c r="B42" s="31" t="s">
        <v>31</v>
      </c>
      <c r="C42" s="31" t="s">
        <v>32</v>
      </c>
      <c r="D42" s="31" t="s">
        <v>33</v>
      </c>
      <c r="E42" s="31" t="s">
        <v>36</v>
      </c>
      <c r="F42" s="31" t="s">
        <v>37</v>
      </c>
      <c r="G42" s="31" t="s">
        <v>24</v>
      </c>
      <c r="H42" s="31" t="s">
        <v>25</v>
      </c>
      <c r="I42" s="31" t="s">
        <v>23</v>
      </c>
      <c r="J42" s="31" t="s">
        <v>30</v>
      </c>
      <c r="K42" s="31" t="s">
        <v>26</v>
      </c>
      <c r="L42" s="31" t="s">
        <v>22</v>
      </c>
      <c r="M42" s="31" t="s">
        <v>29</v>
      </c>
      <c r="N42" s="31" t="s">
        <v>38</v>
      </c>
      <c r="O42" s="25"/>
      <c r="P42" s="25"/>
      <c r="Q42" s="25"/>
      <c r="R42" s="25"/>
      <c r="S42" s="3"/>
    </row>
    <row r="43" spans="1:19" x14ac:dyDescent="0.25">
      <c r="A43" s="5" t="s">
        <v>16</v>
      </c>
      <c r="B43" s="39">
        <f>IFERROR(COUNTIFS('Treinamentos Fechados'!D5:D51,"Janeiro",'Treinamentos Fechados'!A5:A51,"C.Chocotec"),"-")</f>
        <v>0</v>
      </c>
      <c r="C43" s="39">
        <f>IFERROR(COUNTIFS('Treinamentos Fechados'!D5:D51,"Fevereiro",'Treinamentos Fechados'!A5:A51,"C.Chocotec"),"-")</f>
        <v>0</v>
      </c>
      <c r="D43" s="39">
        <f>IFERROR(COUNTIFS('Treinamentos Fechados'!D5:D51,"Março",'Treinamentos Fechados'!A5:A51,"C.Chocotec"),"-")</f>
        <v>0</v>
      </c>
      <c r="E43" s="39">
        <f>IFERROR(COUNTIFS('Treinamentos Fechados'!D5:D51,"Abril",'Treinamentos Fechados'!A5:A51,"C.Chocotec"),"-")</f>
        <v>0</v>
      </c>
      <c r="F43" s="39">
        <f>IFERROR(COUNTIFS('Treinamentos Fechados'!D5:D51,"Maio",'Treinamentos Fechados'!A5:A51,"C.Chocotec"),"-")</f>
        <v>0</v>
      </c>
      <c r="G43" s="39">
        <f>IFERROR(COUNTIFS('Treinamentos Fechados'!D5:D51,"Junho",'Treinamentos Fechados'!A5:A51,"C.Chocotec"),"-")</f>
        <v>0</v>
      </c>
      <c r="H43" s="39">
        <f>IFERROR(COUNTIFS('Treinamentos Fechados'!D5:D51,"Julho",'Treinamentos Fechados'!A5:A51,"C.Chocotec"),"-")</f>
        <v>0</v>
      </c>
      <c r="I43" s="39">
        <f>IFERROR(COUNTIFS('Treinamentos Fechados'!D5:D51,"Agosto",'Treinamentos Fechados'!A5:A51,"C.Chocotec"),"-")</f>
        <v>0</v>
      </c>
      <c r="J43" s="39">
        <f>IFERROR(COUNTIFS('Treinamentos Fechados'!D5:D51,"Setembro",'Treinamentos Fechados'!A5:A51,"C.Chocotec"),"-")</f>
        <v>0</v>
      </c>
      <c r="K43" s="39">
        <f>IFERROR(COUNTIFS('Treinamentos Fechados'!D5:D51,"Outubro",'Treinamentos Fechados'!A5:A51,"C.Chocotec"),"-")</f>
        <v>0</v>
      </c>
      <c r="L43" s="39">
        <f>IFERROR(COUNTIFS('Treinamentos Fechados'!D5:D51,"Novembro",'Treinamentos Fechados'!A5:A51,"C.Chocotec"),"-")</f>
        <v>0</v>
      </c>
      <c r="M43" s="39">
        <f>IFERROR(COUNTIFS('Treinamentos Fechados'!D5:D51,"Dezembro",'Treinamentos Fechados'!A5:A51,"C.Chocotec"),"-")</f>
        <v>0</v>
      </c>
      <c r="N43" s="2">
        <f>COUNTIF('Treinamentos Fechados'!A5:A51,"C.Chocotec")</f>
        <v>0</v>
      </c>
      <c r="O43" s="25"/>
      <c r="P43" s="25"/>
      <c r="Q43" s="25"/>
      <c r="R43" s="25"/>
      <c r="S43" s="3"/>
    </row>
    <row r="44" spans="1:19" x14ac:dyDescent="0.25">
      <c r="A44" s="5" t="s">
        <v>10</v>
      </c>
      <c r="B44" s="2">
        <f>IFERROR(COUNTIFS('Treinamentos Fechados'!D5:D51,"Janeiro",'Treinamentos Fechados'!A5:A51,"CCQA"),"-")</f>
        <v>0</v>
      </c>
      <c r="C44" s="2">
        <f>IFERROR(COUNTIFS('Treinamentos Fechados'!D5:D51,"Fevereiro",'Treinamentos Fechados'!A5:A51,"CCQA"),"-")</f>
        <v>0</v>
      </c>
      <c r="D44" s="2">
        <f>IFERROR(COUNTIFS('Treinamentos Fechados'!D5:D51,"Março",'Treinamentos Fechados'!A5:A51,"CCQA"),"-")</f>
        <v>0</v>
      </c>
      <c r="E44" s="2">
        <f>IFERROR(COUNTIFS('Treinamentos Fechados'!D5:D51,"Abril",'Treinamentos Fechados'!A5:A51,"CCQA"),"-")</f>
        <v>0</v>
      </c>
      <c r="F44" s="2">
        <f>IFERROR(COUNTIFS('Treinamentos Fechados'!D5:D51,"Maio",'Treinamentos Fechados'!A5:A51,"CCQA"),"-")</f>
        <v>0</v>
      </c>
      <c r="G44" s="2">
        <f>IFERROR(COUNTIFS('Treinamentos Fechados'!D5:D51,"Junho",'Treinamentos Fechados'!A5:A51,"CCQA"),"-")</f>
        <v>0</v>
      </c>
      <c r="H44" s="2">
        <f>IFERROR(COUNTIFS('Treinamentos Fechados'!D5:D51,"Julho",'Treinamentos Fechados'!A5:A51,"CCQA"),"-")</f>
        <v>0</v>
      </c>
      <c r="I44" s="2">
        <f>IFERROR(COUNTIFS('Treinamentos Fechados'!D5:D51,"Agosto",'Treinamentos Fechados'!A5:A51,"CCQA"),"-")</f>
        <v>0</v>
      </c>
      <c r="J44" s="2">
        <f>IFERROR(COUNTIFS('Treinamentos Fechados'!D5:D51,"Setembro",'Treinamentos Fechados'!A5:A51,"CCQA'"),"-")</f>
        <v>0</v>
      </c>
      <c r="K44" s="2">
        <f>IFERROR(COUNTIFS('Treinamentos Fechados'!D5:D51,"Outubro",'Treinamentos Fechados'!A5:A51,"CCQA"),"-")</f>
        <v>0</v>
      </c>
      <c r="L44" s="2">
        <f>IFERROR(COUNTIFS('Treinamentos Fechados'!D5:D51,"Novembro",'Treinamentos Fechados'!A5:A51,"CCQA"),"-")</f>
        <v>0</v>
      </c>
      <c r="M44" s="2">
        <f>IFERROR(COUNTIFS('Treinamentos Fechados'!D5:D51,"Dezembro",'Treinamentos Fechados'!A5:A51,"CCQA"),"-")</f>
        <v>0</v>
      </c>
      <c r="N44" s="2">
        <f>COUNTIF('Treinamentos Fechados'!A5:A51,"CCQA")</f>
        <v>0</v>
      </c>
      <c r="O44" s="25"/>
      <c r="P44" s="25"/>
      <c r="Q44" s="25"/>
      <c r="R44" s="25"/>
      <c r="S44" s="3"/>
    </row>
    <row r="45" spans="1:19" x14ac:dyDescent="0.25">
      <c r="A45" s="5" t="s">
        <v>11</v>
      </c>
      <c r="B45" s="2">
        <f>IFERROR(COUNTIFS('Treinamentos Fechados'!D5:D51,"Janeiro",'Treinamentos Fechados'!A5:A51,"Cetea"),"-")</f>
        <v>0</v>
      </c>
      <c r="C45" s="2">
        <f>IFERROR(COUNTIFS('Treinamentos Fechados'!D5:D51,"Fevereiro",'Treinamentos Fechados'!A5:A51,"Cetea"),"-")</f>
        <v>0</v>
      </c>
      <c r="D45" s="2">
        <f>IFERROR(COUNTIFS('Treinamentos Fechados'!D5:D51,"Março",'Treinamentos Fechados'!A5:A51,"Cetea"),"-")</f>
        <v>0</v>
      </c>
      <c r="E45" s="2">
        <f>IFERROR(COUNTIFS('Treinamentos Fechados'!D5:D51,"Abril",'Treinamentos Fechados'!A5:A51,"Cetea"),"-")</f>
        <v>0</v>
      </c>
      <c r="F45" s="2">
        <f>IFERROR(COUNTIFS('Treinamentos Fechados'!D5:D51,"Maio",'Treinamentos Fechados'!A5:A51,"Cetea"),"-")</f>
        <v>0</v>
      </c>
      <c r="G45" s="2">
        <f>IFERROR(COUNTIFS('Treinamentos Fechados'!D5:D51,"Junho",'Treinamentos Fechados'!A5:A51,"Cetea"),"-")</f>
        <v>0</v>
      </c>
      <c r="H45" s="2">
        <f>IFERROR(COUNTIFS('Treinamentos Fechados'!D5:D51,"Julho",'Treinamentos Fechados'!A5:A51,"Cetea"),"-")</f>
        <v>0</v>
      </c>
      <c r="I45" s="2">
        <f>IFERROR(COUNTIFS('Treinamentos Fechados'!D5:D51,"Agosto",'Treinamentos Fechados'!A5:A51,"Cetea"),"-")</f>
        <v>0</v>
      </c>
      <c r="J45" s="2">
        <f>IFERROR(COUNTIFS('Treinamentos Fechados'!D5:D51,"Setembro",'Treinamentos Fechados'!A5:A51,"Cetea"),"-")</f>
        <v>0</v>
      </c>
      <c r="K45" s="2">
        <f>IFERROR(COUNTIFS('Treinamentos Fechados'!D5:D51,"Outubro",'Treinamentos Fechados'!A5:A51,"Cetea"),"-")</f>
        <v>0</v>
      </c>
      <c r="L45" s="2">
        <f>IFERROR(COUNTIFS('Treinamentos Fechados'!D5:D51,"Novembro",'Treinamentos Fechados'!A5:A51,"Cetea"),"-")</f>
        <v>0</v>
      </c>
      <c r="M45" s="2">
        <f>IFERROR(COUNTIFS('Treinamentos Fechados'!D5:D51,"Dezembro",'Treinamentos Fechados'!A5:A51,"Cetea"),"-")</f>
        <v>0</v>
      </c>
      <c r="N45" s="2">
        <f>COUNTIF('Treinamentos Fechados'!A5:A51,"Cetea")</f>
        <v>0</v>
      </c>
      <c r="O45" s="25"/>
      <c r="P45" s="25"/>
      <c r="Q45" s="25"/>
      <c r="R45" s="25"/>
      <c r="S45" s="3"/>
    </row>
    <row r="46" spans="1:19" x14ac:dyDescent="0.25">
      <c r="A46" s="5" t="s">
        <v>13</v>
      </c>
      <c r="B46" s="2">
        <f>IFERROR(COUNTIFS('Treinamentos Fechados'!D5:D51,"Janeiro",'Treinamentos Fechados'!A5:A51,"CTC"),"-")</f>
        <v>0</v>
      </c>
      <c r="C46" s="2">
        <f>IFERROR(COUNTIFS('Treinamentos Fechados'!D5:D51,"Fevereiro",'Treinamentos Fechados'!A5:A51,"CTC"),"-")</f>
        <v>0</v>
      </c>
      <c r="D46" s="2">
        <f>IFERROR(COUNTIFS('Treinamentos Fechados'!D5:D51,"Março",'Treinamentos Fechados'!A5:A51,"CTC"),"-")</f>
        <v>0</v>
      </c>
      <c r="E46" s="2">
        <f>IFERROR(COUNTIFS('Treinamentos Fechados'!D5:D51,"Abril",'Treinamentos Fechados'!A5:A51,"CTC"),"-")</f>
        <v>0</v>
      </c>
      <c r="F46" s="2">
        <f>IFERROR(COUNTIFS('Treinamentos Fechados'!D5:D51,"Maio",'Treinamentos Fechados'!A5:A51,"CTC"),"-")</f>
        <v>0</v>
      </c>
      <c r="G46" s="2">
        <f>IFERROR(COUNTIFS('Treinamentos Fechados'!D5:D51,"Junho",'Treinamentos Fechados'!A5:A51,"CTC"),"-")</f>
        <v>0</v>
      </c>
      <c r="H46" s="2">
        <f>IFERROR(COUNTIFS('Treinamentos Fechados'!D5:D51,"Julho",'Treinamentos Fechados'!A5:A51,"CTC"),"-")</f>
        <v>0</v>
      </c>
      <c r="I46" s="2">
        <f>IFERROR(COUNTIFS('Treinamentos Fechados'!D5:D51,"Agosto",'Treinamentos Fechados'!A5:A51,"CTC"),"-")</f>
        <v>0</v>
      </c>
      <c r="J46" s="2">
        <f>IFERROR(COUNTIFS('Treinamentos Fechados'!D5:D51,"Setembro",'Treinamentos Fechados'!A5:A51,"CTC"),"-")</f>
        <v>0</v>
      </c>
      <c r="K46" s="2">
        <f>IFERROR(COUNTIFS('Treinamentos Fechados'!D5:D51,"Outubro",'Treinamentos Fechados'!A5:A51,"CTC"),"-")</f>
        <v>0</v>
      </c>
      <c r="L46" s="2">
        <f>IFERROR(COUNTIFS('Treinamentos Fechados'!D5:D51,"Novembro",'Treinamentos Fechados'!A5:A51,"CTC"),"-")</f>
        <v>0</v>
      </c>
      <c r="M46" s="2">
        <f>IFERROR(COUNTIFS('Treinamentos Fechados'!D5:D51,"Dezembro",'Treinamentos Fechados'!A5:A51,"CTC"),"-")</f>
        <v>0</v>
      </c>
      <c r="N46" s="2">
        <f>COUNTIF('Treinamentos Fechados'!A5:A51,"CTC")</f>
        <v>0</v>
      </c>
      <c r="O46" s="25"/>
      <c r="P46" s="25"/>
      <c r="Q46" s="25"/>
      <c r="R46" s="25"/>
      <c r="S46" s="3"/>
    </row>
    <row r="47" spans="1:19" x14ac:dyDescent="0.25">
      <c r="A47" s="5" t="s">
        <v>9</v>
      </c>
      <c r="B47" s="2">
        <f>IFERROR(COUNTIFS('Treinamentos Fechados'!D5:D51,"Janeiro",'Treinamentos Fechados'!A5:A51,"DG"),"-")</f>
        <v>0</v>
      </c>
      <c r="C47" s="2">
        <f>IFERROR(COUNTIFS('Treinamentos Fechados'!D5:D51,"Fevereiro",'Treinamentos Fechados'!A5:A51,"DG"),"-")</f>
        <v>0</v>
      </c>
      <c r="D47" s="2">
        <f>IFERROR(COUNTIFS('Treinamentos Fechados'!D5:D51,"Março",'Treinamentos Fechados'!A5:A51,"DG"),"-")</f>
        <v>0</v>
      </c>
      <c r="E47" s="2">
        <f>IFERROR(COUNTIFS('Treinamentos Fechados'!D5:D51,"Abril",'Treinamentos Fechados'!A5:A51,"DG"),"-")</f>
        <v>0</v>
      </c>
      <c r="F47" s="2">
        <f>IFERROR(COUNTIFS('Treinamentos Fechados'!D5:D51,"Maio",'Treinamentos Fechados'!A5:A51,"DG"),"-")</f>
        <v>0</v>
      </c>
      <c r="G47" s="2">
        <f>IFERROR(COUNTIFS('Treinamentos Fechados'!D5:D51,"Junho",'Treinamentos Fechados'!A5:A51,"DG"),"-")</f>
        <v>0</v>
      </c>
      <c r="H47" s="2">
        <f>IFERROR(COUNTIFS('Treinamentos Fechados'!D5:D51,"Julho",'Treinamentos Fechados'!A5:A51,"DG"),"-")</f>
        <v>0</v>
      </c>
      <c r="I47" s="2">
        <f>IFERROR(COUNTIFS('Treinamentos Fechados'!D5:D51,"Agosto",'Treinamentos Fechados'!A5:A51,"DG"),"-")</f>
        <v>0</v>
      </c>
      <c r="J47" s="2">
        <f>IFERROR(COUNTIFS('Treinamentos Fechados'!D5:D51,"Setembro",'Treinamentos Fechados'!A5:A51,"DG"),"-")</f>
        <v>0</v>
      </c>
      <c r="K47" s="2">
        <f>IFERROR(COUNTIFS('Treinamentos Fechados'!D5:D51,"Outubro",'Treinamentos Fechados'!A5:A51,"DG"),"-")</f>
        <v>0</v>
      </c>
      <c r="L47" s="2">
        <f>IFERROR(COUNTIFS('Treinamentos Fechados'!D5:D51,"Novembro",'Treinamentos Fechados'!A5:A51,"DG"),"-")</f>
        <v>0</v>
      </c>
      <c r="M47" s="2">
        <f>IFERROR(COUNTIFS('Treinamentos Fechados'!D5:D51,"Dezembro",'Treinamentos Fechados'!A5:A51,"DG"),"-")</f>
        <v>0</v>
      </c>
      <c r="N47" s="2">
        <f>COUNTIF('Treinamentos Fechados'!A5:A51,"DG")</f>
        <v>0</v>
      </c>
      <c r="O47" s="25"/>
      <c r="P47" s="25"/>
      <c r="Q47" s="25"/>
      <c r="R47" s="25"/>
      <c r="S47" s="3"/>
    </row>
    <row r="48" spans="1:19" x14ac:dyDescent="0.25">
      <c r="A48" s="5" t="s">
        <v>14</v>
      </c>
      <c r="B48" s="2">
        <f>IFERROR(COUNTIFS('Treinamentos Fechados'!D5:D51,"Janeiro",'Treinamentos Fechados'!A5:A51,"Fruthotec"),"-")</f>
        <v>0</v>
      </c>
      <c r="C48" s="2">
        <f>IFERROR(COUNTIFS('Treinamentos Fechados'!D5:D51,"Fevereiro",'Treinamentos Fechados'!A5:A51,"Fruthotec"),"-")</f>
        <v>0</v>
      </c>
      <c r="D48" s="2">
        <f>IFERROR(COUNTIFS('Treinamentos Fechados'!D5:D51,"Março",'Treinamentos Fechados'!A5:A51,"Fruthotec"),"-")</f>
        <v>0</v>
      </c>
      <c r="E48" s="2">
        <f>IFERROR(COUNTIFS('Treinamentos Fechados'!D5:D51,"Abril",'Treinamentos Fechados'!A5:A51,"Fruthotec"),"-")</f>
        <v>0</v>
      </c>
      <c r="F48" s="2">
        <f>IFERROR(COUNTIFS('Treinamentos Fechados'!D5:D51,"Maio",'Treinamentos Fechados'!A5:A51,"Fruthotec"),"-")</f>
        <v>0</v>
      </c>
      <c r="G48" s="2">
        <f>IFERROR(COUNTIFS('Treinamentos Fechados'!D5:D51,"Junho",'Treinamentos Fechados'!A5:A51,"Fruthotec"),"-")</f>
        <v>0</v>
      </c>
      <c r="H48" s="2">
        <f>IFERROR(COUNTIFS('Treinamentos Fechados'!D5:D51,"Julho",'Treinamentos Fechados'!A5:A51,"Fruthotec"),"-")</f>
        <v>0</v>
      </c>
      <c r="I48" s="2">
        <f>IFERROR(COUNTIFS('Treinamentos Fechados'!D5:D51,"Agosto",'Treinamentos Fechados'!A5:A51,"Fruthotec"),"-")</f>
        <v>0</v>
      </c>
      <c r="J48" s="2">
        <f>IFERROR(COUNTIFS('Treinamentos Fechados'!D5:D51,"Setembro",'Treinamentos Fechados'!A5:A51,"Fruthotec"),"-")</f>
        <v>0</v>
      </c>
      <c r="K48" s="2">
        <f>IFERROR(COUNTIFS('Treinamentos Fechados'!D5:D51,"Outubro",'Treinamentos Fechados'!A5:A51,"Fruthotec"),"-")</f>
        <v>0</v>
      </c>
      <c r="L48" s="2">
        <f>IFERROR(COUNTIFS('Treinamentos Fechados'!D5:D51,"Novembro",'Treinamentos Fechados'!A5:A51,"Fruthotec"),"-")</f>
        <v>0</v>
      </c>
      <c r="M48" s="2">
        <f>IFERROR(COUNTIFS('Treinamentos Fechados'!D5:D51,"Dezembro",'Treinamentos Fechados'!A5:A51,"Fruthotec"),"-")</f>
        <v>0</v>
      </c>
      <c r="N48" s="2">
        <f>COUNTIF('Treinamentos Fechados'!A5:A51,"Fruthotec")</f>
        <v>0</v>
      </c>
      <c r="O48" s="25"/>
      <c r="P48" s="25"/>
      <c r="Q48" s="25"/>
      <c r="R48" s="25"/>
      <c r="S48" s="3"/>
    </row>
    <row r="49" spans="1:19" x14ac:dyDescent="0.25">
      <c r="A49" s="5" t="s">
        <v>12</v>
      </c>
      <c r="B49" s="2">
        <f>IFERROR(COUNTIFS('Treinamentos Fechados'!D5:D51,"Janeiro",'Treinamentos Fechados'!A5:A51,"Tecnolat"),"-")</f>
        <v>0</v>
      </c>
      <c r="C49" s="2">
        <f>IFERROR(COUNTIFS('Treinamentos Fechados'!D5:D51,"Fevereiro",'Treinamentos Fechados'!A5:A51,"Tecnolat"),"-")</f>
        <v>0</v>
      </c>
      <c r="D49" s="2">
        <f>IFERROR(COUNTIFS('Treinamentos Fechados'!D5:D51,"Março",'Treinamentos Fechados'!A5:A51,"Tecnolat"),"-")</f>
        <v>0</v>
      </c>
      <c r="E49" s="2">
        <f>IFERROR(COUNTIFS('Treinamentos Fechados'!D5:D51,"Abril",'Treinamentos Fechados'!A5:A51,"Tecnolat"),"-")</f>
        <v>0</v>
      </c>
      <c r="F49" s="2">
        <f>IFERROR(COUNTIFS('Treinamentos Fechados'!D5:D51,"Maio",'Treinamentos Fechados'!A5:A51,"Tecnolat"),"-")</f>
        <v>0</v>
      </c>
      <c r="G49" s="2">
        <f>IFERROR(COUNTIFS('Treinamentos Fechados'!D5:D51,"Junho",'Treinamentos Fechados'!A5:A51,"Tecnolat"),"-")</f>
        <v>0</v>
      </c>
      <c r="H49" s="2">
        <f>IFERROR(COUNTIFS('Treinamentos Fechados'!D5:D51,"Julho",'Treinamentos Fechados'!A5:A51,"Tecnolat"),"-")</f>
        <v>0</v>
      </c>
      <c r="I49" s="2">
        <f>IFERROR(COUNTIFS('Treinamentos Fechados'!D5:D51,"Agosto",'Treinamentos Fechados'!A5:A51,"Tecnolat"),"-")</f>
        <v>0</v>
      </c>
      <c r="J49" s="2">
        <f>IFERROR(COUNTIFS('Treinamentos Fechados'!D5:D51,"Setembro",'Treinamentos Fechados'!A5:A51,"Tecnolat"),"-")</f>
        <v>0</v>
      </c>
      <c r="K49" s="2">
        <f>IFERROR(COUNTIFS('Treinamentos Fechados'!D5:D51,"Outubro",'Treinamentos Fechados'!A5:A51,"Tecnolat"),"-")</f>
        <v>0</v>
      </c>
      <c r="L49" s="2">
        <f>IFERROR(COUNTIFS('Treinamentos Fechados'!D5:D51,"Novembro",'Treinamentos Fechados'!A5:A51,"Tecnolat"),"-")</f>
        <v>0</v>
      </c>
      <c r="M49" s="2">
        <f>IFERROR(COUNTIFS('Treinamentos Fechados'!D5:D51,"Dezembro",'Treinamentos Fechados'!A5:A51,"Tecnolat"),"-")</f>
        <v>0</v>
      </c>
      <c r="N49" s="2">
        <f>COUNTIF('Treinamentos Fechados'!A5:A51,"Tecnolat")</f>
        <v>0</v>
      </c>
      <c r="O49" s="25"/>
      <c r="P49" s="25"/>
      <c r="Q49" s="25"/>
      <c r="R49" s="25"/>
      <c r="S49" s="3"/>
    </row>
    <row r="50" spans="1:19" x14ac:dyDescent="0.25">
      <c r="A50" s="30" t="s">
        <v>15</v>
      </c>
      <c r="B50" s="37">
        <f>SUM(B43:B49)</f>
        <v>0</v>
      </c>
      <c r="C50" s="37">
        <f t="shared" ref="C50:M50" si="5">SUM(C43:C49)</f>
        <v>0</v>
      </c>
      <c r="D50" s="37">
        <f t="shared" si="5"/>
        <v>0</v>
      </c>
      <c r="E50" s="37">
        <f t="shared" si="5"/>
        <v>0</v>
      </c>
      <c r="F50" s="37">
        <f t="shared" si="5"/>
        <v>0</v>
      </c>
      <c r="G50" s="37">
        <f t="shared" si="5"/>
        <v>0</v>
      </c>
      <c r="H50" s="37">
        <f t="shared" si="5"/>
        <v>0</v>
      </c>
      <c r="I50" s="37">
        <f t="shared" si="5"/>
        <v>0</v>
      </c>
      <c r="J50" s="37">
        <f t="shared" si="5"/>
        <v>0</v>
      </c>
      <c r="K50" s="37">
        <f t="shared" si="5"/>
        <v>0</v>
      </c>
      <c r="L50" s="37">
        <f t="shared" si="5"/>
        <v>0</v>
      </c>
      <c r="M50" s="37">
        <f t="shared" si="5"/>
        <v>0</v>
      </c>
      <c r="N50" s="37">
        <f>SUM(B50:M50)</f>
        <v>0</v>
      </c>
      <c r="O50" s="25"/>
      <c r="P50" s="25"/>
      <c r="Q50" s="25"/>
      <c r="R50" s="25"/>
      <c r="S50" s="3"/>
    </row>
    <row r="52" spans="1:19" x14ac:dyDescent="0.25">
      <c r="A52" s="78" t="s">
        <v>52</v>
      </c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</row>
  </sheetData>
  <sheetProtection algorithmName="SHA-512" hashValue="02Co3ipHv8yZSATVAhR+iHI/lIn2Vz87uKTj38NxFKrYxp/KBqcaaZzg2lROjZSlWB8rAhqyh0y5nN6bUMMFVQ==" saltValue="cIU5MeLnwEOuR7jfi2FavA==" spinCount="100000" sheet="1" objects="1" scenarios="1"/>
  <sortState ref="A6:A12">
    <sortCondition ref="A6"/>
  </sortState>
  <mergeCells count="7">
    <mergeCell ref="A40:R40"/>
    <mergeCell ref="A4:R4"/>
    <mergeCell ref="A1:R1"/>
    <mergeCell ref="A2:R2"/>
    <mergeCell ref="A28:R28"/>
    <mergeCell ref="A16:R16"/>
    <mergeCell ref="A52:R52"/>
  </mergeCells>
  <pageMargins left="0.51181102362204722" right="0.51181102362204722" top="0.78740157480314965" bottom="0.78740157480314965" header="0.31496062992125984" footer="0.31496062992125984"/>
  <pageSetup paperSize="9" scale="48" orientation="landscape" verticalDpi="300" r:id="rId1"/>
  <headerFooter>
    <oddFooter>&amp;L&amp;"Arial,Normal"&amp;10FQ-08.39 (anexo à IT-07.01.03) - RA -  revisão 00 de 02/08/21 - Página 3/5</oddFooter>
  </headerFooter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view="pageBreakPreview" zoomScale="80" zoomScaleNormal="80" zoomScaleSheetLayoutView="80" workbookViewId="0">
      <selection activeCell="A28" sqref="A28:P28"/>
    </sheetView>
  </sheetViews>
  <sheetFormatPr defaultRowHeight="15" x14ac:dyDescent="0.25"/>
  <cols>
    <col min="1" max="1" width="24.7109375" style="17" bestFit="1" customWidth="1"/>
    <col min="2" max="2" width="22" style="17" bestFit="1" customWidth="1"/>
    <col min="3" max="3" width="21.140625" style="17" customWidth="1"/>
    <col min="4" max="15" width="13.140625" style="26" customWidth="1"/>
    <col min="16" max="16" width="9.140625" style="26"/>
  </cols>
  <sheetData>
    <row r="1" spans="1:17" ht="25.5" customHeight="1" thickBot="1" x14ac:dyDescent="0.3">
      <c r="A1" s="70" t="s">
        <v>39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2"/>
    </row>
    <row r="2" spans="1:17" ht="19.5" x14ac:dyDescent="0.3">
      <c r="A2" s="75" t="str">
        <f>Eventos!F2</f>
        <v>ANO: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17" ht="15.75" thickBot="1" x14ac:dyDescent="0.3">
      <c r="A3" s="3"/>
      <c r="B3" s="3"/>
    </row>
    <row r="4" spans="1:17" ht="15.75" thickBot="1" x14ac:dyDescent="0.3">
      <c r="A4" s="67" t="s">
        <v>41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9"/>
    </row>
    <row r="5" spans="1:17" x14ac:dyDescent="0.25">
      <c r="A5" s="3"/>
      <c r="B5" s="3"/>
    </row>
    <row r="6" spans="1:17" ht="25.5" x14ac:dyDescent="0.25">
      <c r="A6" s="6" t="s">
        <v>0</v>
      </c>
      <c r="B6" s="7" t="s">
        <v>19</v>
      </c>
      <c r="C6" s="7" t="s">
        <v>18</v>
      </c>
      <c r="D6" s="7" t="s">
        <v>31</v>
      </c>
      <c r="E6" s="7" t="s">
        <v>32</v>
      </c>
      <c r="F6" s="7" t="s">
        <v>33</v>
      </c>
      <c r="G6" s="7" t="s">
        <v>36</v>
      </c>
      <c r="H6" s="7" t="s">
        <v>37</v>
      </c>
      <c r="I6" s="7" t="s">
        <v>24</v>
      </c>
      <c r="J6" s="7" t="s">
        <v>25</v>
      </c>
      <c r="K6" s="7" t="s">
        <v>23</v>
      </c>
      <c r="L6" s="7" t="s">
        <v>30</v>
      </c>
      <c r="M6" s="7" t="s">
        <v>26</v>
      </c>
      <c r="N6" s="7" t="s">
        <v>22</v>
      </c>
      <c r="O6" s="7" t="s">
        <v>29</v>
      </c>
      <c r="P6" s="7" t="s">
        <v>38</v>
      </c>
      <c r="Q6" s="3"/>
    </row>
    <row r="7" spans="1:17" x14ac:dyDescent="0.25">
      <c r="A7" s="5" t="s">
        <v>16</v>
      </c>
      <c r="B7" s="2">
        <f>SUMIF(Eventos!A5:A51,"C.Chocotec",Eventos!F5:F51)</f>
        <v>0</v>
      </c>
      <c r="C7" s="4">
        <f>SUMIF(Eventos!A5:A51,"C.Chocotec",Eventos!E5:E51)</f>
        <v>0</v>
      </c>
      <c r="D7" s="39">
        <f>IFERROR((SUMIFS(Eventos!E5:E51,Eventos!D5:D51,"Janeiro",Eventos!A5:A51,"C.Chocotec")),"-")</f>
        <v>0</v>
      </c>
      <c r="E7" s="39">
        <f>IFERROR((SUMIFS(Eventos!E5:E51,Eventos!D5:D51,"Fevereiro",Eventos!A5:A51,"C.Chocotec")),"-")</f>
        <v>0</v>
      </c>
      <c r="F7" s="39">
        <f>IFERROR((SUMIFS(Eventos!E5:E51,Eventos!D5:D51,"Março",Eventos!A5:A51,"C.Chocotec")),"-")</f>
        <v>0</v>
      </c>
      <c r="G7" s="39">
        <f>IFERROR((SUMIFS(Eventos!E5:E51,Eventos!D5:D51,"Abril",Eventos!A5:A51,"C.Chocotec")),"-")</f>
        <v>0</v>
      </c>
      <c r="H7" s="39">
        <f>IFERROR((SUMIFS(Eventos!E5:E51,Eventos!D5:D51,"Maio",Eventos!A5:A51,"C.Chocotec")),"-")</f>
        <v>0</v>
      </c>
      <c r="I7" s="39">
        <f>IFERROR((SUMIFS(Eventos!E5:E51,Eventos!D5:D51,"Junho",Eventos!A5:A51,"C.Chocotec")),"-")</f>
        <v>0</v>
      </c>
      <c r="J7" s="39">
        <f>IFERROR((SUMIFS(Eventos!E5:E51,Eventos!D5:D51,"Julho",Eventos!A5:A51,"C.Chocotec")),"-")</f>
        <v>0</v>
      </c>
      <c r="K7" s="39">
        <f>IFERROR((SUMIFS(Eventos!E5:E51,Eventos!D5:D51,"Agosto",Eventos!A5:A51,"C.Chocotec")),"-")</f>
        <v>0</v>
      </c>
      <c r="L7" s="39">
        <f>IFERROR((SUMIFS(Eventos!E5:E51,Eventos!D5:D51,"Setembro",Eventos!A5:A51,"C.Chocotec")),"-")</f>
        <v>0</v>
      </c>
      <c r="M7" s="39">
        <f>IFERROR((SUMIFS(Eventos!E5:E51,Eventos!D5:D51,"Outubro",Eventos!A5:A51,"C.Chocotec")),"-")</f>
        <v>0</v>
      </c>
      <c r="N7" s="39">
        <f>IFERROR((SUMIFS(Eventos!E5:E51,Eventos!D5:D51,"Novembro",Eventos!A5:A51,"C.Chocotec")),"-")</f>
        <v>0</v>
      </c>
      <c r="O7" s="39">
        <f>IFERROR((SUMIFS(Eventos!E5:E51,Eventos!D5:D51,"Dezembro",Eventos!A5:A51,"C.Chocotec")),"-")</f>
        <v>0</v>
      </c>
      <c r="P7" s="39">
        <f>SUM(D7:O7)</f>
        <v>0</v>
      </c>
      <c r="Q7" s="3"/>
    </row>
    <row r="8" spans="1:17" x14ac:dyDescent="0.25">
      <c r="A8" s="5" t="s">
        <v>10</v>
      </c>
      <c r="B8" s="2">
        <f>SUMIF(Eventos!A5:A51,"CCQA",Eventos!F5:F51)</f>
        <v>0</v>
      </c>
      <c r="C8" s="4">
        <f>SUMIF(Eventos!A5:A51,"CCQA",Eventos!E5:E51)</f>
        <v>0</v>
      </c>
      <c r="D8" s="39">
        <f>IFERROR((SUMIFS(Eventos!E5:E51,Eventos!D5:D51,"Janeiro",Eventos!A5:A51,"CCQA")),"-")</f>
        <v>0</v>
      </c>
      <c r="E8" s="39">
        <f>IFERROR((SUMIFS(Eventos!E5:E51,Eventos!D5:D51,"Fevereiro",Eventos!A5:A51,"CCQA")),"-")</f>
        <v>0</v>
      </c>
      <c r="F8" s="39">
        <f>IFERROR((SUMIFS(Eventos!E5:E51,Eventos!D5:D51,"Março",Eventos!A5:A51,"CCQA")),"-")</f>
        <v>0</v>
      </c>
      <c r="G8" s="40">
        <f>IFERROR((SUMIFS(Eventos!E5:E51,Eventos!D5:D51,"Abril",Eventos!A5:A51,"CCQA")),"-")</f>
        <v>0</v>
      </c>
      <c r="H8" s="40">
        <f>IFERROR((SUMIFS(Eventos!E5:E51,Eventos!D5:D51,"Maio",Eventos!A5:A51,"CCQA")),"-")</f>
        <v>0</v>
      </c>
      <c r="I8" s="40">
        <f>IFERROR((SUMIFS(Eventos!E5:E51,Eventos!D5:D51,"Junho",Eventos!A5:A51,"CCQA")),"-")</f>
        <v>0</v>
      </c>
      <c r="J8" s="40">
        <f>IFERROR((SUMIFS(Eventos!E5:E51,Eventos!D5:D51,"Julho",Eventos!A5:A51,"CCQA")),"-")</f>
        <v>0</v>
      </c>
      <c r="K8" s="40">
        <f>IFERROR((SUMIFS(Eventos!E5:E51,Eventos!D5:D51,"Agosto",Eventos!A5:A51,"CCQA")),"-")</f>
        <v>0</v>
      </c>
      <c r="L8" s="40">
        <f>IFERROR((SUMIFS(Eventos!E5:E51,Eventos!D5:D51,"Setembro",Eventos!A5:A51,"CCQA")),"-")</f>
        <v>0</v>
      </c>
      <c r="M8" s="40">
        <f>IFERROR((SUMIFS(Eventos!E5:E51,Eventos!D5:D51,"Outubro",Eventos!A5:A51,"CCQA")),"-")</f>
        <v>0</v>
      </c>
      <c r="N8" s="40">
        <f>IFERROR((SUMIFS(Eventos!E5:E51,Eventos!D5:D51,"Novembro",Eventos!A5:A51,"CCQA")),"-")</f>
        <v>0</v>
      </c>
      <c r="O8" s="40">
        <f>IFERROR((SUMIFS(Eventos!E5:E51,Eventos!D5:D51,"Dezembro",Eventos!A5:A51,"CCQA")),"-")</f>
        <v>0</v>
      </c>
      <c r="P8" s="39">
        <f t="shared" ref="P8:P14" si="0">SUM(D8:O8)</f>
        <v>0</v>
      </c>
      <c r="Q8" s="3"/>
    </row>
    <row r="9" spans="1:17" x14ac:dyDescent="0.25">
      <c r="A9" s="5" t="s">
        <v>11</v>
      </c>
      <c r="B9" s="2">
        <f>SUMIF(Eventos!A5:A51,"Cetea",Eventos!F5:F51)</f>
        <v>0</v>
      </c>
      <c r="C9" s="4">
        <f>SUMIF(Eventos!A5:A51,"Cetea",Eventos!E5:E51)</f>
        <v>0</v>
      </c>
      <c r="D9" s="39">
        <f>IFERROR((SUMIFS(Eventos!E5:E51,Eventos!D5:D51,"Janeiro",Eventos!A5:A51,"Cetea")),"-")</f>
        <v>0</v>
      </c>
      <c r="E9" s="39">
        <f>IFERROR((SUMIFS(Eventos!E5:E51,Eventos!D5:D51,"Fevereiro",Eventos!A5:A51,"Cetea")),"-")</f>
        <v>0</v>
      </c>
      <c r="F9" s="39">
        <f>IFERROR((SUMIFS(Eventos!E5:E51,Eventos!D5:D51,"Março",Eventos!A5:A51,"Cetea")),"-")</f>
        <v>0</v>
      </c>
      <c r="G9" s="40">
        <f>IFERROR((SUMIFS(Eventos!E5:E51,Eventos!D5:D51,"Abril",Eventos!A5:A51,"Cetea")),"-")</f>
        <v>0</v>
      </c>
      <c r="H9" s="40">
        <f>IFERROR((SUMIFS(Eventos!E5:E51,Eventos!D5:D51,"Maio",Eventos!A5:A51,"Cetea")),"-")</f>
        <v>0</v>
      </c>
      <c r="I9" s="40">
        <f>IFERROR((SUMIFS(Eventos!E5:E51,Eventos!D5:D51,"Junho",Eventos!A5:A51,"Cetea")),"-")</f>
        <v>0</v>
      </c>
      <c r="J9" s="40">
        <f>IFERROR((SUMIFS(Eventos!E5:E51,Eventos!D5:D51,"Julho",Eventos!A5:A51,"Cetea")),"-")</f>
        <v>0</v>
      </c>
      <c r="K9" s="40">
        <f>IFERROR((SUMIFS(Eventos!E5:E51,Eventos!D5:D51,"Agosto",Eventos!A5:A51,"Cetea")),"-")</f>
        <v>0</v>
      </c>
      <c r="L9" s="40">
        <f>IFERROR((SUMIFS(Eventos!E5:E51,Eventos!D5:D51,"Setembro",Eventos!A5:A51,"Cetea")),"-")</f>
        <v>0</v>
      </c>
      <c r="M9" s="40">
        <f>IFERROR((SUMIFS(Eventos!E5:E51,Eventos!D5:D51,"Outubro",Eventos!A5:A51,"Cetea")),"-")</f>
        <v>0</v>
      </c>
      <c r="N9" s="40">
        <f>IFERROR((SUMIFS(Eventos!E5:E51,Eventos!D5:D51,"Novembro",Eventos!A5:A51,"Cetea")),"-")</f>
        <v>0</v>
      </c>
      <c r="O9" s="40">
        <f>IFERROR((SUMIFS(Eventos!E5:E51,Eventos!D5:D51,"Dezembro",Eventos!A5:A51,"Cetea")),"-")</f>
        <v>0</v>
      </c>
      <c r="P9" s="39">
        <f t="shared" si="0"/>
        <v>0</v>
      </c>
      <c r="Q9" s="3"/>
    </row>
    <row r="10" spans="1:17" x14ac:dyDescent="0.25">
      <c r="A10" s="5" t="s">
        <v>13</v>
      </c>
      <c r="B10" s="2">
        <f>SUMIF(Eventos!A5:A51,"CTC",Eventos!F5:F51)</f>
        <v>0</v>
      </c>
      <c r="C10" s="4">
        <f>SUMIF(Eventos!A5:A51,"CTC",Eventos!E5:E51)</f>
        <v>0</v>
      </c>
      <c r="D10" s="39">
        <f>IFERROR((SUMIFS(Eventos!E5:E51,Eventos!D5:D51,"Janeiro",Eventos!A5:A51,"CTC")),"-")</f>
        <v>0</v>
      </c>
      <c r="E10" s="39">
        <f>IFERROR((SUMIFS(Eventos!E5:E51,Eventos!D5:D51,"Fevereiro",Eventos!A5:A51,"CTC")),"-")</f>
        <v>0</v>
      </c>
      <c r="F10" s="39">
        <f>IFERROR((SUMIFS(Eventos!E5:E51,Eventos!D5:D51,"Março",Eventos!A5:A51,"CTC")),"-")</f>
        <v>0</v>
      </c>
      <c r="G10" s="40">
        <f>IFERROR((SUMIFS(Eventos!E5:E51,Eventos!D5:D51,"Abril",Eventos!A5:A51,"CTC")),"-")</f>
        <v>0</v>
      </c>
      <c r="H10" s="40">
        <f>IFERROR((SUMIFS(Eventos!E5:E51,Eventos!D5:D51,"Maio",Eventos!A5:A51,"CTC")),"-")</f>
        <v>0</v>
      </c>
      <c r="I10" s="40">
        <f>IFERROR((SUMIFS(Eventos!E5:E51,Eventos!D5:D51,"Junho",Eventos!A5:A51,"CTC")),"-")</f>
        <v>0</v>
      </c>
      <c r="J10" s="40">
        <f>IFERROR((SUMIFS(Eventos!E5:E51,Eventos!D5:D51,"Julho",Eventos!A5:A51,"CTC")),"-")</f>
        <v>0</v>
      </c>
      <c r="K10" s="40">
        <f>IFERROR((SUMIFS(Eventos!E5:E51,Eventos!D5:D51,"Agosto",Eventos!A5:A51,"CTC")),"-")</f>
        <v>0</v>
      </c>
      <c r="L10" s="40">
        <f>IFERROR((SUMIFS(Eventos!E5:E51,Eventos!D5:D51,"Setembro",Eventos!A5:A51,"CTC")),"-")</f>
        <v>0</v>
      </c>
      <c r="M10" s="40">
        <f>IFERROR((SUMIFS(Eventos!E5:E51,Eventos!D5:D51,"Outubro",Eventos!A5:A51,"CTC")),"-")</f>
        <v>0</v>
      </c>
      <c r="N10" s="40">
        <f>IFERROR((SUMIFS(Eventos!E5:E51,Eventos!D5:D51,"Novembro",Eventos!A5:A51,"CTC")),"-")</f>
        <v>0</v>
      </c>
      <c r="O10" s="40">
        <f>IFERROR((SUMIFS(Eventos!E5:E51,Eventos!D5:D51,"Dezembro",Eventos!A5:A51,"CTC")),"-")</f>
        <v>0</v>
      </c>
      <c r="P10" s="39">
        <f t="shared" si="0"/>
        <v>0</v>
      </c>
      <c r="Q10" s="3"/>
    </row>
    <row r="11" spans="1:17" x14ac:dyDescent="0.25">
      <c r="A11" s="5" t="s">
        <v>9</v>
      </c>
      <c r="B11" s="2">
        <f>SUMIF(Eventos!A5:A51,"DG",Eventos!F5:F51)</f>
        <v>0</v>
      </c>
      <c r="C11" s="4">
        <f>SUMIF(Eventos!A5:A51,"DG",Eventos!E5:E51)</f>
        <v>0</v>
      </c>
      <c r="D11" s="39">
        <f>IFERROR((SUMIFS(Eventos!E5:E51,Eventos!D5:D51,"Janeiro",Eventos!A5:A51,"DG")),"-")</f>
        <v>0</v>
      </c>
      <c r="E11" s="39">
        <f>IFERROR((SUMIFS(Eventos!E5:E51,Eventos!D5:D51,"Fevereiro",Eventos!A5:A51,"DG")),"-")</f>
        <v>0</v>
      </c>
      <c r="F11" s="39">
        <f>IFERROR((SUMIFS(Eventos!E5:E51,Eventos!D5:D51,"Março",Eventos!A5:A51,"DG")),"-")</f>
        <v>0</v>
      </c>
      <c r="G11" s="40">
        <f>IFERROR((SUMIFS(Eventos!E5:E51,Eventos!D5:D51,"Abril",Eventos!A5:A51,"DG")),"-")</f>
        <v>0</v>
      </c>
      <c r="H11" s="40">
        <f>IFERROR((SUMIFS(Eventos!E5:E51,Eventos!D5:D51,"Maio",Eventos!A5:A51,"DG")),"-")</f>
        <v>0</v>
      </c>
      <c r="I11" s="40">
        <f>IFERROR((SUMIFS(Eventos!E5:E51,Eventos!D5:D51,"Junho",Eventos!A5:A51,"DG")),"-")</f>
        <v>0</v>
      </c>
      <c r="J11" s="40">
        <f>IFERROR((SUMIFS(Eventos!E5:E51,Eventos!D5:D51,"Julho",Eventos!A5:A51,"DG")),"-")</f>
        <v>0</v>
      </c>
      <c r="K11" s="40">
        <f>IFERROR((SUMIFS(Eventos!E5:E51,Eventos!D5:D51,"Agosto",Eventos!A5:A51,"DG")),"-")</f>
        <v>0</v>
      </c>
      <c r="L11" s="40">
        <f>IFERROR((SUMIFS(Eventos!E5:E51,Eventos!D5:D51,"Setembro",Eventos!A5:A51,"DG")),"-")</f>
        <v>0</v>
      </c>
      <c r="M11" s="40">
        <f>IFERROR((SUMIFS(Eventos!E5:E51,Eventos!D5:D51,"Outubro",Eventos!A5:A51,"DG")),"-")</f>
        <v>0</v>
      </c>
      <c r="N11" s="40">
        <f>IFERROR((SUMIFS(Eventos!E5:E51,Eventos!D5:D51,"Novembro",Eventos!A5:A51,"DG")),"-")</f>
        <v>0</v>
      </c>
      <c r="O11" s="40">
        <f>IFERROR((SUMIFS(Eventos!E5:E51,Eventos!D5:D51,"Dezembro",Eventos!A5:A51,"DG")),"-")</f>
        <v>0</v>
      </c>
      <c r="P11" s="39">
        <f t="shared" si="0"/>
        <v>0</v>
      </c>
      <c r="Q11" s="3"/>
    </row>
    <row r="12" spans="1:17" x14ac:dyDescent="0.25">
      <c r="A12" s="5" t="s">
        <v>14</v>
      </c>
      <c r="B12" s="2">
        <f>SUMIF(Eventos!A5:A51,"Fruthotec",Eventos!F5:F51)</f>
        <v>0</v>
      </c>
      <c r="C12" s="4">
        <f>SUMIF(Eventos!A5:A51,"Fruthotec",Eventos!E5:E51)</f>
        <v>0</v>
      </c>
      <c r="D12" s="39">
        <f>IFERROR((SUMIFS(Eventos!E5:E51,Eventos!D5:D51,"Janeiro",Eventos!A5:A51,"Fruthotec")),"-")</f>
        <v>0</v>
      </c>
      <c r="E12" s="39">
        <f>IFERROR((SUMIFS(Eventos!E5:E51,Eventos!D5:D51,"Fevereiro",Eventos!A5:A51,"Fruthotec")),"-")</f>
        <v>0</v>
      </c>
      <c r="F12" s="39">
        <f>IFERROR((SUMIFS(Eventos!E5:E51,Eventos!D5:D51,"Março",Eventos!A5:A51,"Fruthotec")),"-")</f>
        <v>0</v>
      </c>
      <c r="G12" s="40">
        <f>IFERROR((SUMIFS(Eventos!E5:E51,Eventos!D5:D51,"Abril",Eventos!A5:A51,"Fruthotec")),"-")</f>
        <v>0</v>
      </c>
      <c r="H12" s="40">
        <f>IFERROR((SUMIFS(Eventos!E5:E51,Eventos!D5:D51,"Maio",Eventos!A5:A51,"Fruthotec")),"-")</f>
        <v>0</v>
      </c>
      <c r="I12" s="40">
        <f>IFERROR((SUMIFS(Eventos!E5:E51,Eventos!D5:D51,"Junho",Eventos!A5:A51,"Fruthotec")),"-")</f>
        <v>0</v>
      </c>
      <c r="J12" s="40">
        <f>IFERROR((SUMIFS(Eventos!E5:E51,Eventos!D5:D51,"Julho",Eventos!A5:A51,"Fruthotec")),"-")</f>
        <v>0</v>
      </c>
      <c r="K12" s="40">
        <f>IFERROR((SUMIFS(Eventos!E5:E51,Eventos!D5:D51,"Agosto",Eventos!A5:A51,"Fruthotec")),"-")</f>
        <v>0</v>
      </c>
      <c r="L12" s="40">
        <f>IFERROR((SUMIFS(Eventos!E5:E51,Eventos!D5:D51,"Setembro",Eventos!A5:A51,"Fruthotec")),"-")</f>
        <v>0</v>
      </c>
      <c r="M12" s="40">
        <f>IFERROR((SUMIFS(Eventos!E5:E51,Eventos!D5:D51,"Outubro",Eventos!A5:A51,"Fruthotec")),"-")</f>
        <v>0</v>
      </c>
      <c r="N12" s="40">
        <f>IFERROR((SUMIFS(Eventos!E5:E51,Eventos!D5:D51,"Novembro",Eventos!A5:A51,"Fruthotec")),"-")</f>
        <v>0</v>
      </c>
      <c r="O12" s="40">
        <f>IFERROR((SUMIFS(Eventos!E5:E51,Eventos!D5:D51,"Dezembro",Eventos!A5:A51,"Fruthotec")),"-")</f>
        <v>0</v>
      </c>
      <c r="P12" s="39">
        <f t="shared" si="0"/>
        <v>0</v>
      </c>
      <c r="Q12" s="3"/>
    </row>
    <row r="13" spans="1:17" x14ac:dyDescent="0.25">
      <c r="A13" s="5" t="s">
        <v>12</v>
      </c>
      <c r="B13" s="2">
        <f>SUMIF(Eventos!A5:A51,"Tecnolat",Eventos!F5:F51)</f>
        <v>0</v>
      </c>
      <c r="C13" s="4">
        <f>SUMIF(Eventos!A5:A51,"Tecnolat",Eventos!E5:E51)</f>
        <v>0</v>
      </c>
      <c r="D13" s="39">
        <f>IFERROR((SUMIFS(Eventos!E5:E51,Eventos!D5:D51,"Janeiro",Eventos!A5:A51,"Tecnolat")),"-")</f>
        <v>0</v>
      </c>
      <c r="E13" s="39">
        <f>IFERROR((SUMIFS(Eventos!E5:E51,Eventos!D5:D51,"Fevereiro",Eventos!A5:A51,"Tecnolat")),"-")</f>
        <v>0</v>
      </c>
      <c r="F13" s="39">
        <f>IFERROR((SUMIFS(Eventos!E5:E51,Eventos!D5:D51,"Março",Eventos!A5:A51,"Tecnolat")),"-")</f>
        <v>0</v>
      </c>
      <c r="G13" s="40">
        <f>IFERROR((SUMIFS(Eventos!E5:E51,Eventos!D5:D51,"Abril",Eventos!A5:A51,"Tecnolat")),"-")</f>
        <v>0</v>
      </c>
      <c r="H13" s="40">
        <f>IFERROR((SUMIFS(Eventos!E5:E51,Eventos!D5:D51,"Maio",Eventos!A5:A51,"Tecnolat")),"-")</f>
        <v>0</v>
      </c>
      <c r="I13" s="40">
        <f>IFERROR((SUMIFS(Eventos!E5:E51,Eventos!D5:D51,"Junho",Eventos!A5:A51,"Tecnolat")),"-")</f>
        <v>0</v>
      </c>
      <c r="J13" s="40">
        <f>IFERROR((SUMIFS(Eventos!E5:E51,Eventos!D5:D51,"Julho",Eventos!A5:A51,"Tecnolat")),"-")</f>
        <v>0</v>
      </c>
      <c r="K13" s="40">
        <f>IFERROR((SUMIFS(Eventos!E5:E51,Eventos!D5:D51,"Agosto",Eventos!A5:A51,"Tecnolat")),"-")</f>
        <v>0</v>
      </c>
      <c r="L13" s="40">
        <f>IFERROR((SUMIFS(Eventos!E5:E51,Eventos!D5:D51,"Setembro",Eventos!A5:A51,"Tecnolat")),"-")</f>
        <v>0</v>
      </c>
      <c r="M13" s="40">
        <f>IFERROR((SUMIFS(Eventos!E5:E51,Eventos!D5:D51,"Outubro",Eventos!A5:A51,"Tecnolat")),"-")</f>
        <v>0</v>
      </c>
      <c r="N13" s="40">
        <f>IFERROR((SUMIFS(Eventos!E5:E51,Eventos!D5:D51,"Novembro",Eventos!A5:A51,"Tecnolat")),"-")</f>
        <v>0</v>
      </c>
      <c r="O13" s="40">
        <f>IFERROR((SUMIFS(Eventos!E5:E51,Eventos!D5:D51,"Dezembro",Eventos!A5:A51,"Tecnolat")),"-")</f>
        <v>0</v>
      </c>
      <c r="P13" s="39">
        <f t="shared" si="0"/>
        <v>0</v>
      </c>
      <c r="Q13" s="3"/>
    </row>
    <row r="14" spans="1:17" s="9" customFormat="1" ht="27" customHeight="1" x14ac:dyDescent="0.2">
      <c r="A14" s="6" t="s">
        <v>15</v>
      </c>
      <c r="B14" s="8">
        <f>SUM(B7:B13)</f>
        <v>0</v>
      </c>
      <c r="C14" s="8">
        <f>SUM(C7:C13)</f>
        <v>0</v>
      </c>
      <c r="D14" s="41">
        <f>SUM(D7:D13)</f>
        <v>0</v>
      </c>
      <c r="E14" s="41">
        <f t="shared" ref="E14:O14" si="1">SUM(E7:E13)</f>
        <v>0</v>
      </c>
      <c r="F14" s="41">
        <f t="shared" si="1"/>
        <v>0</v>
      </c>
      <c r="G14" s="41">
        <f t="shared" si="1"/>
        <v>0</v>
      </c>
      <c r="H14" s="41">
        <f t="shared" si="1"/>
        <v>0</v>
      </c>
      <c r="I14" s="41">
        <f t="shared" si="1"/>
        <v>0</v>
      </c>
      <c r="J14" s="41">
        <f t="shared" si="1"/>
        <v>0</v>
      </c>
      <c r="K14" s="41">
        <f t="shared" si="1"/>
        <v>0</v>
      </c>
      <c r="L14" s="41">
        <f t="shared" si="1"/>
        <v>0</v>
      </c>
      <c r="M14" s="41">
        <f t="shared" si="1"/>
        <v>0</v>
      </c>
      <c r="N14" s="41">
        <f t="shared" si="1"/>
        <v>0</v>
      </c>
      <c r="O14" s="41">
        <f t="shared" si="1"/>
        <v>0</v>
      </c>
      <c r="P14" s="42">
        <f t="shared" si="0"/>
        <v>0</v>
      </c>
      <c r="Q14" s="38"/>
    </row>
    <row r="15" spans="1:17" ht="15.75" thickBot="1" x14ac:dyDescent="0.3">
      <c r="A15" s="3"/>
      <c r="B15" s="3"/>
      <c r="C15" s="3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3"/>
    </row>
    <row r="16" spans="1:17" ht="15.75" thickBot="1" x14ac:dyDescent="0.3">
      <c r="A16" s="67" t="s">
        <v>40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9"/>
      <c r="Q16" s="3"/>
    </row>
    <row r="17" spans="1:17" x14ac:dyDescent="0.25">
      <c r="A17" s="3"/>
      <c r="B17" s="3"/>
      <c r="C17" s="3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3"/>
    </row>
    <row r="18" spans="1:17" ht="25.5" x14ac:dyDescent="0.25">
      <c r="A18" s="10" t="s">
        <v>0</v>
      </c>
      <c r="B18" s="11" t="s">
        <v>19</v>
      </c>
      <c r="C18" s="11" t="s">
        <v>18</v>
      </c>
      <c r="D18" s="11" t="s">
        <v>31</v>
      </c>
      <c r="E18" s="11" t="s">
        <v>32</v>
      </c>
      <c r="F18" s="11" t="s">
        <v>33</v>
      </c>
      <c r="G18" s="11" t="s">
        <v>36</v>
      </c>
      <c r="H18" s="11" t="s">
        <v>37</v>
      </c>
      <c r="I18" s="11" t="s">
        <v>24</v>
      </c>
      <c r="J18" s="11" t="s">
        <v>25</v>
      </c>
      <c r="K18" s="11" t="s">
        <v>23</v>
      </c>
      <c r="L18" s="11" t="s">
        <v>30</v>
      </c>
      <c r="M18" s="11" t="s">
        <v>26</v>
      </c>
      <c r="N18" s="11" t="s">
        <v>22</v>
      </c>
      <c r="O18" s="11" t="s">
        <v>29</v>
      </c>
      <c r="P18" s="11" t="s">
        <v>38</v>
      </c>
      <c r="Q18" s="3"/>
    </row>
    <row r="19" spans="1:17" s="3" customFormat="1" ht="12.75" x14ac:dyDescent="0.2">
      <c r="A19" s="5" t="s">
        <v>16</v>
      </c>
      <c r="B19" s="2">
        <f>SUMIF('Treinamentos Fechados'!A5:A51,"C.Chocotec",'Treinamentos Fechados'!F5:F51)</f>
        <v>0</v>
      </c>
      <c r="C19" s="4">
        <f>SUMIF('Treinamentos Fechados'!A5:A51,"C.Chocotec",'Treinamentos Fechados'!E5:E51)</f>
        <v>0</v>
      </c>
      <c r="D19" s="39">
        <f>IFERROR(SUMIFS('Treinamentos Fechados'!E5:E51,'Treinamentos Fechados'!D5:D51,"Janeiro",'Treinamentos Fechados'!A5:A51,"C.Chocotec"),"-")</f>
        <v>0</v>
      </c>
      <c r="E19" s="39">
        <f>IFERROR(SUMIFS('Treinamentos Fechados'!E5:E51,'Treinamentos Fechados'!D5:D51,"Fevereiro",'Treinamentos Fechados'!A5:A51,"C.Chocotec"),"-")</f>
        <v>0</v>
      </c>
      <c r="F19" s="39">
        <f>IFERROR(SUMIFS('Treinamentos Fechados'!E5:E51,'Treinamentos Fechados'!D5:D51,"Março",'Treinamentos Fechados'!A5:A51,"C.Chocotec"),"-")</f>
        <v>0</v>
      </c>
      <c r="G19" s="39">
        <f>IFERROR(SUMIFS('Treinamentos Fechados'!E5:E51,'Treinamentos Fechados'!D5:D51,"Abril",'Treinamentos Fechados'!A5:A51,"C.Chocotec"),"-")</f>
        <v>0</v>
      </c>
      <c r="H19" s="39">
        <f>IFERROR(SUMIFS('Treinamentos Fechados'!E5:E51,'Treinamentos Fechados'!D5:D51,"Maio",'Treinamentos Fechados'!A5:A51,"C.Chocotec"),"-")</f>
        <v>0</v>
      </c>
      <c r="I19" s="39">
        <f>IFERROR(SUMIFS('Treinamentos Fechados'!E5:E51,'Treinamentos Fechados'!D5:D51,"Junho",'Treinamentos Fechados'!A5:A51,"C.Chocotec"),"-")</f>
        <v>0</v>
      </c>
      <c r="J19" s="39">
        <f>IFERROR(SUMIFS('Treinamentos Fechados'!E5:E51,'Treinamentos Fechados'!D5:D51,"Julho",'Treinamentos Fechados'!A5:A51,"C.Chocotec"),"-")</f>
        <v>0</v>
      </c>
      <c r="K19" s="39">
        <f>IFERROR(SUMIFS('Treinamentos Fechados'!E5:E51,'Treinamentos Fechados'!D5:D51,"Agosto",'Treinamentos Fechados'!A5:A51,"C.Chocotec"),"-")</f>
        <v>0</v>
      </c>
      <c r="L19" s="39">
        <f>IFERROR(SUMIFS('Treinamentos Fechados'!E5:E51,'Treinamentos Fechados'!D5:D51,"Setembro",'Treinamentos Fechados'!A5:A51,"C.Chocotec"),"-")</f>
        <v>0</v>
      </c>
      <c r="M19" s="39">
        <f>IFERROR(SUMIFS('Treinamentos Fechados'!E5:E51,'Treinamentos Fechados'!D5:D51,"Outubro",'Treinamentos Fechados'!A5:A51,"C.Chocotec"),"-")</f>
        <v>0</v>
      </c>
      <c r="N19" s="39">
        <f>IFERROR(SUMIFS('Treinamentos Fechados'!E5:E51,'Treinamentos Fechados'!D5:D51,"Novembro",'Treinamentos Fechados'!A5:A51,"C.Chocotec"),"-")</f>
        <v>0</v>
      </c>
      <c r="O19" s="39">
        <f>IFERROR(SUMIFS('Treinamentos Fechados'!E5:E51,'Treinamentos Fechados'!D5:D51,"Dezembro",'Treinamentos Fechados'!A5:A51,"C.Chocotec"),"-")</f>
        <v>0</v>
      </c>
      <c r="P19" s="39">
        <f>SUM(D19:O19)</f>
        <v>0</v>
      </c>
    </row>
    <row r="20" spans="1:17" s="3" customFormat="1" ht="12.75" x14ac:dyDescent="0.2">
      <c r="A20" s="5" t="s">
        <v>10</v>
      </c>
      <c r="B20" s="2">
        <f>SUMIF('Treinamentos Fechados'!A5:A51,"CCQA",'Treinamentos Fechados'!F5:F51)</f>
        <v>0</v>
      </c>
      <c r="C20" s="4">
        <f>SUMIF('Treinamentos Fechados'!A5:A51,"CCQA",'Treinamentos Fechados'!E5:E51)</f>
        <v>0</v>
      </c>
      <c r="D20" s="39">
        <f>IFERROR(SUMIFS('Treinamentos Fechados'!E5:E51,'Treinamentos Fechados'!D5:D51,"Janeiro",'Treinamentos Fechados'!A5:A51,"CCQA"),"-")</f>
        <v>0</v>
      </c>
      <c r="E20" s="40">
        <f>IFERROR(SUMIFS('Treinamentos Fechados'!E5:E51,'Treinamentos Fechados'!D5:D51,"Fevereiro",'Treinamentos Fechados'!A5:A51,"CCQA"),"-")</f>
        <v>0</v>
      </c>
      <c r="F20" s="40">
        <f>IFERROR(SUMIFS('Treinamentos Fechados'!E5:E51,'Treinamentos Fechados'!D5:D51,"Março",'Treinamentos Fechados'!A5:A51,"CCQA"),"-")</f>
        <v>0</v>
      </c>
      <c r="G20" s="40">
        <f>IFERROR(SUMIFS('Treinamentos Fechados'!E5:E51,'Treinamentos Fechados'!D5:D51,"Abril",'Treinamentos Fechados'!A5:A51,"CCQA"),"-")</f>
        <v>0</v>
      </c>
      <c r="H20" s="40">
        <f>IFERROR(SUMIFS('Treinamentos Fechados'!E5:E51,'Treinamentos Fechados'!D5:D51,"Maio",'Treinamentos Fechados'!A5:A51,"CCQA"),"-")</f>
        <v>0</v>
      </c>
      <c r="I20" s="40">
        <f>IFERROR(SUMIFS('Treinamentos Fechados'!E5:E51,'Treinamentos Fechados'!D5:D51,"Junho",'Treinamentos Fechados'!A5:A51,"CCQA"),"-")</f>
        <v>0</v>
      </c>
      <c r="J20" s="40">
        <f>IFERROR(SUMIFS('Treinamentos Fechados'!E5:E51,'Treinamentos Fechados'!D5:D51,"Julho",'Treinamentos Fechados'!A5:A51,"CCQA"),"-")</f>
        <v>0</v>
      </c>
      <c r="K20" s="40">
        <f>IFERROR(SUMIFS('Treinamentos Fechados'!E5:E51,'Treinamentos Fechados'!D5:D51,"Agosto",'Treinamentos Fechados'!A5:A51,"CCQA"),"-")</f>
        <v>0</v>
      </c>
      <c r="L20" s="40">
        <f>IFERROR(SUMIFS('Treinamentos Fechados'!E5:E51,'Treinamentos Fechados'!D5:D51,"Setembro",'Treinamentos Fechados'!A5:A51,"CCQA"),"-")</f>
        <v>0</v>
      </c>
      <c r="M20" s="40">
        <f>IFERROR(SUMIFS('Treinamentos Fechados'!E5:E51,'Treinamentos Fechados'!D5:D51,"Outubro",'Treinamentos Fechados'!A5:A51,"CCQA"),"-")</f>
        <v>0</v>
      </c>
      <c r="N20" s="40">
        <f>IFERROR(SUMIFS('Treinamentos Fechados'!E5:E51,'Treinamentos Fechados'!D5:D51,"Novembro",'Treinamentos Fechados'!A5:A51,"CCQA"),"-")</f>
        <v>0</v>
      </c>
      <c r="O20" s="40">
        <f>IFERROR(SUMIFS('Treinamentos Fechados'!E5:E51,'Treinamentos Fechados'!D5:D51,"Dezembro",'Treinamentos Fechados'!A5:A51,"CCQA"),"-")</f>
        <v>0</v>
      </c>
      <c r="P20" s="39">
        <f t="shared" ref="P20:P25" si="2">SUM(D20:O20)</f>
        <v>0</v>
      </c>
    </row>
    <row r="21" spans="1:17" s="3" customFormat="1" ht="12.75" x14ac:dyDescent="0.2">
      <c r="A21" s="5" t="s">
        <v>11</v>
      </c>
      <c r="B21" s="2">
        <f>SUMIF('Treinamentos Fechados'!A5:A51,"Cetea",'Treinamentos Fechados'!F5:F51)</f>
        <v>0</v>
      </c>
      <c r="C21" s="4">
        <f>SUMIF('Treinamentos Fechados'!A5:A51,"Cetea",'Treinamentos Fechados'!E5:E51)</f>
        <v>0</v>
      </c>
      <c r="D21" s="39">
        <f>IFERROR(SUMIFS('Treinamentos Fechados'!E5:E51,'Treinamentos Fechados'!D5:D51,"Janeiro",'Treinamentos Fechados'!A5:A51,"Cetea"),"-")</f>
        <v>0</v>
      </c>
      <c r="E21" s="40">
        <f>IFERROR(SUMIFS('Treinamentos Fechados'!E5:E51,'Treinamentos Fechados'!D5:D51,"Fevereiro",'Treinamentos Fechados'!A5:A51,"Cetea"),"-")</f>
        <v>0</v>
      </c>
      <c r="F21" s="40">
        <f>IFERROR(SUMIFS('Treinamentos Fechados'!E5:E51,'Treinamentos Fechados'!D5:D51,"Março",'Treinamentos Fechados'!A5:A51,"Cetea"),"-")</f>
        <v>0</v>
      </c>
      <c r="G21" s="40">
        <f>IFERROR(SUMIFS('Treinamentos Fechados'!E5:E51,'Treinamentos Fechados'!D5:D51,"Abril",'Treinamentos Fechados'!A5:A51,"Cetea"),"-")</f>
        <v>0</v>
      </c>
      <c r="H21" s="40">
        <f>IFERROR(SUMIFS('Treinamentos Fechados'!E5:E51,'Treinamentos Fechados'!D5:D51,"Maio",'Treinamentos Fechados'!A5:A51,"Cetea"),"-")</f>
        <v>0</v>
      </c>
      <c r="I21" s="40">
        <f>IFERROR(SUMIFS('Treinamentos Fechados'!E5:E51,'Treinamentos Fechados'!D5:D51,"Junho",'Treinamentos Fechados'!A5:A51,"Cetea"),"-")</f>
        <v>0</v>
      </c>
      <c r="J21" s="40">
        <f>IFERROR(SUMIFS('Treinamentos Fechados'!E5:E51,'Treinamentos Fechados'!D5:D51,"Julho",'Treinamentos Fechados'!A5:A51,"Cetea"),"-")</f>
        <v>0</v>
      </c>
      <c r="K21" s="40">
        <f>IFERROR(SUMIFS('Treinamentos Fechados'!E5:E51,'Treinamentos Fechados'!D5:D51,"Agosto",'Treinamentos Fechados'!A5:A51,"Cetea"),"-")</f>
        <v>0</v>
      </c>
      <c r="L21" s="40">
        <f>IFERROR(SUMIFS('Treinamentos Fechados'!E5:E51,'Treinamentos Fechados'!D5:D51,"Setembro",'Treinamentos Fechados'!A5:A51,"Cetea"),"-")</f>
        <v>0</v>
      </c>
      <c r="M21" s="40">
        <f>IFERROR(SUMIFS('Treinamentos Fechados'!E5:E51,'Treinamentos Fechados'!D5:D51,"Outubro",'Treinamentos Fechados'!A5:A51,"Cetea"),"-")</f>
        <v>0</v>
      </c>
      <c r="N21" s="40">
        <f>IFERROR(SUMIFS('Treinamentos Fechados'!E5:E51,'Treinamentos Fechados'!D5:D51,"Novembro",'Treinamentos Fechados'!A5:A51,"Cetea"),"-")</f>
        <v>0</v>
      </c>
      <c r="O21" s="40">
        <f>IFERROR(SUMIFS('Treinamentos Fechados'!E5:E51,'Treinamentos Fechados'!D5:D51,"Dezembro",'Treinamentos Fechados'!A5:A51,"Cetea"),"-")</f>
        <v>0</v>
      </c>
      <c r="P21" s="39">
        <f t="shared" si="2"/>
        <v>0</v>
      </c>
    </row>
    <row r="22" spans="1:17" s="3" customFormat="1" ht="12.75" x14ac:dyDescent="0.2">
      <c r="A22" s="5" t="s">
        <v>13</v>
      </c>
      <c r="B22" s="2">
        <f>SUMIF('Treinamentos Fechados'!A5:A51,"CTC",'Treinamentos Fechados'!F5:F51)</f>
        <v>0</v>
      </c>
      <c r="C22" s="4">
        <f>SUMIF('Treinamentos Fechados'!A5:A51,"CTC",'Treinamentos Fechados'!E5:E51)</f>
        <v>0</v>
      </c>
      <c r="D22" s="39">
        <f>IFERROR(SUMIFS('Treinamentos Fechados'!E5:E51,'Treinamentos Fechados'!D5:D51,"Janeiro",'Treinamentos Fechados'!A5:A51,"CTC"),"-")</f>
        <v>0</v>
      </c>
      <c r="E22" s="40">
        <f>IFERROR(SUMIFS('Treinamentos Fechados'!E5:E51,'Treinamentos Fechados'!D5:D51,"Fevereiro",'Treinamentos Fechados'!A5:A51,"CTC"),"-")</f>
        <v>0</v>
      </c>
      <c r="F22" s="40">
        <f>IFERROR(SUMIFS('Treinamentos Fechados'!E5:E51,'Treinamentos Fechados'!D5:D51,"Março",'Treinamentos Fechados'!A5:A51,"CTC"),"-")</f>
        <v>0</v>
      </c>
      <c r="G22" s="40">
        <f>IFERROR(SUMIFS('Treinamentos Fechados'!E5:E51,'Treinamentos Fechados'!D5:D51,"Abril",'Treinamentos Fechados'!A5:A51,"CTC"),"-")</f>
        <v>0</v>
      </c>
      <c r="H22" s="40">
        <f>IFERROR(SUMIFS('Treinamentos Fechados'!E5:E51,'Treinamentos Fechados'!D5:D51,"Maio",'Treinamentos Fechados'!A5:A51,"CTC"),"-")</f>
        <v>0</v>
      </c>
      <c r="I22" s="40">
        <f>IFERROR(SUMIFS('Treinamentos Fechados'!E5:E51,'Treinamentos Fechados'!D5:D51,"Junho",'Treinamentos Fechados'!A5:A51,"CTC"),"-")</f>
        <v>0</v>
      </c>
      <c r="J22" s="40">
        <f>IFERROR(SUMIFS('Treinamentos Fechados'!E5:E51,'Treinamentos Fechados'!D5:D51,"Julho",'Treinamentos Fechados'!A5:A51,"CTC"),"-")</f>
        <v>0</v>
      </c>
      <c r="K22" s="40">
        <f>IFERROR(SUMIFS('Treinamentos Fechados'!E5:E51,'Treinamentos Fechados'!D5:D51,"Agosto",'Treinamentos Fechados'!A5:A51,"CTC"),"-")</f>
        <v>0</v>
      </c>
      <c r="L22" s="40">
        <f>IFERROR(SUMIFS('Treinamentos Fechados'!E5:E51,'Treinamentos Fechados'!D5:D51,"Setembro",'Treinamentos Fechados'!A5:A51,"CTC"),"-")</f>
        <v>0</v>
      </c>
      <c r="M22" s="40">
        <f>IFERROR(SUMIFS('Treinamentos Fechados'!E5:E51,'Treinamentos Fechados'!D5:D51,"Outubro",'Treinamentos Fechados'!A5:A51,"CTC"),"-")</f>
        <v>0</v>
      </c>
      <c r="N22" s="40">
        <f>IFERROR(SUMIFS('Treinamentos Fechados'!E5:E51,'Treinamentos Fechados'!D5:D51,"Novembro",'Treinamentos Fechados'!A5:A51,"CTC"),"-")</f>
        <v>0</v>
      </c>
      <c r="O22" s="40">
        <f>IFERROR(SUMIFS('Treinamentos Fechados'!E5:E51,'Treinamentos Fechados'!D5:D51,"Dezembro",'Treinamentos Fechados'!A5:A51,"CTC"),"-")</f>
        <v>0</v>
      </c>
      <c r="P22" s="39">
        <f t="shared" si="2"/>
        <v>0</v>
      </c>
    </row>
    <row r="23" spans="1:17" s="3" customFormat="1" ht="12.75" x14ac:dyDescent="0.2">
      <c r="A23" s="5" t="s">
        <v>9</v>
      </c>
      <c r="B23" s="2">
        <f>SUMIF('Treinamentos Fechados'!A5:A51,"DG",'Treinamentos Fechados'!F5:F51)</f>
        <v>0</v>
      </c>
      <c r="C23" s="4">
        <f>SUMIF('Treinamentos Fechados'!A5:A51,"DG",'Treinamentos Fechados'!E5:E51)</f>
        <v>0</v>
      </c>
      <c r="D23" s="39">
        <f>IFERROR(SUMIFS('Treinamentos Fechados'!E5:E51,'Treinamentos Fechados'!D5:D51,"Janeiro",'Treinamentos Fechados'!A5:A51,"DG"),"-")</f>
        <v>0</v>
      </c>
      <c r="E23" s="40">
        <f>IFERROR(SUMIFS('Treinamentos Fechados'!E5:E51,'Treinamentos Fechados'!D5:D51,"Fevereiro",'Treinamentos Fechados'!A5:A51,"DG"),"-")</f>
        <v>0</v>
      </c>
      <c r="F23" s="40">
        <f>IFERROR(SUMIFS('Treinamentos Fechados'!E5:E51,'Treinamentos Fechados'!D5:D51,"Março",'Treinamentos Fechados'!A5:A51,"DG"),"-")</f>
        <v>0</v>
      </c>
      <c r="G23" s="40">
        <f>IFERROR(SUMIFS('Treinamentos Fechados'!E5:E51,'Treinamentos Fechados'!D5:D51,"Abril",'Treinamentos Fechados'!A5:A51,"DG"),"-")</f>
        <v>0</v>
      </c>
      <c r="H23" s="40">
        <f>IFERROR(SUMIFS('Treinamentos Fechados'!E5:E51,'Treinamentos Fechados'!D5:D51,"Maio",'Treinamentos Fechados'!A5:A51,"DG"),"-")</f>
        <v>0</v>
      </c>
      <c r="I23" s="40">
        <f>IFERROR(SUMIFS('Treinamentos Fechados'!E5:E51,'Treinamentos Fechados'!D5:D51,"Junho",'Treinamentos Fechados'!A5:A51,"DG"),"-")</f>
        <v>0</v>
      </c>
      <c r="J23" s="40">
        <f>IFERROR(SUMIFS('Treinamentos Fechados'!E5:E51,'Treinamentos Fechados'!D5:D51,"Julho",'Treinamentos Fechados'!A5:A51,"DG"),"-")</f>
        <v>0</v>
      </c>
      <c r="K23" s="40">
        <f>IFERROR(SUMIFS('Treinamentos Fechados'!E5:E51,'Treinamentos Fechados'!D5:D51,"Agosto",'Treinamentos Fechados'!A5:A51,"DG"),"-")</f>
        <v>0</v>
      </c>
      <c r="L23" s="40">
        <f>IFERROR(SUMIFS('Treinamentos Fechados'!E5:E51,'Treinamentos Fechados'!D5:D51,"Setembro",'Treinamentos Fechados'!A5:A51,"DG"),"-")</f>
        <v>0</v>
      </c>
      <c r="M23" s="40">
        <f>IFERROR(SUMIFS('Treinamentos Fechados'!E5:E51,'Treinamentos Fechados'!D5:D51,"Outubro",'Treinamentos Fechados'!A5:A51,"DG"),"-")</f>
        <v>0</v>
      </c>
      <c r="N23" s="40">
        <f>IFERROR(SUMIFS('Treinamentos Fechados'!E5:E51,'Treinamentos Fechados'!D5:D51,"Novembro",'Treinamentos Fechados'!A5:A51,"DG"),"-")</f>
        <v>0</v>
      </c>
      <c r="O23" s="40">
        <f>IFERROR(SUMIFS('Treinamentos Fechados'!E5:E51,'Treinamentos Fechados'!D5:D51,"Dezembro",'Treinamentos Fechados'!A5:A51,"DG"),"-")</f>
        <v>0</v>
      </c>
      <c r="P23" s="39">
        <f t="shared" si="2"/>
        <v>0</v>
      </c>
    </row>
    <row r="24" spans="1:17" s="3" customFormat="1" ht="12.75" x14ac:dyDescent="0.2">
      <c r="A24" s="5" t="s">
        <v>14</v>
      </c>
      <c r="B24" s="2">
        <f>SUMIF('Treinamentos Fechados'!A5:A51,"Fruthotec",'Treinamentos Fechados'!F5:F51)</f>
        <v>0</v>
      </c>
      <c r="C24" s="4">
        <f>SUMIF('Treinamentos Fechados'!A5:A51,"Fruthotec",'Treinamentos Fechados'!E5:E51)</f>
        <v>0</v>
      </c>
      <c r="D24" s="39">
        <f>IFERROR(SUMIFS('Treinamentos Fechados'!E5:E51,'Treinamentos Fechados'!D5:D51,"Janeiro",'Treinamentos Fechados'!A5:A51,"Fruthotec"),"-")</f>
        <v>0</v>
      </c>
      <c r="E24" s="40">
        <f>IFERROR(SUMIFS('Treinamentos Fechados'!E5:E51,'Treinamentos Fechados'!D5:D51,"Fevereiro",'Treinamentos Fechados'!A5:A51,"Fruthotec"),"-")</f>
        <v>0</v>
      </c>
      <c r="F24" s="40">
        <f>IFERROR(SUMIFS('Treinamentos Fechados'!E5:E51,'Treinamentos Fechados'!D5:D51,"Março",'Treinamentos Fechados'!A5:A51,"Fruthotec"),"-")</f>
        <v>0</v>
      </c>
      <c r="G24" s="40">
        <f>IFERROR(SUMIFS('Treinamentos Fechados'!E5:E51,'Treinamentos Fechados'!D5:D51,"Abril",'Treinamentos Fechados'!A5:A51,"Fruthotec"),"-")</f>
        <v>0</v>
      </c>
      <c r="H24" s="40">
        <f>IFERROR(SUMIFS('Treinamentos Fechados'!E5:E51,'Treinamentos Fechados'!D5:D51,"Maio",'Treinamentos Fechados'!A5:A51,"Fruthotec"),"-")</f>
        <v>0</v>
      </c>
      <c r="I24" s="40">
        <f>IFERROR(SUMIFS('Treinamentos Fechados'!E5:E51,'Treinamentos Fechados'!D5:D51,"Junho",'Treinamentos Fechados'!A5:A51,"Fruthotec"),"-")</f>
        <v>0</v>
      </c>
      <c r="J24" s="40">
        <f>IFERROR(SUMIFS('Treinamentos Fechados'!E5:E51,'Treinamentos Fechados'!D5:D51,"Julho",'Treinamentos Fechados'!A5:A51,"Fruthotec"),"-")</f>
        <v>0</v>
      </c>
      <c r="K24" s="40">
        <f>IFERROR(SUMIFS('Treinamentos Fechados'!E5:E51,'Treinamentos Fechados'!D5:D51,"Agosto",'Treinamentos Fechados'!A5:A51,"Fruthotec"),"-")</f>
        <v>0</v>
      </c>
      <c r="L24" s="40">
        <f>IFERROR(SUMIFS('Treinamentos Fechados'!E5:E51,'Treinamentos Fechados'!D5:D51,"Setembro",'Treinamentos Fechados'!A5:A51,"Fruthotec"),"-")</f>
        <v>0</v>
      </c>
      <c r="M24" s="40">
        <f>IFERROR(SUMIFS('Treinamentos Fechados'!E5:E51,'Treinamentos Fechados'!D5:D51,"Outubro",'Treinamentos Fechados'!A5:A51,"Fruthotec"),"-")</f>
        <v>0</v>
      </c>
      <c r="N24" s="40">
        <f>IFERROR(SUMIFS('Treinamentos Fechados'!E5:E51,'Treinamentos Fechados'!D5:D51,"Novembro",'Treinamentos Fechados'!A5:A51,"Fruthotec"),"-")</f>
        <v>0</v>
      </c>
      <c r="O24" s="40">
        <f>IFERROR(SUMIFS('Treinamentos Fechados'!E5:E51,'Treinamentos Fechados'!D5:D51,"Dezembro",'Treinamentos Fechados'!A5:A51,"Fruthotec"),"-")</f>
        <v>0</v>
      </c>
      <c r="P24" s="39">
        <f t="shared" si="2"/>
        <v>0</v>
      </c>
    </row>
    <row r="25" spans="1:17" s="3" customFormat="1" ht="12.75" x14ac:dyDescent="0.2">
      <c r="A25" s="5" t="s">
        <v>12</v>
      </c>
      <c r="B25" s="2">
        <f>SUMIF('Treinamentos Fechados'!A5:A51,"Tecnolat",'Treinamentos Fechados'!F5:F51)</f>
        <v>0</v>
      </c>
      <c r="C25" s="4">
        <f>SUMIF('Treinamentos Fechados'!A5:A51,"Tecnolat",'Treinamentos Fechados'!E5:E51)</f>
        <v>0</v>
      </c>
      <c r="D25" s="39">
        <f>IFERROR(SUMIFS('Treinamentos Fechados'!E5:E51,'Treinamentos Fechados'!D5:D51,"Janeiro",'Treinamentos Fechados'!A5:A51,"Tecnolat"),"-")</f>
        <v>0</v>
      </c>
      <c r="E25" s="40">
        <f>IFERROR(SUMIFS('Treinamentos Fechados'!E5:E51,'Treinamentos Fechados'!D5:D51,"Fevereiro",'Treinamentos Fechados'!A5:A51,"Tecnolat"),"-")</f>
        <v>0</v>
      </c>
      <c r="F25" s="40">
        <f>IFERROR(SUMIFS('Treinamentos Fechados'!E5:E51,'Treinamentos Fechados'!D5:D51,"Março",'Treinamentos Fechados'!A5:A51,"Tecnolat"),"-")</f>
        <v>0</v>
      </c>
      <c r="G25" s="40">
        <f>IFERROR(SUMIFS('Treinamentos Fechados'!E5:E51,'Treinamentos Fechados'!D5:D51,"Abril",'Treinamentos Fechados'!A5:A51,"Tecnolat"),"-")</f>
        <v>0</v>
      </c>
      <c r="H25" s="40">
        <f>IFERROR(SUMIFS('Treinamentos Fechados'!E5:E51,'Treinamentos Fechados'!D5:D51,"Maio",'Treinamentos Fechados'!A5:A51,"Tecnolat"),"-")</f>
        <v>0</v>
      </c>
      <c r="I25" s="40">
        <f>IFERROR(SUMIFS('Treinamentos Fechados'!E5:E51,'Treinamentos Fechados'!D5:D51,"Junho",'Treinamentos Fechados'!A5:A51,"Tecnolat"),"-")</f>
        <v>0</v>
      </c>
      <c r="J25" s="40">
        <f>IFERROR(SUMIFS('Treinamentos Fechados'!E5:E51,'Treinamentos Fechados'!D5:D51,"Julho",'Treinamentos Fechados'!A5:A51,"Tecnolat"),"-")</f>
        <v>0</v>
      </c>
      <c r="K25" s="40">
        <f>IFERROR(SUMIFS('Treinamentos Fechados'!E5:E51,'Treinamentos Fechados'!D5:D51,"Agosto",'Treinamentos Fechados'!A5:A51,"Tecnolat"),"-")</f>
        <v>0</v>
      </c>
      <c r="L25" s="40">
        <f>IFERROR(SUMIFS('Treinamentos Fechados'!E5:E51,'Treinamentos Fechados'!D5:D51,"Setembro",'Treinamentos Fechados'!A5:A51,"Tecnolat"),"-")</f>
        <v>0</v>
      </c>
      <c r="M25" s="40">
        <f>IFERROR(SUMIFS('Treinamentos Fechados'!E5:E51,'Treinamentos Fechados'!D5:D51,"Outubro",'Treinamentos Fechados'!A5:A51,"Tecnolat"),"-")</f>
        <v>0</v>
      </c>
      <c r="N25" s="40">
        <f>IFERROR(SUMIFS('Treinamentos Fechados'!E5:E51,'Treinamentos Fechados'!D5:D51,"Novembro",'Treinamentos Fechados'!A5:A51,"Tecnolat"),"-")</f>
        <v>0</v>
      </c>
      <c r="O25" s="40">
        <f>IFERROR(SUMIFS('Treinamentos Fechados'!E5:E51,'Treinamentos Fechados'!D5:D51,"Dezembro",'Treinamentos Fechados'!A5:A51,"Tecnolat"),"-")</f>
        <v>0</v>
      </c>
      <c r="P25" s="39">
        <f t="shared" si="2"/>
        <v>0</v>
      </c>
    </row>
    <row r="26" spans="1:17" s="3" customFormat="1" ht="12.75" x14ac:dyDescent="0.2">
      <c r="A26" s="10" t="s">
        <v>15</v>
      </c>
      <c r="B26" s="12">
        <f>SUM(B19:B25)</f>
        <v>0</v>
      </c>
      <c r="C26" s="12">
        <f>SUM(C19:C25)</f>
        <v>0</v>
      </c>
      <c r="D26" s="43">
        <f>SUM(D19:D25)</f>
        <v>0</v>
      </c>
      <c r="E26" s="43">
        <f t="shared" ref="E26:O26" si="3">SUM(E19:E25)</f>
        <v>0</v>
      </c>
      <c r="F26" s="43">
        <f t="shared" si="3"/>
        <v>0</v>
      </c>
      <c r="G26" s="43">
        <f t="shared" si="3"/>
        <v>0</v>
      </c>
      <c r="H26" s="43">
        <f t="shared" si="3"/>
        <v>0</v>
      </c>
      <c r="I26" s="43">
        <f t="shared" si="3"/>
        <v>0</v>
      </c>
      <c r="J26" s="43">
        <f t="shared" si="3"/>
        <v>0</v>
      </c>
      <c r="K26" s="43">
        <f t="shared" si="3"/>
        <v>0</v>
      </c>
      <c r="L26" s="43">
        <f t="shared" si="3"/>
        <v>0</v>
      </c>
      <c r="M26" s="43">
        <f t="shared" si="3"/>
        <v>0</v>
      </c>
      <c r="N26" s="43">
        <f t="shared" si="3"/>
        <v>0</v>
      </c>
      <c r="O26" s="43">
        <f t="shared" si="3"/>
        <v>0</v>
      </c>
      <c r="P26" s="44">
        <f>SUM(D26:O26)</f>
        <v>0</v>
      </c>
    </row>
    <row r="27" spans="1:17" x14ac:dyDescent="0.25">
      <c r="A27" s="3"/>
      <c r="B27" s="3"/>
      <c r="C27" s="3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3"/>
    </row>
    <row r="28" spans="1:17" x14ac:dyDescent="0.25">
      <c r="A28" s="77" t="s">
        <v>54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</row>
  </sheetData>
  <sheetProtection algorithmName="SHA-512" hashValue="YAxuDoyTOBJijZD+sPMj1n0CLDx51qGAroFUKWhFJE1DpcFCaK08ZVUN6GXNlQZheJU7PEwm0xBsQI4buK4mIQ==" saltValue="P33Vu/931H5yoq0BbgofRQ==" spinCount="100000" sheet="1" objects="1" scenarios="1"/>
  <mergeCells count="5">
    <mergeCell ref="A1:P1"/>
    <mergeCell ref="A2:P2"/>
    <mergeCell ref="A4:P4"/>
    <mergeCell ref="A16:P16"/>
    <mergeCell ref="A28:P28"/>
  </mergeCells>
  <pageMargins left="0.51181102362204722" right="0.51181102362204722" top="0.78740157480314965" bottom="0.78740157480314965" header="0.31496062992125984" footer="0.31496062992125984"/>
  <pageSetup paperSize="9" scale="57" orientation="landscape" verticalDpi="300" r:id="rId1"/>
  <headerFooter>
    <oddFooter>&amp;L&amp;"Arial,Normal"&amp;10FQ-08.39 (anexo à IT-08.01.04) - RA -  revisão 00 de 02/08/21 - Página 4/5</oddFooter>
  </headerFooter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view="pageBreakPreview" zoomScale="120" zoomScaleNormal="80" zoomScaleSheetLayoutView="120" workbookViewId="0">
      <selection activeCell="A2" sqref="A2:O2"/>
    </sheetView>
  </sheetViews>
  <sheetFormatPr defaultRowHeight="15" x14ac:dyDescent="0.25"/>
  <cols>
    <col min="1" max="1" width="24.7109375" style="17" bestFit="1" customWidth="1"/>
    <col min="2" max="2" width="22" style="17" bestFit="1" customWidth="1"/>
    <col min="3" max="14" width="13.140625" style="26" customWidth="1"/>
    <col min="15" max="15" width="9.140625" style="26"/>
  </cols>
  <sheetData>
    <row r="1" spans="1:16" ht="25.5" customHeight="1" thickBot="1" x14ac:dyDescent="0.3">
      <c r="A1" s="70" t="s">
        <v>42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</row>
    <row r="2" spans="1:16" ht="19.5" x14ac:dyDescent="0.3">
      <c r="A2" s="75" t="str">
        <f>Eventos!F2</f>
        <v>ANO: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6" ht="15.75" thickBot="1" x14ac:dyDescent="0.3">
      <c r="A3" s="3"/>
      <c r="B3" s="3"/>
    </row>
    <row r="4" spans="1:16" ht="15.75" thickBot="1" x14ac:dyDescent="0.3">
      <c r="A4" s="67" t="s">
        <v>43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9"/>
    </row>
    <row r="5" spans="1:16" x14ac:dyDescent="0.25">
      <c r="A5" s="3"/>
      <c r="B5" s="3"/>
    </row>
    <row r="6" spans="1:16" ht="25.5" x14ac:dyDescent="0.25">
      <c r="A6" s="6" t="s">
        <v>0</v>
      </c>
      <c r="B6" s="7" t="s">
        <v>19</v>
      </c>
      <c r="C6" s="7" t="s">
        <v>31</v>
      </c>
      <c r="D6" s="7" t="s">
        <v>32</v>
      </c>
      <c r="E6" s="7" t="s">
        <v>33</v>
      </c>
      <c r="F6" s="7" t="s">
        <v>36</v>
      </c>
      <c r="G6" s="7" t="s">
        <v>37</v>
      </c>
      <c r="H6" s="7" t="s">
        <v>24</v>
      </c>
      <c r="I6" s="7" t="s">
        <v>25</v>
      </c>
      <c r="J6" s="7" t="s">
        <v>23</v>
      </c>
      <c r="K6" s="7" t="s">
        <v>30</v>
      </c>
      <c r="L6" s="7" t="s">
        <v>26</v>
      </c>
      <c r="M6" s="7" t="s">
        <v>22</v>
      </c>
      <c r="N6" s="7" t="s">
        <v>29</v>
      </c>
      <c r="O6" s="7" t="s">
        <v>38</v>
      </c>
      <c r="P6" s="3"/>
    </row>
    <row r="7" spans="1:16" x14ac:dyDescent="0.25">
      <c r="A7" s="5" t="s">
        <v>16</v>
      </c>
      <c r="B7" s="2">
        <f>SUMIF(Eventos!A5:A51,"C.Chocotec",Eventos!F5:F51)</f>
        <v>0</v>
      </c>
      <c r="C7" s="39">
        <f>IFERROR((SUMIFS(Eventos!F5:F51,Eventos!D5:D51,"Janeiro",Eventos!A5:A51,"C.Chocotec")),"-")</f>
        <v>0</v>
      </c>
      <c r="D7" s="39">
        <f>IFERROR((SUMIFS(Eventos!F5:F51,Eventos!D5:D51,"Fevereiro",Eventos!A5:A51,"C.Chocotec")),"-")</f>
        <v>0</v>
      </c>
      <c r="E7" s="39">
        <f>IFERROR((SUMIFS(Eventos!F5:F51,Eventos!D5:D51,"Março",Eventos!A5:A51,"C.Chocotec")),"-")</f>
        <v>0</v>
      </c>
      <c r="F7" s="39">
        <f>IFERROR((SUMIFS(Eventos!F5:F51,Eventos!D5:D51,"Abril",Eventos!A5:A51,"C.Chocotec")),"-")</f>
        <v>0</v>
      </c>
      <c r="G7" s="39">
        <f>IFERROR((SUMIFS(Eventos!F5:F51,Eventos!D5:D51,"Maio",Eventos!A5:A51,"C.Chocotec")),"-")</f>
        <v>0</v>
      </c>
      <c r="H7" s="39">
        <f>IFERROR((SUMIFS(Eventos!F5:F51,Eventos!D5:D51,"Junho",Eventos!A5:A51,"C.Chocotec")),"-")</f>
        <v>0</v>
      </c>
      <c r="I7" s="39">
        <f>IFERROR((SUMIFS(Eventos!F5:F51,Eventos!D5:D51,"Julho",Eventos!A5:A51,"C.Chocotec")),"-")</f>
        <v>0</v>
      </c>
      <c r="J7" s="39">
        <f>IFERROR((SUMIFS(Eventos!F5:F51,Eventos!D5:D51,"Agosto",Eventos!A5:A51,"C.Chocotec")),"-")</f>
        <v>0</v>
      </c>
      <c r="K7" s="39">
        <f>IFERROR((SUMIFS(Eventos!F5:F51,Eventos!D5:D51,"Setembro",Eventos!A5:A51,"C.Chocotec")),"-")</f>
        <v>0</v>
      </c>
      <c r="L7" s="39">
        <f>IFERROR((SUMIFS(Eventos!F5:F51,Eventos!D5:D51,"Outubro",Eventos!A5:A51,"C.Chocotec")),"-")</f>
        <v>0</v>
      </c>
      <c r="M7" s="39">
        <f>IFERROR((SUMIFS(Eventos!F5:F51,Eventos!D5:D51,"Novembro",Eventos!A5:A51,"C.Chocotec")),"-")</f>
        <v>0</v>
      </c>
      <c r="N7" s="39">
        <f>IFERROR((SUMIFS(Eventos!F5:F51,Eventos!D5:D51,"Dezembro",Eventos!A5:A51,"C.Chocotec")),"-")</f>
        <v>0</v>
      </c>
      <c r="O7" s="39">
        <f>SUM(C7:N7)</f>
        <v>0</v>
      </c>
      <c r="P7" s="3"/>
    </row>
    <row r="8" spans="1:16" x14ac:dyDescent="0.25">
      <c r="A8" s="5" t="s">
        <v>10</v>
      </c>
      <c r="B8" s="2">
        <f>SUMIF(Eventos!A5:A51,"CCQA",Eventos!F5:F51)</f>
        <v>0</v>
      </c>
      <c r="C8" s="39">
        <f>IFERROR((SUMIFS(Eventos!F5:F51,Eventos!D5:D51,"Janeiro",Eventos!A5:A51,"CCQA")),"-")</f>
        <v>0</v>
      </c>
      <c r="D8" s="39">
        <f>IFERROR((SUMIFS(Eventos!F5:F51,Eventos!D5:D51,"Fevereiro",Eventos!A5:A51,"CCQA")),"-")</f>
        <v>0</v>
      </c>
      <c r="E8" s="39">
        <f>IFERROR((SUMIFS(Eventos!F5:F51,Eventos!D5:D51,"Março",Eventos!A5:A51,"CCQA")),"-")</f>
        <v>0</v>
      </c>
      <c r="F8" s="40">
        <f>IFERROR((SUMIFS(Eventos!F5:F51,Eventos!D5:D51,"Abril",Eventos!A5:A51,"CCQA")),"-")</f>
        <v>0</v>
      </c>
      <c r="G8" s="40">
        <f>IFERROR((SUMIFS(Eventos!F5:F51,Eventos!D5:D51,"Maio",Eventos!A5:A51,"CCQA")),"-")</f>
        <v>0</v>
      </c>
      <c r="H8" s="40">
        <f>IFERROR((SUMIFS(Eventos!F5:F51,Eventos!D5:D51,"Junho",Eventos!A5:A51,"CCQA")),"-")</f>
        <v>0</v>
      </c>
      <c r="I8" s="40">
        <f>IFERROR((SUMIFS(Eventos!F5:F51,Eventos!D5:D51,"Julho",Eventos!A5:A51,"CCQA")),"-")</f>
        <v>0</v>
      </c>
      <c r="J8" s="40">
        <f>IFERROR((SUMIFS(Eventos!F5:F51,Eventos!D5:D51,"Agosto",Eventos!A5:A51,"CCQA")),"-")</f>
        <v>0</v>
      </c>
      <c r="K8" s="40">
        <f>IFERROR((SUMIFS(Eventos!F5:F51,Eventos!D5:D51,"Setembro",Eventos!A5:A51,"CCQA")),"-")</f>
        <v>0</v>
      </c>
      <c r="L8" s="40">
        <f>IFERROR((SUMIFS(Eventos!F5:F51,Eventos!D5:D51,"Outubro",Eventos!A5:A51,"CCQA")),"-")</f>
        <v>0</v>
      </c>
      <c r="M8" s="40">
        <f>IFERROR((SUMIFS(Eventos!F5:F51,Eventos!D5:D51,"Novembro",Eventos!A5:A51,"CCQA")),"-")</f>
        <v>0</v>
      </c>
      <c r="N8" s="40">
        <f>IFERROR((SUMIFS(Eventos!F5:F51,Eventos!D5:D51,"Dezembro",Eventos!A5:A51,"CCQA")),"-")</f>
        <v>0</v>
      </c>
      <c r="O8" s="39">
        <f t="shared" ref="O8:O14" si="0">SUM(C8:N8)</f>
        <v>0</v>
      </c>
      <c r="P8" s="3"/>
    </row>
    <row r="9" spans="1:16" x14ac:dyDescent="0.25">
      <c r="A9" s="5" t="s">
        <v>11</v>
      </c>
      <c r="B9" s="2">
        <f>SUMIF(Eventos!A5:A51,"Cetea",Eventos!F5:F51)</f>
        <v>0</v>
      </c>
      <c r="C9" s="39">
        <f>IFERROR((SUMIFS(Eventos!F5:F51,Eventos!D5:D51,"Janeiro",Eventos!A5:A51,"Cetea")),"-")</f>
        <v>0</v>
      </c>
      <c r="D9" s="39">
        <f>IFERROR((SUMIFS(Eventos!F5:F51,Eventos!D5:D51,"Fevereiro",Eventos!A5:A51,"Cetea")),"-")</f>
        <v>0</v>
      </c>
      <c r="E9" s="39">
        <f>IFERROR((SUMIFS(Eventos!F5:F51,Eventos!D5:D51,"Março",Eventos!A5:A51,"Cetea")),"-")</f>
        <v>0</v>
      </c>
      <c r="F9" s="40">
        <f>IFERROR((SUMIFS(Eventos!F5:F51,Eventos!D5:D51,"Abril",Eventos!A5:A51,"Cetea")),"-")</f>
        <v>0</v>
      </c>
      <c r="G9" s="40">
        <f>IFERROR((SUMIFS(Eventos!F5:F51,Eventos!D5:D51,"Maio",Eventos!A5:A51,"Cetea")),"-")</f>
        <v>0</v>
      </c>
      <c r="H9" s="40">
        <f>IFERROR((SUMIFS(Eventos!F5:F51,Eventos!D5:D51,"Junho",Eventos!A5:A51,"Cetea")),"-")</f>
        <v>0</v>
      </c>
      <c r="I9" s="40">
        <f>IFERROR((SUMIFS(Eventos!F5:F51,Eventos!D5:D51,"Julho",Eventos!A5:A51,"Cetea")),"-")</f>
        <v>0</v>
      </c>
      <c r="J9" s="40">
        <f>IFERROR((SUMIFS(Eventos!F5:F51,Eventos!D5:D51,"Agosto",Eventos!A5:A51,"Cetea")),"-")</f>
        <v>0</v>
      </c>
      <c r="K9" s="40">
        <f>IFERROR((SUMIFS(Eventos!F5:F51,Eventos!D5:D51,"Setembro",Eventos!A5:A51,"Cetea")),"-")</f>
        <v>0</v>
      </c>
      <c r="L9" s="40">
        <f>IFERROR((SUMIFS(Eventos!F5:F51,Eventos!D5:D51,"Outubro",Eventos!A5:A51,"Cetea")),"-")</f>
        <v>0</v>
      </c>
      <c r="M9" s="40">
        <f>IFERROR((SUMIFS(Eventos!F5:F51,Eventos!D5:D51,"Novembro",Eventos!A5:A51,"Cetea")),"-")</f>
        <v>0</v>
      </c>
      <c r="N9" s="40">
        <f>IFERROR((SUMIFS(Eventos!F5:F51,Eventos!D5:D51,"Dezembro",Eventos!A5:A51,"Cetea")),"-")</f>
        <v>0</v>
      </c>
      <c r="O9" s="39">
        <f t="shared" si="0"/>
        <v>0</v>
      </c>
      <c r="P9" s="3"/>
    </row>
    <row r="10" spans="1:16" x14ac:dyDescent="0.25">
      <c r="A10" s="5" t="s">
        <v>13</v>
      </c>
      <c r="B10" s="2">
        <f>SUMIF(Eventos!A5:A51,"CTC",Eventos!F5:F51)</f>
        <v>0</v>
      </c>
      <c r="C10" s="39">
        <f>IFERROR((SUMIFS(Eventos!F5:F51,Eventos!D5:D51,"Janeiro",Eventos!A5:A51,"CTC")),"-")</f>
        <v>0</v>
      </c>
      <c r="D10" s="39">
        <f>IFERROR((SUMIFS(Eventos!F5:F51,Eventos!D5:D51,"Fevereiro",Eventos!A5:A51,"CTC")),"-")</f>
        <v>0</v>
      </c>
      <c r="E10" s="39">
        <f>IFERROR((SUMIFS(Eventos!F5:F51,Eventos!D5:D51,"Março",Eventos!A5:A51,"CTC")),"-")</f>
        <v>0</v>
      </c>
      <c r="F10" s="40">
        <f>IFERROR((SUMIFS(Eventos!F5:F51,Eventos!D5:D51,"Abril",Eventos!A5:A51,"CTC")),"-")</f>
        <v>0</v>
      </c>
      <c r="G10" s="40">
        <f>IFERROR((SUMIFS(Eventos!F5:F51,Eventos!D5:D51,"Maio",Eventos!A5:A51,"CTC")),"-")</f>
        <v>0</v>
      </c>
      <c r="H10" s="40">
        <f>IFERROR((SUMIFS(Eventos!F5:F51,Eventos!D5:D51,"Junho",Eventos!A5:A51,"CTC")),"-")</f>
        <v>0</v>
      </c>
      <c r="I10" s="40">
        <f>IFERROR((SUMIFS(Eventos!F5:F51,Eventos!D5:D51,"Julho",Eventos!A5:A51,"CTC")),"-")</f>
        <v>0</v>
      </c>
      <c r="J10" s="40">
        <f>IFERROR((SUMIFS(Eventos!F5:F51,Eventos!D5:D51,"Agosto",Eventos!A5:A51,"CTC")),"-")</f>
        <v>0</v>
      </c>
      <c r="K10" s="40">
        <f>IFERROR((SUMIFS(Eventos!F5:F51,Eventos!D5:D51,"Setembro",Eventos!A5:A51,"CTC")),"-")</f>
        <v>0</v>
      </c>
      <c r="L10" s="40">
        <f>IFERROR((SUMIFS(Eventos!F5:F51,Eventos!D5:D51,"Outubro",Eventos!A5:A51,"CTC")),"-")</f>
        <v>0</v>
      </c>
      <c r="M10" s="40">
        <f>IFERROR((SUMIFS(Eventos!F5:F51,Eventos!D5:D51,"Novembro",Eventos!A5:A51,"CTC")),"-")</f>
        <v>0</v>
      </c>
      <c r="N10" s="40">
        <f>IFERROR((SUMIFS(Eventos!F5:F51,Eventos!D5:D51,"Dezembro",Eventos!A5:A51,"CTC")),"-")</f>
        <v>0</v>
      </c>
      <c r="O10" s="39">
        <f t="shared" si="0"/>
        <v>0</v>
      </c>
      <c r="P10" s="3"/>
    </row>
    <row r="11" spans="1:16" x14ac:dyDescent="0.25">
      <c r="A11" s="5" t="s">
        <v>9</v>
      </c>
      <c r="B11" s="2">
        <f>SUMIF(Eventos!A5:A51,"DG",Eventos!F5:F51)</f>
        <v>0</v>
      </c>
      <c r="C11" s="39">
        <f>IFERROR((SUMIFS(Eventos!F5:F51,Eventos!D5:D51,"Janeiro",Eventos!A5:A51,"DG")),"-")</f>
        <v>0</v>
      </c>
      <c r="D11" s="39">
        <f>IFERROR((SUMIFS(Eventos!F5:F51,Eventos!D5:D51,"Fevereiro",Eventos!A5:A51,"DG")),"-")</f>
        <v>0</v>
      </c>
      <c r="E11" s="39">
        <f>IFERROR((SUMIFS(Eventos!F5:F51,Eventos!D5:D51,"Março",Eventos!A5:A51,"DG")),"-")</f>
        <v>0</v>
      </c>
      <c r="F11" s="40">
        <f>IFERROR((SUMIFS(Eventos!F5:F51,Eventos!D5:D51,"Abril",Eventos!A5:A51,"DG")),"-")</f>
        <v>0</v>
      </c>
      <c r="G11" s="40">
        <f>IFERROR((SUMIFS(Eventos!F5:F51,Eventos!D5:D51,"Maio",Eventos!A5:A51,"DG")),"-")</f>
        <v>0</v>
      </c>
      <c r="H11" s="40">
        <f>IFERROR((SUMIFS(Eventos!F5:F51,Eventos!D5:D51,"Junho",Eventos!A5:A51,"DG")),"-")</f>
        <v>0</v>
      </c>
      <c r="I11" s="40">
        <f>IFERROR((SUMIFS(Eventos!F5:F51,Eventos!D5:D51,"Julho",Eventos!A5:A51,"DG")),"-")</f>
        <v>0</v>
      </c>
      <c r="J11" s="40">
        <f>IFERROR((SUMIFS(Eventos!F5:F51,Eventos!D5:D51,"Agosto",Eventos!A5:A51,"DG")),"-")</f>
        <v>0</v>
      </c>
      <c r="K11" s="40">
        <f>IFERROR((SUMIFS(Eventos!F5:F51,Eventos!D5:D51,"Setembro",Eventos!A5:A51,"DG")),"-")</f>
        <v>0</v>
      </c>
      <c r="L11" s="40">
        <f>IFERROR((SUMIFS(Eventos!F5:F51,Eventos!D5:D51,"Outubro",Eventos!A5:A51,"DG")),"-")</f>
        <v>0</v>
      </c>
      <c r="M11" s="40">
        <f>IFERROR((SUMIFS(Eventos!F5:F51,Eventos!D5:D51,"Novembro",Eventos!A5:A51,"DG")),"-")</f>
        <v>0</v>
      </c>
      <c r="N11" s="40">
        <f>IFERROR((SUMIFS(Eventos!F5:F51,Eventos!D5:D51,"Dezembro",Eventos!A5:A51,"DG")),"-")</f>
        <v>0</v>
      </c>
      <c r="O11" s="39">
        <f t="shared" si="0"/>
        <v>0</v>
      </c>
      <c r="P11" s="3"/>
    </row>
    <row r="12" spans="1:16" x14ac:dyDescent="0.25">
      <c r="A12" s="5" t="s">
        <v>14</v>
      </c>
      <c r="B12" s="2">
        <f>SUMIF(Eventos!A5:A51,"Fruthotec",Eventos!F5:F51)</f>
        <v>0</v>
      </c>
      <c r="C12" s="39">
        <f>IFERROR((SUMIFS(Eventos!F5:F51,Eventos!D5:D51,"Janeiro",Eventos!A5:A51,"Fruthotec")),"-")</f>
        <v>0</v>
      </c>
      <c r="D12" s="39">
        <f>IFERROR((SUMIFS(Eventos!F5:F51,Eventos!D5:D51,"Fevereiro",Eventos!A5:A51,"Fruthotec")),"-")</f>
        <v>0</v>
      </c>
      <c r="E12" s="39">
        <f>IFERROR((SUMIFS(Eventos!F5:F51,Eventos!D5:D51,"Março",Eventos!A5:A51,"Fruthotec")),"-")</f>
        <v>0</v>
      </c>
      <c r="F12" s="40">
        <f>IFERROR((SUMIFS(Eventos!F5:F51,Eventos!D5:D51,"Abril",Eventos!A5:A51,"Fruthotec")),"-")</f>
        <v>0</v>
      </c>
      <c r="G12" s="40">
        <f>IFERROR((SUMIFS(Eventos!F5:F51,Eventos!D5:D51,"Maio",Eventos!A5:A51,"Fruthotec")),"-")</f>
        <v>0</v>
      </c>
      <c r="H12" s="40">
        <f>IFERROR((SUMIFS(Eventos!F5:F51,Eventos!D5:D51,"Junho",Eventos!A5:A51,"Fruthotec")),"-")</f>
        <v>0</v>
      </c>
      <c r="I12" s="40">
        <f>IFERROR((SUMIFS(Eventos!F5:F51,Eventos!D5:D51,"Julho",Eventos!A5:A51,"Fruthotec")),"-")</f>
        <v>0</v>
      </c>
      <c r="J12" s="40">
        <f>IFERROR((SUMIFS(Eventos!F5:F51,Eventos!D5:D51,"Agosto",Eventos!A5:A51,"Fruthotec")),"-")</f>
        <v>0</v>
      </c>
      <c r="K12" s="40">
        <f>IFERROR((SUMIFS(Eventos!F5:F51,Eventos!D5:D51,"Setembro",Eventos!A5:A51,"Fruthotec")),"-")</f>
        <v>0</v>
      </c>
      <c r="L12" s="40">
        <f>IFERROR((SUMIFS(Eventos!F5:F51,Eventos!D5:D51,"Outubro",Eventos!A5:A51,"Fruthotec")),"-")</f>
        <v>0</v>
      </c>
      <c r="M12" s="40">
        <f>IFERROR((SUMIFS(Eventos!F5:F51,Eventos!D5:D51,"Novembro",Eventos!A5:A51,"Fruthotec")),"-")</f>
        <v>0</v>
      </c>
      <c r="N12" s="40">
        <f>IFERROR((SUMIFS(Eventos!F5:F51,Eventos!D5:D51,"Dezembro",Eventos!A5:A51,"Fruthotec")),"-")</f>
        <v>0</v>
      </c>
      <c r="O12" s="39">
        <f t="shared" si="0"/>
        <v>0</v>
      </c>
      <c r="P12" s="3"/>
    </row>
    <row r="13" spans="1:16" x14ac:dyDescent="0.25">
      <c r="A13" s="5" t="s">
        <v>12</v>
      </c>
      <c r="B13" s="2">
        <f>SUMIF(Eventos!A5:A51,"Tecnolat",Eventos!F5:F51)</f>
        <v>0</v>
      </c>
      <c r="C13" s="39">
        <f>IFERROR((SUMIFS(Eventos!F5:F51,Eventos!D5:D51,"Janeiro",Eventos!A5:A51,"Tecnolat")),"-")</f>
        <v>0</v>
      </c>
      <c r="D13" s="39">
        <f>IFERROR((SUMIFS(Eventos!F5:F51,Eventos!D5:D51,"Fevereiro",Eventos!A5:A51,"Tecnolat")),"-")</f>
        <v>0</v>
      </c>
      <c r="E13" s="39">
        <f>IFERROR((SUMIFS(Eventos!F5:F51,Eventos!D5:D51,"Março",Eventos!A5:A51,"Tecnolat")),"-")</f>
        <v>0</v>
      </c>
      <c r="F13" s="40">
        <f>IFERROR((SUMIFS(Eventos!F5:F51,Eventos!D5:D51,"Abril",Eventos!A5:A51,"Tecnolat")),"-")</f>
        <v>0</v>
      </c>
      <c r="G13" s="40">
        <f>IFERROR((SUMIFS(Eventos!F5:F51,Eventos!D5:D51,"Maio",Eventos!A5:A51,"Tecnolat")),"-")</f>
        <v>0</v>
      </c>
      <c r="H13" s="40">
        <f>IFERROR((SUMIFS(Eventos!F5:F51,Eventos!D5:D51,"Junho",Eventos!A5:A51,"Tecnolat")),"-")</f>
        <v>0</v>
      </c>
      <c r="I13" s="40">
        <f>IFERROR((SUMIFS(Eventos!F5:F51,Eventos!D5:D51,"Julho",Eventos!A5:A51,"Tecnolat")),"-")</f>
        <v>0</v>
      </c>
      <c r="J13" s="40">
        <f>IFERROR((SUMIFS(Eventos!F5:F51,Eventos!D5:D51,"Agosto",Eventos!A5:A51,"Tecnolat")),"-")</f>
        <v>0</v>
      </c>
      <c r="K13" s="40">
        <f>IFERROR((SUMIFS(Eventos!F5:F51,Eventos!D5:D51,"Setembro",Eventos!A5:A51,"Tecnolat")),"-")</f>
        <v>0</v>
      </c>
      <c r="L13" s="40">
        <f>IFERROR((SUMIFS(Eventos!F5:F51,Eventos!D5:D51,"Outubro",Eventos!A5:A51,"Tecnolat")),"-")</f>
        <v>0</v>
      </c>
      <c r="M13" s="40">
        <f>IFERROR((SUMIFS(Eventos!F5:F51,Eventos!D5:D51,"Novembro",Eventos!A5:A51,"Tecnolat")),"-")</f>
        <v>0</v>
      </c>
      <c r="N13" s="40">
        <f>IFERROR((SUMIFS(Eventos!F5:F51,Eventos!D5:D51,"Dezembro",Eventos!A5:A51,"Tecnolat")),"-")</f>
        <v>0</v>
      </c>
      <c r="O13" s="39">
        <f t="shared" si="0"/>
        <v>0</v>
      </c>
      <c r="P13" s="3"/>
    </row>
    <row r="14" spans="1:16" s="9" customFormat="1" ht="27" customHeight="1" x14ac:dyDescent="0.2">
      <c r="A14" s="6" t="s">
        <v>15</v>
      </c>
      <c r="B14" s="8">
        <f>SUM(B7:B13)</f>
        <v>0</v>
      </c>
      <c r="C14" s="41">
        <f>SUM(C7:C13)</f>
        <v>0</v>
      </c>
      <c r="D14" s="41">
        <f t="shared" ref="D14:N14" si="1">SUM(D7:D13)</f>
        <v>0</v>
      </c>
      <c r="E14" s="41">
        <f t="shared" si="1"/>
        <v>0</v>
      </c>
      <c r="F14" s="41">
        <f t="shared" si="1"/>
        <v>0</v>
      </c>
      <c r="G14" s="41">
        <f t="shared" si="1"/>
        <v>0</v>
      </c>
      <c r="H14" s="41">
        <f t="shared" si="1"/>
        <v>0</v>
      </c>
      <c r="I14" s="41">
        <f t="shared" si="1"/>
        <v>0</v>
      </c>
      <c r="J14" s="41">
        <f t="shared" si="1"/>
        <v>0</v>
      </c>
      <c r="K14" s="41">
        <f t="shared" si="1"/>
        <v>0</v>
      </c>
      <c r="L14" s="41">
        <f t="shared" si="1"/>
        <v>0</v>
      </c>
      <c r="M14" s="41">
        <f t="shared" si="1"/>
        <v>0</v>
      </c>
      <c r="N14" s="41">
        <f t="shared" si="1"/>
        <v>0</v>
      </c>
      <c r="O14" s="42">
        <f t="shared" si="0"/>
        <v>0</v>
      </c>
      <c r="P14" s="38"/>
    </row>
    <row r="15" spans="1:16" ht="15.75" thickBot="1" x14ac:dyDescent="0.3">
      <c r="A15" s="3"/>
      <c r="B15" s="3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3"/>
    </row>
    <row r="16" spans="1:16" ht="15.75" thickBot="1" x14ac:dyDescent="0.3">
      <c r="A16" s="67" t="s">
        <v>44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9"/>
      <c r="P16" s="3"/>
    </row>
    <row r="17" spans="1:16" x14ac:dyDescent="0.25">
      <c r="A17" s="3"/>
      <c r="B17" s="3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3"/>
    </row>
    <row r="18" spans="1:16" ht="25.5" x14ac:dyDescent="0.25">
      <c r="A18" s="10" t="s">
        <v>0</v>
      </c>
      <c r="B18" s="11" t="s">
        <v>19</v>
      </c>
      <c r="C18" s="11" t="s">
        <v>31</v>
      </c>
      <c r="D18" s="11" t="s">
        <v>32</v>
      </c>
      <c r="E18" s="11" t="s">
        <v>33</v>
      </c>
      <c r="F18" s="11" t="s">
        <v>36</v>
      </c>
      <c r="G18" s="11" t="s">
        <v>37</v>
      </c>
      <c r="H18" s="11" t="s">
        <v>24</v>
      </c>
      <c r="I18" s="11" t="s">
        <v>25</v>
      </c>
      <c r="J18" s="11" t="s">
        <v>23</v>
      </c>
      <c r="K18" s="11" t="s">
        <v>30</v>
      </c>
      <c r="L18" s="11" t="s">
        <v>26</v>
      </c>
      <c r="M18" s="11" t="s">
        <v>22</v>
      </c>
      <c r="N18" s="11" t="s">
        <v>29</v>
      </c>
      <c r="O18" s="11" t="s">
        <v>38</v>
      </c>
      <c r="P18" s="3"/>
    </row>
    <row r="19" spans="1:16" s="3" customFormat="1" ht="12.75" x14ac:dyDescent="0.2">
      <c r="A19" s="5" t="s">
        <v>16</v>
      </c>
      <c r="B19" s="2">
        <f>SUMIF('Treinamentos Fechados'!A5:A51,"C.Chocotec",'Treinamentos Fechados'!F5:F51)</f>
        <v>0</v>
      </c>
      <c r="C19" s="39">
        <f>IFERROR(SUMIFS('Treinamentos Fechados'!F5:F51,'Treinamentos Fechados'!D5:D51,"Janeiro",'Treinamentos Fechados'!A5:A51,"C.Chocotec"),"-")</f>
        <v>0</v>
      </c>
      <c r="D19" s="39">
        <f>IFERROR(SUMIFS('Treinamentos Fechados'!F5:F51,'Treinamentos Fechados'!D5:D51,"Fevereiro",'Treinamentos Fechados'!A5:A51,"C.Chocotec"),"-")</f>
        <v>0</v>
      </c>
      <c r="E19" s="39">
        <f>IFERROR(SUMIFS('Treinamentos Fechados'!F5:F51,'Treinamentos Fechados'!D5:D51,"Março",'Treinamentos Fechados'!A5:A51,"C.Chocotec"),"-")</f>
        <v>0</v>
      </c>
      <c r="F19" s="39">
        <f>IFERROR(SUMIFS('Treinamentos Fechados'!F5:F51,'Treinamentos Fechados'!D5:D51,"Abril",'Treinamentos Fechados'!A5:A51,"C.Chocotec"),"-")</f>
        <v>0</v>
      </c>
      <c r="G19" s="39">
        <f>IFERROR(SUMIFS('Treinamentos Fechados'!F5:F51,'Treinamentos Fechados'!D5:D51,"Maio",'Treinamentos Fechados'!A5:A51,"C.Chocotec"),"-")</f>
        <v>0</v>
      </c>
      <c r="H19" s="39">
        <f>IFERROR(SUMIFS('Treinamentos Fechados'!F5:F51,'Treinamentos Fechados'!D5:D51,"Junho",'Treinamentos Fechados'!A5:A51,"C.Chocotec"),"-")</f>
        <v>0</v>
      </c>
      <c r="I19" s="39">
        <f>IFERROR(SUMIFS('Treinamentos Fechados'!F5:F51,'Treinamentos Fechados'!D5:D51,"Julho",'Treinamentos Fechados'!A5:A51,"C.Chocotec"),"-")</f>
        <v>0</v>
      </c>
      <c r="J19" s="39">
        <f>IFERROR(SUMIFS('Treinamentos Fechados'!F5:F51,'Treinamentos Fechados'!D5:D51,"Agosto",'Treinamentos Fechados'!A5:A51,"C.Chocotec"),"-")</f>
        <v>0</v>
      </c>
      <c r="K19" s="39">
        <f>IFERROR(SUMIFS('Treinamentos Fechados'!F5:F51,'Treinamentos Fechados'!D5:D51,"Setembro",'Treinamentos Fechados'!A5:A51,"C.Chocotec"),"-")</f>
        <v>0</v>
      </c>
      <c r="L19" s="39">
        <f>IFERROR(SUMIFS('Treinamentos Fechados'!F5:F51,'Treinamentos Fechados'!D5:D51,"Outubro",'Treinamentos Fechados'!A5:A51,"C.Chocotec"),"-")</f>
        <v>0</v>
      </c>
      <c r="M19" s="39">
        <f>IFERROR(SUMIFS('Treinamentos Fechados'!F5:F51,'Treinamentos Fechados'!D5:D51,"Novembro",'Treinamentos Fechados'!A5:A51,"C.Chocotec"),"-")</f>
        <v>0</v>
      </c>
      <c r="N19" s="39">
        <f>IFERROR(SUMIFS('Treinamentos Fechados'!F5:F51,'Treinamentos Fechados'!D5:D51,"Dezembro",'Treinamentos Fechados'!A5:A51,"C.Chocotec"),"-")</f>
        <v>0</v>
      </c>
      <c r="O19" s="39">
        <f>SUM(C19:N19)</f>
        <v>0</v>
      </c>
    </row>
    <row r="20" spans="1:16" s="3" customFormat="1" ht="12.75" x14ac:dyDescent="0.2">
      <c r="A20" s="5" t="s">
        <v>10</v>
      </c>
      <c r="B20" s="2">
        <f>SUMIF('Treinamentos Fechados'!A5:A51,"CCQA",'Treinamentos Fechados'!F5:F51)</f>
        <v>0</v>
      </c>
      <c r="C20" s="39">
        <f>IFERROR(SUMIFS('Treinamentos Fechados'!F5:F51,'Treinamentos Fechados'!D5:D51,"Janeiro",'Treinamentos Fechados'!A5:A51,"CCQA"),"-")</f>
        <v>0</v>
      </c>
      <c r="D20" s="40">
        <f>IFERROR(SUMIFS('Treinamentos Fechados'!F5:F51,'Treinamentos Fechados'!D5:D51,"Fevereiro",'Treinamentos Fechados'!A5:A51,"CCQA"),"-")</f>
        <v>0</v>
      </c>
      <c r="E20" s="40">
        <f>IFERROR(SUMIFS('Treinamentos Fechados'!F5:F51,'Treinamentos Fechados'!D5:D51,"Março",'Treinamentos Fechados'!A5:A51,"CCQA"),"-")</f>
        <v>0</v>
      </c>
      <c r="F20" s="40">
        <f>IFERROR(SUMIFS('Treinamentos Fechados'!F5:F51,'Treinamentos Fechados'!D5:D51,"Abril",'Treinamentos Fechados'!A5:A51,"CCQA"),"-")</f>
        <v>0</v>
      </c>
      <c r="G20" s="40">
        <f>IFERROR(SUMIFS('Treinamentos Fechados'!F5:F51,'Treinamentos Fechados'!D5:D51,"Maio",'Treinamentos Fechados'!A5:A51,"CCQA"),"-")</f>
        <v>0</v>
      </c>
      <c r="H20" s="40">
        <f>IFERROR(SUMIFS('Treinamentos Fechados'!F5:F51,'Treinamentos Fechados'!D5:D51,"Junho",'Treinamentos Fechados'!A5:A51,"CCQA"),"-")</f>
        <v>0</v>
      </c>
      <c r="I20" s="40">
        <f>IFERROR(SUMIFS('Treinamentos Fechados'!F5:F51,'Treinamentos Fechados'!D5:D51,"Julho",'Treinamentos Fechados'!A5:A51,"CCQA"),"-")</f>
        <v>0</v>
      </c>
      <c r="J20" s="40">
        <f>IFERROR(SUMIFS('Treinamentos Fechados'!F5:F51,'Treinamentos Fechados'!D5:D51,"Agosto",'Treinamentos Fechados'!A5:A51,"CCQA"),"-")</f>
        <v>0</v>
      </c>
      <c r="K20" s="40">
        <f>IFERROR(SUMIFS('Treinamentos Fechados'!F5:F51,'Treinamentos Fechados'!D5:D51,"Setembro",'Treinamentos Fechados'!A5:A51,"CCQA"),"-")</f>
        <v>0</v>
      </c>
      <c r="L20" s="40">
        <f>IFERROR(SUMIFS('Treinamentos Fechados'!F5:F51,'Treinamentos Fechados'!D5:D51,"Outubro",'Treinamentos Fechados'!A5:A51,"CCQA"),"-")</f>
        <v>0</v>
      </c>
      <c r="M20" s="40">
        <f>IFERROR(SUMIFS('Treinamentos Fechados'!F5:F51,'Treinamentos Fechados'!D5:D51,"Novembro",'Treinamentos Fechados'!A5:A51,"CCQA"),"-")</f>
        <v>0</v>
      </c>
      <c r="N20" s="40">
        <f>IFERROR(SUMIFS('Treinamentos Fechados'!F5:F51,'Treinamentos Fechados'!D5:D51,"Dezembro",'Treinamentos Fechados'!A5:A51,"CCQA"),"-")</f>
        <v>0</v>
      </c>
      <c r="O20" s="39">
        <f t="shared" ref="O20:O25" si="2">SUM(C20:N20)</f>
        <v>0</v>
      </c>
    </row>
    <row r="21" spans="1:16" s="3" customFormat="1" ht="12.75" x14ac:dyDescent="0.2">
      <c r="A21" s="5" t="s">
        <v>11</v>
      </c>
      <c r="B21" s="2">
        <f>SUMIF('Treinamentos Fechados'!A5:A51,"Cetea",'Treinamentos Fechados'!F5:F51)</f>
        <v>0</v>
      </c>
      <c r="C21" s="39">
        <f>IFERROR(SUMIFS('Treinamentos Fechados'!F5:F51,'Treinamentos Fechados'!D5:D51,"Janeiro",'Treinamentos Fechados'!A5:A51,"Cetea"),"-")</f>
        <v>0</v>
      </c>
      <c r="D21" s="40">
        <f>IFERROR(SUMIFS('Treinamentos Fechados'!F5:F51,'Treinamentos Fechados'!D5:D51,"Fevereiro",'Treinamentos Fechados'!A5:A51,"Cetea"),"-")</f>
        <v>0</v>
      </c>
      <c r="E21" s="40">
        <f>IFERROR(SUMIFS('Treinamentos Fechados'!F5:F51,'Treinamentos Fechados'!D5:D51,"Março",'Treinamentos Fechados'!A5:A51,"Cetea"),"-")</f>
        <v>0</v>
      </c>
      <c r="F21" s="40">
        <f>IFERROR(SUMIFS('Treinamentos Fechados'!F5:F51,'Treinamentos Fechados'!D5:D51,"Abril",'Treinamentos Fechados'!A5:A51,"Cetea"),"-")</f>
        <v>0</v>
      </c>
      <c r="G21" s="40">
        <f>IFERROR(SUMIFS('Treinamentos Fechados'!F5:F51,'Treinamentos Fechados'!D5:D51,"Maio",'Treinamentos Fechados'!A5:A51,"Cetea"),"-")</f>
        <v>0</v>
      </c>
      <c r="H21" s="40">
        <f>IFERROR(SUMIFS('Treinamentos Fechados'!F5:F51,'Treinamentos Fechados'!D5:D51,"Junho",'Treinamentos Fechados'!A5:A51,"Cetea"),"-")</f>
        <v>0</v>
      </c>
      <c r="I21" s="40">
        <f>IFERROR(SUMIFS('Treinamentos Fechados'!F5:F51,'Treinamentos Fechados'!D5:D51,"Julho",'Treinamentos Fechados'!A5:A51,"Cetea"),"-")</f>
        <v>0</v>
      </c>
      <c r="J21" s="40">
        <f>IFERROR(SUMIFS('Treinamentos Fechados'!F5:F51,'Treinamentos Fechados'!D5:D51,"Agosto",'Treinamentos Fechados'!A5:A51,"Cetea"),"-")</f>
        <v>0</v>
      </c>
      <c r="K21" s="40">
        <f>IFERROR(SUMIFS('Treinamentos Fechados'!F5:F51,'Treinamentos Fechados'!D5:D51,"Setembro",'Treinamentos Fechados'!A5:A51,"Cetea"),"-")</f>
        <v>0</v>
      </c>
      <c r="L21" s="40">
        <f>IFERROR(SUMIFS('Treinamentos Fechados'!F5:F51,'Treinamentos Fechados'!D5:D51,"Outubro",'Treinamentos Fechados'!A5:A51,"Cetea"),"-")</f>
        <v>0</v>
      </c>
      <c r="M21" s="40">
        <f>IFERROR(SUMIFS('Treinamentos Fechados'!F5:F51,'Treinamentos Fechados'!D5:D51,"Novembro",'Treinamentos Fechados'!A5:A51,"Cetea"),"-")</f>
        <v>0</v>
      </c>
      <c r="N21" s="40">
        <f>IFERROR(SUMIFS('Treinamentos Fechados'!F5:F51,'Treinamentos Fechados'!D5:D51,"Dezembro",'Treinamentos Fechados'!A5:A51,"Cetea"),"-")</f>
        <v>0</v>
      </c>
      <c r="O21" s="39">
        <f t="shared" si="2"/>
        <v>0</v>
      </c>
    </row>
    <row r="22" spans="1:16" s="3" customFormat="1" ht="12.75" x14ac:dyDescent="0.2">
      <c r="A22" s="5" t="s">
        <v>13</v>
      </c>
      <c r="B22" s="2">
        <f>SUMIF('Treinamentos Fechados'!A5:A51,"CTC",'Treinamentos Fechados'!F5:F51)</f>
        <v>0</v>
      </c>
      <c r="C22" s="39">
        <f>IFERROR(SUMIFS('Treinamentos Fechados'!F5:F51,'Treinamentos Fechados'!D5:D51,"Janeiro",'Treinamentos Fechados'!A5:A51,"CTC"),"-")</f>
        <v>0</v>
      </c>
      <c r="D22" s="40">
        <f>IFERROR(SUMIFS('Treinamentos Fechados'!F5:F51,'Treinamentos Fechados'!D5:D51,"Fevereiro",'Treinamentos Fechados'!A5:A51,"CTC"),"-")</f>
        <v>0</v>
      </c>
      <c r="E22" s="40">
        <f>IFERROR(SUMIFS('Treinamentos Fechados'!F5:F51,'Treinamentos Fechados'!D5:D51,"Março",'Treinamentos Fechados'!A5:A51,"CTC"),"-")</f>
        <v>0</v>
      </c>
      <c r="F22" s="40">
        <f>IFERROR(SUMIFS('Treinamentos Fechados'!F5:F51,'Treinamentos Fechados'!D5:D51,"Abril",'Treinamentos Fechados'!A5:A51,"CTC"),"-")</f>
        <v>0</v>
      </c>
      <c r="G22" s="40">
        <f>IFERROR(SUMIFS('Treinamentos Fechados'!F5:F51,'Treinamentos Fechados'!D5:D51,"Maio",'Treinamentos Fechados'!A5:A51,"CTC"),"-")</f>
        <v>0</v>
      </c>
      <c r="H22" s="40">
        <f>IFERROR(SUMIFS('Treinamentos Fechados'!F5:F51,'Treinamentos Fechados'!D5:D51,"Junho",'Treinamentos Fechados'!A5:A51,"CTC"),"-")</f>
        <v>0</v>
      </c>
      <c r="I22" s="40">
        <f>IFERROR(SUMIFS('Treinamentos Fechados'!F5:F51,'Treinamentos Fechados'!D5:D51,"Julho",'Treinamentos Fechados'!A5:A51,"CTC"),"-")</f>
        <v>0</v>
      </c>
      <c r="J22" s="40">
        <f>IFERROR(SUMIFS('Treinamentos Fechados'!F5:F51,'Treinamentos Fechados'!D5:D51,"Agosto",'Treinamentos Fechados'!A5:A51,"CTC"),"-")</f>
        <v>0</v>
      </c>
      <c r="K22" s="40">
        <f>IFERROR(SUMIFS('Treinamentos Fechados'!F5:F51,'Treinamentos Fechados'!D5:D51,"Setembro",'Treinamentos Fechados'!A5:A51,"CTC"),"-")</f>
        <v>0</v>
      </c>
      <c r="L22" s="40">
        <f>IFERROR(SUMIFS('Treinamentos Fechados'!F5:F51,'Treinamentos Fechados'!D5:D51,"Outubro",'Treinamentos Fechados'!A5:A51,"CTC"),"-")</f>
        <v>0</v>
      </c>
      <c r="M22" s="40">
        <f>IFERROR(SUMIFS('Treinamentos Fechados'!F5:F51,'Treinamentos Fechados'!D5:D51,"Novembro",'Treinamentos Fechados'!A5:A51,"CTC"),"-")</f>
        <v>0</v>
      </c>
      <c r="N22" s="40">
        <f>IFERROR(SUMIFS('Treinamentos Fechados'!F5:F51,'Treinamentos Fechados'!D5:D51,"Dezembro",'Treinamentos Fechados'!A5:A51,"CTC"),"-")</f>
        <v>0</v>
      </c>
      <c r="O22" s="39">
        <f t="shared" si="2"/>
        <v>0</v>
      </c>
    </row>
    <row r="23" spans="1:16" s="3" customFormat="1" ht="12.75" x14ac:dyDescent="0.2">
      <c r="A23" s="5" t="s">
        <v>9</v>
      </c>
      <c r="B23" s="2">
        <f>SUMIF('Treinamentos Fechados'!A5:A51,"DG",'Treinamentos Fechados'!F5:F51)</f>
        <v>0</v>
      </c>
      <c r="C23" s="39">
        <f>IFERROR(SUMIFS('Treinamentos Fechados'!F5:F51,'Treinamentos Fechados'!D5:D51,"Janeiro",'Treinamentos Fechados'!A5:A51,"DG"),"-")</f>
        <v>0</v>
      </c>
      <c r="D23" s="40">
        <f>IFERROR(SUMIFS('Treinamentos Fechados'!F5:F51,'Treinamentos Fechados'!D5:D51,"Fevereiro",'Treinamentos Fechados'!A5:A51,"DG"),"-")</f>
        <v>0</v>
      </c>
      <c r="E23" s="40">
        <f>IFERROR(SUMIFS('Treinamentos Fechados'!F5:F51,'Treinamentos Fechados'!D5:D51,"Março",'Treinamentos Fechados'!A5:A51,"DG"),"-")</f>
        <v>0</v>
      </c>
      <c r="F23" s="40">
        <f>IFERROR(SUMIFS('Treinamentos Fechados'!F5:F51,'Treinamentos Fechados'!D5:D51,"Abril",'Treinamentos Fechados'!A5:A51,"DG"),"-")</f>
        <v>0</v>
      </c>
      <c r="G23" s="40">
        <f>IFERROR(SUMIFS('Treinamentos Fechados'!F5:F51,'Treinamentos Fechados'!D5:D51,"Maio",'Treinamentos Fechados'!A5:A51,"DG"),"-")</f>
        <v>0</v>
      </c>
      <c r="H23" s="40">
        <f>IFERROR(SUMIFS('Treinamentos Fechados'!F5:F51,'Treinamentos Fechados'!D5:D51,"Junho",'Treinamentos Fechados'!A5:A51,"DG"),"-")</f>
        <v>0</v>
      </c>
      <c r="I23" s="40">
        <f>IFERROR(SUMIFS('Treinamentos Fechados'!F5:F51,'Treinamentos Fechados'!D5:D51,"Julho",'Treinamentos Fechados'!A5:A51,"DG"),"-")</f>
        <v>0</v>
      </c>
      <c r="J23" s="40">
        <f>IFERROR(SUMIFS('Treinamentos Fechados'!F5:F51,'Treinamentos Fechados'!D5:D51,"Agosto",'Treinamentos Fechados'!A5:A51,"DG"),"-")</f>
        <v>0</v>
      </c>
      <c r="K23" s="40">
        <f>IFERROR(SUMIFS('Treinamentos Fechados'!F5:F51,'Treinamentos Fechados'!D5:D51,"Setembro",'Treinamentos Fechados'!A5:A51,"DG"),"-")</f>
        <v>0</v>
      </c>
      <c r="L23" s="40">
        <f>IFERROR(SUMIFS('Treinamentos Fechados'!F5:F51,'Treinamentos Fechados'!D5:D51,"Outubro",'Treinamentos Fechados'!A5:A51,"DG"),"-")</f>
        <v>0</v>
      </c>
      <c r="M23" s="40">
        <f>IFERROR(SUMIFS('Treinamentos Fechados'!F5:F51,'Treinamentos Fechados'!D5:D51,"Novembro",'Treinamentos Fechados'!A5:A51,"DG"),"-")</f>
        <v>0</v>
      </c>
      <c r="N23" s="40">
        <f>IFERROR(SUMIFS('Treinamentos Fechados'!F5:F51,'Treinamentos Fechados'!D5:D51,"Dezembro",'Treinamentos Fechados'!A5:A51,"DG"),"-")</f>
        <v>0</v>
      </c>
      <c r="O23" s="39">
        <f t="shared" si="2"/>
        <v>0</v>
      </c>
    </row>
    <row r="24" spans="1:16" s="3" customFormat="1" ht="12.75" x14ac:dyDescent="0.2">
      <c r="A24" s="5" t="s">
        <v>14</v>
      </c>
      <c r="B24" s="2">
        <f>SUMIF('Treinamentos Fechados'!A5:A51,"Fruthotec",'Treinamentos Fechados'!F5:F51)</f>
        <v>0</v>
      </c>
      <c r="C24" s="39">
        <f>IFERROR(SUMIFS('Treinamentos Fechados'!F5:F51,'Treinamentos Fechados'!D5:D51,"Janeiro",'Treinamentos Fechados'!A5:A51,"Fruthotec"),"-")</f>
        <v>0</v>
      </c>
      <c r="D24" s="40">
        <f>IFERROR(SUMIFS('Treinamentos Fechados'!F5:F51,'Treinamentos Fechados'!D5:D51,"Fevereiro",'Treinamentos Fechados'!A5:A51,"Fruthotec"),"-")</f>
        <v>0</v>
      </c>
      <c r="E24" s="40">
        <f>IFERROR(SUMIFS('Treinamentos Fechados'!F5:F51,'Treinamentos Fechados'!D5:D51,"Março",'Treinamentos Fechados'!A5:A51,"Fruthotec"),"-")</f>
        <v>0</v>
      </c>
      <c r="F24" s="40">
        <f>IFERROR(SUMIFS('Treinamentos Fechados'!F5:F51,'Treinamentos Fechados'!D5:D51,"Abril",'Treinamentos Fechados'!A5:A51,"Fruthotec"),"-")</f>
        <v>0</v>
      </c>
      <c r="G24" s="40">
        <f>IFERROR(SUMIFS('Treinamentos Fechados'!F5:F51,'Treinamentos Fechados'!D5:D51,"Maio",'Treinamentos Fechados'!A5:A51,"Fruthotec"),"-")</f>
        <v>0</v>
      </c>
      <c r="H24" s="40">
        <f>IFERROR(SUMIFS('Treinamentos Fechados'!F5:F51,'Treinamentos Fechados'!D5:D51,"Junho",'Treinamentos Fechados'!A5:A51,"Fruthotec"),"-")</f>
        <v>0</v>
      </c>
      <c r="I24" s="40">
        <f>IFERROR(SUMIFS('Treinamentos Fechados'!F5:F51,'Treinamentos Fechados'!D5:D51,"Julho",'Treinamentos Fechados'!A5:A51,"Fruthotec"),"-")</f>
        <v>0</v>
      </c>
      <c r="J24" s="40">
        <f>IFERROR(SUMIFS('Treinamentos Fechados'!F5:F51,'Treinamentos Fechados'!D5:D51,"Agosto",'Treinamentos Fechados'!A5:A51,"Fruthotec"),"-")</f>
        <v>0</v>
      </c>
      <c r="K24" s="40">
        <f>IFERROR(SUMIFS('Treinamentos Fechados'!F5:F51,'Treinamentos Fechados'!D5:D51,"Setembro",'Treinamentos Fechados'!A5:A51,"Fruthotec"),"-")</f>
        <v>0</v>
      </c>
      <c r="L24" s="40">
        <f>IFERROR(SUMIFS('Treinamentos Fechados'!F5:F51,'Treinamentos Fechados'!D5:D51,"Outubro",'Treinamentos Fechados'!A5:A51,"Fruthotec"),"-")</f>
        <v>0</v>
      </c>
      <c r="M24" s="40">
        <f>IFERROR(SUMIFS('Treinamentos Fechados'!F5:F51,'Treinamentos Fechados'!D5:D51,"Novembro",'Treinamentos Fechados'!A5:A51,"Fruthotec"),"-")</f>
        <v>0</v>
      </c>
      <c r="N24" s="40">
        <f>IFERROR(SUMIFS('Treinamentos Fechados'!F5:F51,'Treinamentos Fechados'!D5:D51,"Dezembro",'Treinamentos Fechados'!A5:A51,"Fruthotec"),"-")</f>
        <v>0</v>
      </c>
      <c r="O24" s="39">
        <f t="shared" si="2"/>
        <v>0</v>
      </c>
    </row>
    <row r="25" spans="1:16" s="3" customFormat="1" ht="12.75" x14ac:dyDescent="0.2">
      <c r="A25" s="5" t="s">
        <v>12</v>
      </c>
      <c r="B25" s="2">
        <f>SUMIF('Treinamentos Fechados'!A5:A51,"Tecnolat",'Treinamentos Fechados'!F5:F51)</f>
        <v>0</v>
      </c>
      <c r="C25" s="39">
        <f>IFERROR(SUMIFS('Treinamentos Fechados'!F5:F51,'Treinamentos Fechados'!D5:D51,"Janeiro",'Treinamentos Fechados'!A5:A51,"Tecnolat"),"-")</f>
        <v>0</v>
      </c>
      <c r="D25" s="40">
        <f>IFERROR(SUMIFS('Treinamentos Fechados'!F5:F51,'Treinamentos Fechados'!D5:D51,"Fevereiro",'Treinamentos Fechados'!A5:A51,"Tecnolat"),"-")</f>
        <v>0</v>
      </c>
      <c r="E25" s="40">
        <f>IFERROR(SUMIFS('Treinamentos Fechados'!F5:F51,'Treinamentos Fechados'!D5:D51,"Março",'Treinamentos Fechados'!A5:A51,"Tecnolat"),"-")</f>
        <v>0</v>
      </c>
      <c r="F25" s="40">
        <f>IFERROR(SUMIFS('Treinamentos Fechados'!F5:F51,'Treinamentos Fechados'!D5:D51,"Abril",'Treinamentos Fechados'!A5:A51,"Tecnolat"),"-")</f>
        <v>0</v>
      </c>
      <c r="G25" s="40">
        <f>IFERROR(SUMIFS('Treinamentos Fechados'!F5:F51,'Treinamentos Fechados'!D5:D51,"Maio",'Treinamentos Fechados'!A5:A51,"Tecnolat"),"-")</f>
        <v>0</v>
      </c>
      <c r="H25" s="40">
        <f>IFERROR(SUMIFS('Treinamentos Fechados'!F5:F51,'Treinamentos Fechados'!D5:D51,"Junho",'Treinamentos Fechados'!A5:A51,"Tecnolat"),"-")</f>
        <v>0</v>
      </c>
      <c r="I25" s="40">
        <f>IFERROR(SUMIFS('Treinamentos Fechados'!F5:F51,'Treinamentos Fechados'!D5:D51,"Julho",'Treinamentos Fechados'!A5:A51,"Tecnolat"),"-")</f>
        <v>0</v>
      </c>
      <c r="J25" s="40">
        <f>IFERROR(SUMIFS('Treinamentos Fechados'!F5:F51,'Treinamentos Fechados'!D5:D51,"Agosto",'Treinamentos Fechados'!A5:A51,"Tecnolat"),"-")</f>
        <v>0</v>
      </c>
      <c r="K25" s="40">
        <f>IFERROR(SUMIFS('Treinamentos Fechados'!F5:F51,'Treinamentos Fechados'!D5:D51,"Setembro",'Treinamentos Fechados'!A5:A51,"Tecnolat"),"-")</f>
        <v>0</v>
      </c>
      <c r="L25" s="40">
        <f>IFERROR(SUMIFS('Treinamentos Fechados'!F5:F51,'Treinamentos Fechados'!D5:D51,"Outubro",'Treinamentos Fechados'!A5:A51,"Tecnolat"),"-")</f>
        <v>0</v>
      </c>
      <c r="M25" s="40">
        <f>IFERROR(SUMIFS('Treinamentos Fechados'!F5:F51,'Treinamentos Fechados'!D5:D51,"Novembro",'Treinamentos Fechados'!A5:A51,"Tecnolat"),"-")</f>
        <v>0</v>
      </c>
      <c r="N25" s="40">
        <f>IFERROR(SUMIFS('Treinamentos Fechados'!F5:F51,'Treinamentos Fechados'!D5:D51,"Dezembro",'Treinamentos Fechados'!A5:A51,"Tecnolat"),"-")</f>
        <v>0</v>
      </c>
      <c r="O25" s="39">
        <f t="shared" si="2"/>
        <v>0</v>
      </c>
    </row>
    <row r="26" spans="1:16" s="3" customFormat="1" ht="12.75" x14ac:dyDescent="0.2">
      <c r="A26" s="10" t="s">
        <v>15</v>
      </c>
      <c r="B26" s="12">
        <f>SUM(B19:B25)</f>
        <v>0</v>
      </c>
      <c r="C26" s="43">
        <f>SUM(C19:C25)</f>
        <v>0</v>
      </c>
      <c r="D26" s="43">
        <f t="shared" ref="D26:N26" si="3">SUM(D19:D25)</f>
        <v>0</v>
      </c>
      <c r="E26" s="43">
        <f t="shared" si="3"/>
        <v>0</v>
      </c>
      <c r="F26" s="43">
        <f t="shared" si="3"/>
        <v>0</v>
      </c>
      <c r="G26" s="43">
        <f t="shared" si="3"/>
        <v>0</v>
      </c>
      <c r="H26" s="43">
        <f t="shared" si="3"/>
        <v>0</v>
      </c>
      <c r="I26" s="43">
        <f t="shared" si="3"/>
        <v>0</v>
      </c>
      <c r="J26" s="43">
        <f t="shared" si="3"/>
        <v>0</v>
      </c>
      <c r="K26" s="43">
        <f t="shared" si="3"/>
        <v>0</v>
      </c>
      <c r="L26" s="43">
        <f t="shared" si="3"/>
        <v>0</v>
      </c>
      <c r="M26" s="43">
        <f t="shared" si="3"/>
        <v>0</v>
      </c>
      <c r="N26" s="43">
        <f t="shared" si="3"/>
        <v>0</v>
      </c>
      <c r="O26" s="44">
        <f>SUM(C26:N26)</f>
        <v>0</v>
      </c>
    </row>
    <row r="27" spans="1:16" x14ac:dyDescent="0.25">
      <c r="A27" s="3"/>
      <c r="B27" s="3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3"/>
    </row>
    <row r="28" spans="1:16" x14ac:dyDescent="0.25">
      <c r="A28" s="77" t="s">
        <v>53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</row>
  </sheetData>
  <sheetProtection algorithmName="SHA-512" hashValue="AOTXbJo7XwqYkiCAp3w3KXAnzgkfxQeiSZ2T4bLVX4pQUJmyDrIzdGcSdGEzlSn/Zep5rBdv4yhFirHJjDLLGA==" saltValue="tPXAV2NeZhp/MUZgykW5uA==" spinCount="100000" sheet="1" objects="1" scenarios="1"/>
  <mergeCells count="5">
    <mergeCell ref="A1:O1"/>
    <mergeCell ref="A2:O2"/>
    <mergeCell ref="A4:O4"/>
    <mergeCell ref="A16:O16"/>
    <mergeCell ref="A28:O28"/>
  </mergeCells>
  <pageMargins left="0.51181102362204722" right="0.51181102362204722" top="0.78740157480314965" bottom="0.78740157480314965" header="0.31496062992125984" footer="0.31496062992125984"/>
  <pageSetup paperSize="9" scale="63" orientation="landscape" verticalDpi="300" r:id="rId1"/>
  <headerFooter>
    <oddFooter>&amp;L&amp;"Arial,Normal"&amp;10FQ-08.39 (anexo à IT-08.01.04) - RA -  revisão 00 de 02/08/21 - Página 5/5</oddFooter>
  </headerFooter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</vt:i4>
      </vt:variant>
    </vt:vector>
  </HeadingPairs>
  <TitlesOfParts>
    <vt:vector size="10" baseType="lpstr">
      <vt:lpstr>Eventos</vt:lpstr>
      <vt:lpstr>Treinamentos Fechados</vt:lpstr>
      <vt:lpstr>I17, I19 e I24</vt:lpstr>
      <vt:lpstr>Participantes</vt:lpstr>
      <vt:lpstr>Respondentes</vt:lpstr>
      <vt:lpstr>Eventos!Area_de_impressao</vt:lpstr>
      <vt:lpstr>'I17, I19 e I24'!Area_de_impressao</vt:lpstr>
      <vt:lpstr>Participantes!Area_de_impressao</vt:lpstr>
      <vt:lpstr>Respondentes!Area_de_impressao</vt:lpstr>
      <vt:lpstr>'Treinamentos Fechados'!Area_de_impressao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2021-07-06T17:23:05Z</dcterms:modified>
</cp:coreProperties>
</file>