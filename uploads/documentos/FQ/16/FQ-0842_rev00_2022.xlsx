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BE45DE31-9E8A-45FA-87B5-B59958A75A6D}" xr6:coauthVersionLast="45" xr6:coauthVersionMax="45" xr10:uidLastSave="{00000000-0000-0000-0000-000000000000}"/>
  <bookViews>
    <workbookView xWindow="-120" yWindow="-120" windowWidth="19440" windowHeight="11160" xr2:uid="{00000000-000D-0000-FFFF-FFFF00000000}"/>
  </bookViews>
  <sheets>
    <sheet name="Controle de Transferências" sheetId="1" r:id="rId1"/>
    <sheet name="Painel" sheetId="2" r:id="rId2"/>
  </sheets>
  <definedNames>
    <definedName name="_xlnm._FilterDatabase" localSheetId="0" hidden="1">'Controle de Transferências'!$A$4:$E$4</definedName>
    <definedName name="_xlnm.Print_Area" localSheetId="0">'Controle de Transferências'!$A$1:$E$55</definedName>
    <definedName name="_xlnm.Print_Area" localSheetId="1">Painel!$A$1:$N$28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6" i="1" l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A2" i="2" l="1"/>
  <c r="F6" i="1"/>
  <c r="F7" i="1"/>
  <c r="F8" i="1"/>
  <c r="F9" i="1"/>
  <c r="F10" i="1"/>
  <c r="F11" i="1"/>
  <c r="F12" i="1"/>
  <c r="F13" i="1"/>
  <c r="F14" i="1"/>
  <c r="F15" i="1"/>
  <c r="F5" i="1"/>
  <c r="C25" i="2" l="1"/>
  <c r="B13" i="2"/>
  <c r="B9" i="2"/>
  <c r="C11" i="2"/>
  <c r="D12" i="2"/>
  <c r="D8" i="2"/>
  <c r="E9" i="2"/>
  <c r="C7" i="2"/>
  <c r="G7" i="2"/>
  <c r="K7" i="2"/>
  <c r="L13" i="2"/>
  <c r="G13" i="2"/>
  <c r="K12" i="2"/>
  <c r="G12" i="2"/>
  <c r="K11" i="2"/>
  <c r="G11" i="2"/>
  <c r="K10" i="2"/>
  <c r="F10" i="2"/>
  <c r="J9" i="2"/>
  <c r="F9" i="2"/>
  <c r="J8" i="2"/>
  <c r="F8" i="2"/>
  <c r="B25" i="2"/>
  <c r="B21" i="2"/>
  <c r="D19" i="2"/>
  <c r="H19" i="2"/>
  <c r="L19" i="2"/>
  <c r="K25" i="2"/>
  <c r="G25" i="2"/>
  <c r="M24" i="2"/>
  <c r="I24" i="2"/>
  <c r="E24" i="2"/>
  <c r="L23" i="2"/>
  <c r="H23" i="2"/>
  <c r="D23" i="2"/>
  <c r="K22" i="2"/>
  <c r="G22" i="2"/>
  <c r="C22" i="2"/>
  <c r="J21" i="2"/>
  <c r="F21" i="2"/>
  <c r="M20" i="2"/>
  <c r="I20" i="2"/>
  <c r="E20" i="2"/>
  <c r="B12" i="2"/>
  <c r="B8" i="2"/>
  <c r="C10" i="2"/>
  <c r="D11" i="2"/>
  <c r="E12" i="2"/>
  <c r="E8" i="2"/>
  <c r="D7" i="2"/>
  <c r="H7" i="2"/>
  <c r="L7" i="2"/>
  <c r="K13" i="2"/>
  <c r="F13" i="2"/>
  <c r="J12" i="2"/>
  <c r="F12" i="2"/>
  <c r="J11" i="2"/>
  <c r="F11" i="2"/>
  <c r="J10" i="2"/>
  <c r="M9" i="2"/>
  <c r="I9" i="2"/>
  <c r="M8" i="2"/>
  <c r="I8" i="2"/>
  <c r="I10" i="2"/>
  <c r="B24" i="2"/>
  <c r="B20" i="2"/>
  <c r="E19" i="2"/>
  <c r="I19" i="2"/>
  <c r="M19" i="2"/>
  <c r="J25" i="2"/>
  <c r="F25" i="2"/>
  <c r="L24" i="2"/>
  <c r="H24" i="2"/>
  <c r="D24" i="2"/>
  <c r="K23" i="2"/>
  <c r="G23" i="2"/>
  <c r="C23" i="2"/>
  <c r="J22" i="2"/>
  <c r="F22" i="2"/>
  <c r="M21" i="2"/>
  <c r="I21" i="2"/>
  <c r="E21" i="2"/>
  <c r="L20" i="2"/>
  <c r="H20" i="2"/>
  <c r="D20" i="2"/>
  <c r="B11" i="2"/>
  <c r="C13" i="2"/>
  <c r="C9" i="2"/>
  <c r="D10" i="2"/>
  <c r="E11" i="2"/>
  <c r="D13" i="2"/>
  <c r="E7" i="2"/>
  <c r="I7" i="2"/>
  <c r="M7" i="2"/>
  <c r="J13" i="2"/>
  <c r="M12" i="2"/>
  <c r="I12" i="2"/>
  <c r="M11" i="2"/>
  <c r="I11" i="2"/>
  <c r="M10" i="2"/>
  <c r="H10" i="2"/>
  <c r="L9" i="2"/>
  <c r="H9" i="2"/>
  <c r="L8" i="2"/>
  <c r="H8" i="2"/>
  <c r="I13" i="2"/>
  <c r="B23" i="2"/>
  <c r="B19" i="2"/>
  <c r="F19" i="2"/>
  <c r="J19" i="2"/>
  <c r="M25" i="2"/>
  <c r="I25" i="2"/>
  <c r="E25" i="2"/>
  <c r="K24" i="2"/>
  <c r="G24" i="2"/>
  <c r="C24" i="2"/>
  <c r="J23" i="2"/>
  <c r="F23" i="2"/>
  <c r="M22" i="2"/>
  <c r="I22" i="2"/>
  <c r="E22" i="2"/>
  <c r="L21" i="2"/>
  <c r="H21" i="2"/>
  <c r="D21" i="2"/>
  <c r="K20" i="2"/>
  <c r="G20" i="2"/>
  <c r="C20" i="2"/>
  <c r="B10" i="2"/>
  <c r="C12" i="2"/>
  <c r="C8" i="2"/>
  <c r="D9" i="2"/>
  <c r="E10" i="2"/>
  <c r="E13" i="2"/>
  <c r="F7" i="2"/>
  <c r="F14" i="2" s="1"/>
  <c r="J7" i="2"/>
  <c r="M13" i="2"/>
  <c r="H13" i="2"/>
  <c r="L12" i="2"/>
  <c r="H12" i="2"/>
  <c r="L11" i="2"/>
  <c r="H11" i="2"/>
  <c r="L10" i="2"/>
  <c r="G10" i="2"/>
  <c r="K9" i="2"/>
  <c r="G9" i="2"/>
  <c r="K8" i="2"/>
  <c r="G8" i="2"/>
  <c r="B7" i="2"/>
  <c r="B22" i="2"/>
  <c r="C19" i="2"/>
  <c r="G19" i="2"/>
  <c r="K19" i="2"/>
  <c r="L25" i="2"/>
  <c r="H25" i="2"/>
  <c r="D25" i="2"/>
  <c r="J24" i="2"/>
  <c r="F24" i="2"/>
  <c r="M23" i="2"/>
  <c r="I23" i="2"/>
  <c r="E23" i="2"/>
  <c r="L22" i="2"/>
  <c r="H22" i="2"/>
  <c r="D22" i="2"/>
  <c r="K21" i="2"/>
  <c r="G21" i="2"/>
  <c r="C21" i="2"/>
  <c r="J20" i="2"/>
  <c r="F20" i="2"/>
  <c r="D14" i="2" l="1"/>
  <c r="B26" i="2"/>
  <c r="L26" i="2"/>
  <c r="J26" i="2"/>
  <c r="N25" i="2"/>
  <c r="G26" i="2"/>
  <c r="N13" i="2"/>
  <c r="I14" i="2"/>
  <c r="N19" i="2"/>
  <c r="C26" i="2"/>
  <c r="N7" i="2"/>
  <c r="E14" i="2"/>
  <c r="J14" i="2"/>
  <c r="C14" i="2"/>
  <c r="N10" i="2"/>
  <c r="B14" i="2"/>
  <c r="N8" i="2"/>
  <c r="N22" i="2"/>
  <c r="F26" i="2"/>
  <c r="M26" i="2"/>
  <c r="N24" i="2"/>
  <c r="D26" i="2"/>
  <c r="G14" i="2"/>
  <c r="N12" i="2"/>
  <c r="K26" i="2"/>
  <c r="I26" i="2"/>
  <c r="L14" i="2"/>
  <c r="N21" i="2"/>
  <c r="N23" i="2"/>
  <c r="E26" i="2"/>
  <c r="H14" i="2"/>
  <c r="N9" i="2"/>
  <c r="M14" i="2"/>
  <c r="N11" i="2"/>
  <c r="N20" i="2"/>
  <c r="H26" i="2"/>
  <c r="K14" i="2"/>
  <c r="N26" i="2" l="1"/>
  <c r="N14" i="2"/>
</calcChain>
</file>

<file path=xl/sharedStrings.xml><?xml version="1.0" encoding="utf-8"?>
<sst xmlns="http://schemas.openxmlformats.org/spreadsheetml/2006/main" count="59" uniqueCount="33">
  <si>
    <t>DATA</t>
  </si>
  <si>
    <t>OBSERVAÇÃO</t>
  </si>
  <si>
    <t>(ANO)</t>
  </si>
  <si>
    <t>VALOR BRUTO</t>
  </si>
  <si>
    <t>CONTROLE DE TRANSFERÊNCIAS ENTRE UNIDADES</t>
  </si>
  <si>
    <t>DE:</t>
  </si>
  <si>
    <t>PARA:</t>
  </si>
  <si>
    <t>Cetea</t>
  </si>
  <si>
    <t>Tecnolat</t>
  </si>
  <si>
    <t>MÊS</t>
  </si>
  <si>
    <t>Unidade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</si>
  <si>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</si>
  <si>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</si>
  <si>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</si>
  <si>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</si>
  <si>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</si>
  <si>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</si>
  <si>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</si>
  <si>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</si>
  <si>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</si>
  <si>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</si>
  <si>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</si>
  <si>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</si>
  <si>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</si>
  <si>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CCQA</t>
  </si>
  <si>
    <t>Cereal Chocotec</t>
  </si>
  <si>
    <t>CTC</t>
  </si>
  <si>
    <t>DG</t>
  </si>
  <si>
    <t>Fruthotec</t>
  </si>
  <si>
    <t>2. Valores recebidos via Transferência</t>
  </si>
  <si>
    <t>1. Valores transferidos para outra Unidade</t>
  </si>
  <si>
    <t>FQ-08.42 (anexo à IT-08.01.04) - RA - revisão 00 de 08/07/22 - Página 1/2</t>
  </si>
  <si>
    <t>FQ-08.42 (anexo à IT-08.01.04) - RA - revisão 00 de 08/07/22 - Página 2/2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</si>
</sst>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b/>
      <sz val="12"/>
      <color rgb="FF00B050"/>
      <name val="Arial"/>
      <family val="2"/>
    </font>
    <font>
      <sz val="10"/>
      <color theme="1"/>
      <name val="Arial"/>
      <family val="2"/>
    </font>
    <font>
      <b/>
      <sz val="12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6" fillId="3" borderId="14" xfId="0" applyFont="1" applyFill="1" applyBorder="1"/>
    <xf numFmtId="4" fontId="4" fillId="0" borderId="1" xfId="0" applyNumberFormat="1" applyFont="1" applyBorder="1" applyAlignment="1">
      <alignment horizontal="center" vertical="center"/>
    </xf>
    <xf numFmtId="4" fontId="8" fillId="0" borderId="11" xfId="0" applyNumberFormat="1" applyFont="1" applyBorder="1" applyAlignment="1">
      <alignment horizontal="center" vertical="center"/>
    </xf>
    <xf numFmtId="4" fontId="6" fillId="3" borderId="15" xfId="0" applyNumberFormat="1" applyFont="1" applyFill="1" applyBorder="1" applyAlignment="1">
      <alignment horizontal="center" vertical="center"/>
    </xf>
    <xf numFmtId="4" fontId="7" fillId="3" borderId="16" xfId="0" applyNumberFormat="1" applyFont="1" applyFill="1" applyBorder="1" applyAlignment="1">
      <alignment horizontal="center" vertical="center"/>
    </xf>
    <xf numFmtId="14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/>
    </xf>
    <xf numFmtId="0" fontId="6" fillId="3" borderId="7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zoomScale="110" zoomScaleNormal="110" workbookViewId="0">
      <selection activeCell="G12" sqref="G12"/>
    </sheetView>
  </sheetViews>
  <sheetFormatPr defaultRowHeight="15" x14ac:dyDescent="0.25"/>
  <cols>
    <col min="1" max="1" width="14.140625" customWidth="1"/>
    <col min="2" max="2" width="21.7109375" customWidth="1"/>
    <col min="3" max="4" width="26.7109375" customWidth="1"/>
    <col min="5" max="5" width="49.140625" customWidth="1"/>
    <col min="6" max="6" width="9.140625" style="3" hidden="1" customWidth="1"/>
  </cols>
  <sheetData>
    <row r="1" spans="1:6" ht="19.5" customHeight="1" thickBot="1" x14ac:dyDescent="0.3">
      <c r="A1" s="18" t="s">
        <v>4</v>
      </c>
      <c r="B1" s="19"/>
      <c r="C1" s="19"/>
      <c r="D1" s="19"/>
      <c r="E1" s="20"/>
    </row>
    <row r="2" spans="1:6" ht="15" customHeight="1" x14ac:dyDescent="0.25">
      <c r="A2" s="21" t="s">
        <v>2</v>
      </c>
      <c r="B2" s="21"/>
      <c r="C2" s="21"/>
      <c r="D2" s="21"/>
      <c r="E2" s="21"/>
    </row>
    <row r="4" spans="1:6" x14ac:dyDescent="0.25">
      <c r="A4" s="1" t="s">
        <v>0</v>
      </c>
      <c r="B4" s="1" t="s">
        <v>5</v>
      </c>
      <c r="C4" s="1" t="s">
        <v>6</v>
      </c>
      <c r="D4" s="1" t="s">
        <v>3</v>
      </c>
      <c r="E4" s="1" t="s">
        <v>1</v>
      </c>
      <c r="F4" s="2" t="s">
        <v>9</v>
      </c>
    </row>
    <row r="5" spans="1:6" x14ac:dyDescent="0.25">
      <c r="A5" s="14"/>
      <c r="B5" s="15"/>
      <c r="C5" s="16"/>
      <c r="D5" s="16"/>
      <c r="E5" s="17"/>
      <c r="F5" s="3">
        <f>IFERROR(IF(A5=0,“”,MONTH(A5)),0)</f>
        <v>0</v>
      </c>
    </row>
    <row r="6" spans="1:6" x14ac:dyDescent="0.25">
      <c r="A6" s="14"/>
      <c r="B6" s="15"/>
      <c r="C6" s="16"/>
      <c r="D6" s="16"/>
      <c r="E6" s="17"/>
      <c r="F6" s="3">
        <f>IFERROR(IF(A6=0,“”,MONTH(A6)),0)</f>
        <v>0</v>
      </c>
    </row>
    <row r="7" spans="1:6" x14ac:dyDescent="0.25">
      <c r="A7" s="14"/>
      <c r="B7" s="15"/>
      <c r="C7" s="16"/>
      <c r="D7" s="16"/>
      <c r="E7" s="17"/>
      <c r="F7" s="3">
        <f>IFERROR(IF(A7=0,“”,MONTH(A7)),0)</f>
        <v>0</v>
      </c>
    </row>
    <row r="8" spans="1:6" x14ac:dyDescent="0.25">
      <c r="A8" s="14"/>
      <c r="B8" s="15"/>
      <c r="C8" s="16"/>
      <c r="D8" s="16"/>
      <c r="E8" s="17"/>
      <c r="F8" s="3">
        <f>IFERROR(IF(A8=0,“”,MONTH(A8)),0)</f>
        <v>0</v>
      </c>
    </row>
    <row r="9" spans="1:6" x14ac:dyDescent="0.25">
      <c r="A9" s="14"/>
      <c r="B9" s="15"/>
      <c r="C9" s="16"/>
      <c r="D9" s="16"/>
      <c r="E9" s="17"/>
      <c r="F9" s="3">
        <f>IFERROR(IF(A9=0,“”,MONTH(A9)),0)</f>
        <v>0</v>
      </c>
    </row>
    <row r="10" spans="1:6" x14ac:dyDescent="0.25">
      <c r="A10" s="14"/>
      <c r="B10" s="15"/>
      <c r="C10" s="16"/>
      <c r="D10" s="16"/>
      <c r="E10" s="17"/>
      <c r="F10" s="3">
        <f>IFERROR(IF(A10=0,“”,MONTH(A10)),0)</f>
        <v>0</v>
      </c>
    </row>
    <row r="11" spans="1:6" x14ac:dyDescent="0.25">
      <c r="A11" s="14"/>
      <c r="B11" s="15"/>
      <c r="C11" s="16"/>
      <c r="D11" s="16"/>
      <c r="E11" s="17"/>
      <c r="F11" s="3">
        <f>IFERROR(IF(A11=0,“”,MONTH(A11)),0)</f>
        <v>0</v>
      </c>
    </row>
    <row r="12" spans="1:6" x14ac:dyDescent="0.25">
      <c r="A12" s="14"/>
      <c r="B12" s="15"/>
      <c r="C12" s="16"/>
      <c r="D12" s="16"/>
      <c r="E12" s="17"/>
      <c r="F12" s="3">
        <f>IFERROR(IF(A12=0,“”,MONTH(A12)),0)</f>
        <v>0</v>
      </c>
    </row>
    <row r="13" spans="1:6" x14ac:dyDescent="0.25">
      <c r="A13" s="14"/>
      <c r="B13" s="15"/>
      <c r="C13" s="16"/>
      <c r="D13" s="16"/>
      <c r="E13" s="17"/>
      <c r="F13" s="3">
        <f>IFERROR(IF(A13=0,“”,MONTH(A13)),0)</f>
        <v>0</v>
      </c>
    </row>
    <row r="14" spans="1:6" x14ac:dyDescent="0.25">
      <c r="A14" s="14"/>
      <c r="B14" s="15"/>
      <c r="C14" s="16"/>
      <c r="D14" s="16"/>
      <c r="E14" s="17"/>
      <c r="F14" s="3">
        <f>IFERROR(IF(A14=0,“”,MONTH(A14)),0)</f>
        <v>0</v>
      </c>
    </row>
    <row r="15" spans="1:6" x14ac:dyDescent="0.25">
      <c r="A15" s="14"/>
      <c r="B15" s="15"/>
      <c r="C15" s="16"/>
      <c r="D15" s="16"/>
      <c r="E15" s="17"/>
      <c r="F15" s="3">
        <f>IFERROR(IF(A15=0,“”,MONTH(A15)),0)</f>
        <v>0</v>
      </c>
    </row>
    <row r="16" spans="1:6" x14ac:dyDescent="0.25">
      <c r="A16" s="14"/>
      <c r="B16" s="15"/>
      <c r="C16" s="16"/>
      <c r="D16" s="16"/>
      <c r="E16" s="17"/>
      <c r="F16" s="3">
        <f>IFERROR(IF(A16=0,“”,MONTH(A16)),0)</f>
        <v>0</v>
      </c>
    </row>
    <row r="17" spans="1:6" x14ac:dyDescent="0.25">
      <c r="A17" s="14"/>
      <c r="B17" s="15"/>
      <c r="C17" s="16"/>
      <c r="D17" s="16"/>
      <c r="E17" s="17"/>
      <c r="F17" s="3">
        <f>IFERROR(IF(A17=0,“”,MONTH(A17)),0)</f>
        <v>0</v>
      </c>
    </row>
    <row r="18" spans="1:6" x14ac:dyDescent="0.25">
      <c r="A18" s="14"/>
      <c r="B18" s="15"/>
      <c r="C18" s="16"/>
      <c r="D18" s="16"/>
      <c r="E18" s="17"/>
      <c r="F18" s="3">
        <f>IFERROR(IF(A18=0,“”,MONTH(A18)),0)</f>
        <v>0</v>
      </c>
    </row>
    <row r="19" spans="1:6" x14ac:dyDescent="0.25">
      <c r="A19" s="14"/>
      <c r="B19" s="15"/>
      <c r="C19" s="16"/>
      <c r="D19" s="16"/>
      <c r="E19" s="17"/>
      <c r="F19" s="3">
        <f>IFERROR(IF(A19=0,“”,MONTH(A19)),0)</f>
        <v>0</v>
      </c>
    </row>
    <row r="20" spans="1:6" x14ac:dyDescent="0.25">
      <c r="A20" s="14"/>
      <c r="B20" s="15"/>
      <c r="C20" s="16"/>
      <c r="D20" s="16"/>
      <c r="E20" s="17"/>
      <c r="F20" s="3">
        <f>IFERROR(IF(A20=0,“”,MONTH(A20)),0)</f>
        <v>0</v>
      </c>
    </row>
    <row r="21" spans="1:6" x14ac:dyDescent="0.25">
      <c r="A21" s="14"/>
      <c r="B21" s="15"/>
      <c r="C21" s="16"/>
      <c r="D21" s="16"/>
      <c r="E21" s="17"/>
      <c r="F21" s="3">
        <f>IFERROR(IF(A21=0,“”,MONTH(A21)),0)</f>
        <v>0</v>
      </c>
    </row>
    <row r="22" spans="1:6" x14ac:dyDescent="0.25">
      <c r="A22" s="14"/>
      <c r="B22" s="15"/>
      <c r="C22" s="16"/>
      <c r="D22" s="16"/>
      <c r="E22" s="17"/>
      <c r="F22" s="3">
        <f>IFERROR(IF(A22=0,“”,MONTH(A22)),0)</f>
        <v>0</v>
      </c>
    </row>
    <row r="23" spans="1:6" x14ac:dyDescent="0.25">
      <c r="A23" s="14"/>
      <c r="B23" s="15"/>
      <c r="C23" s="16"/>
      <c r="D23" s="16"/>
      <c r="E23" s="17"/>
      <c r="F23" s="3">
        <f>IFERROR(IF(A23=0,“”,MONTH(A23)),0)</f>
        <v>0</v>
      </c>
    </row>
    <row r="24" spans="1:6" x14ac:dyDescent="0.25">
      <c r="A24" s="14"/>
      <c r="B24" s="15"/>
      <c r="C24" s="16"/>
      <c r="D24" s="16"/>
      <c r="E24" s="17"/>
      <c r="F24" s="3">
        <f>IFERROR(IF(A24=0,“”,MONTH(A24)),0)</f>
        <v>0</v>
      </c>
    </row>
    <row r="25" spans="1:6" x14ac:dyDescent="0.25">
      <c r="A25" s="14"/>
      <c r="B25" s="15"/>
      <c r="C25" s="16"/>
      <c r="D25" s="16"/>
      <c r="E25" s="17"/>
      <c r="F25" s="3">
        <f>IFERROR(IF(A25=0,“”,MONTH(A25)),0)</f>
        <v>0</v>
      </c>
    </row>
    <row r="26" spans="1:6" x14ac:dyDescent="0.25">
      <c r="A26" s="14"/>
      <c r="B26" s="15"/>
      <c r="C26" s="16"/>
      <c r="D26" s="16"/>
      <c r="E26" s="17"/>
      <c r="F26" s="3">
        <f>IFERROR(IF(A26=0,“”,MONTH(A26)),0)</f>
        <v>0</v>
      </c>
    </row>
    <row r="27" spans="1:6" x14ac:dyDescent="0.25">
      <c r="A27" s="14"/>
      <c r="B27" s="15"/>
      <c r="C27" s="16"/>
      <c r="D27" s="16"/>
      <c r="E27" s="17"/>
      <c r="F27" s="3">
        <f>IFERROR(IF(A27=0,“”,MONTH(A27)),0)</f>
        <v>0</v>
      </c>
    </row>
    <row r="28" spans="1:6" x14ac:dyDescent="0.25">
      <c r="A28" s="14"/>
      <c r="B28" s="15"/>
      <c r="C28" s="16"/>
      <c r="D28" s="16"/>
      <c r="E28" s="17"/>
      <c r="F28" s="3">
        <f>IFERROR(IF(A28=0,“”,MONTH(A28)),0)</f>
        <v>0</v>
      </c>
    </row>
    <row r="29" spans="1:6" x14ac:dyDescent="0.25">
      <c r="A29" s="14"/>
      <c r="B29" s="15"/>
      <c r="C29" s="16"/>
      <c r="D29" s="16"/>
      <c r="E29" s="17"/>
      <c r="F29" s="3">
        <f>IFERROR(IF(A29=0,“”,MONTH(A29)),0)</f>
        <v>0</v>
      </c>
    </row>
    <row r="30" spans="1:6" x14ac:dyDescent="0.25">
      <c r="A30" s="14"/>
      <c r="B30" s="15"/>
      <c r="C30" s="16"/>
      <c r="D30" s="16"/>
      <c r="E30" s="17"/>
      <c r="F30" s="3">
        <f>IFERROR(IF(A30=0,“”,MONTH(A30)),0)</f>
        <v>0</v>
      </c>
    </row>
    <row r="31" spans="1:6" x14ac:dyDescent="0.25">
      <c r="A31" s="14"/>
      <c r="B31" s="15"/>
      <c r="C31" s="16"/>
      <c r="D31" s="16"/>
      <c r="E31" s="17"/>
      <c r="F31" s="3">
        <f>IFERROR(IF(A31=0,“”,MONTH(A31)),0)</f>
        <v>0</v>
      </c>
    </row>
    <row r="32" spans="1:6" x14ac:dyDescent="0.25">
      <c r="A32" s="14"/>
      <c r="B32" s="15"/>
      <c r="C32" s="16"/>
      <c r="D32" s="16"/>
      <c r="E32" s="17"/>
      <c r="F32" s="3">
        <f>IFERROR(IF(A32=0,“”,MONTH(A32)),0)</f>
        <v>0</v>
      </c>
    </row>
    <row r="33" spans="1:6" x14ac:dyDescent="0.25">
      <c r="A33" s="14"/>
      <c r="B33" s="15"/>
      <c r="C33" s="16"/>
      <c r="D33" s="16"/>
      <c r="E33" s="17"/>
      <c r="F33" s="3">
        <f>IFERROR(IF(A33=0,“”,MONTH(A33)),0)</f>
        <v>0</v>
      </c>
    </row>
    <row r="34" spans="1:6" x14ac:dyDescent="0.25">
      <c r="A34" s="14"/>
      <c r="B34" s="15"/>
      <c r="C34" s="16"/>
      <c r="D34" s="16"/>
      <c r="E34" s="17"/>
      <c r="F34" s="3">
        <f>IFERROR(IF(A34=0,“”,MONTH(A34)),0)</f>
        <v>0</v>
      </c>
    </row>
    <row r="35" spans="1:6" x14ac:dyDescent="0.25">
      <c r="A35" s="14"/>
      <c r="B35" s="15"/>
      <c r="C35" s="16"/>
      <c r="D35" s="16"/>
      <c r="E35" s="17"/>
      <c r="F35" s="3">
        <f>IFERROR(IF(A35=0,“”,MONTH(A35)),0)</f>
        <v>0</v>
      </c>
    </row>
    <row r="36" spans="1:6" x14ac:dyDescent="0.25">
      <c r="A36" s="14"/>
      <c r="B36" s="15"/>
      <c r="C36" s="16"/>
      <c r="D36" s="16"/>
      <c r="E36" s="17"/>
      <c r="F36" s="3">
        <f>IFERROR(IF(A36=0,“”,MONTH(A36)),0)</f>
        <v>0</v>
      </c>
    </row>
    <row r="37" spans="1:6" x14ac:dyDescent="0.25">
      <c r="A37" s="14"/>
      <c r="B37" s="15"/>
      <c r="C37" s="16"/>
      <c r="D37" s="16"/>
      <c r="E37" s="17"/>
      <c r="F37" s="3">
        <f>IFERROR(IF(A37=0,“”,MONTH(A37)),0)</f>
        <v>0</v>
      </c>
    </row>
    <row r="38" spans="1:6" x14ac:dyDescent="0.25">
      <c r="A38" s="14"/>
      <c r="B38" s="15"/>
      <c r="C38" s="16"/>
      <c r="D38" s="16"/>
      <c r="E38" s="17"/>
      <c r="F38" s="3">
        <f>IFERROR(IF(A38=0,“”,MONTH(A38)),0)</f>
        <v>0</v>
      </c>
    </row>
    <row r="39" spans="1:6" x14ac:dyDescent="0.25">
      <c r="A39" s="14"/>
      <c r="B39" s="15"/>
      <c r="C39" s="16"/>
      <c r="D39" s="16"/>
      <c r="E39" s="17"/>
      <c r="F39" s="3">
        <f>IFERROR(IF(A39=0,“”,MONTH(A39)),0)</f>
        <v>0</v>
      </c>
    </row>
    <row r="40" spans="1:6" x14ac:dyDescent="0.25">
      <c r="A40" s="14"/>
      <c r="B40" s="15"/>
      <c r="C40" s="16"/>
      <c r="D40" s="16"/>
      <c r="E40" s="17"/>
      <c r="F40" s="3">
        <f>IFERROR(IF(A40=0,“”,MONTH(A40)),0)</f>
        <v>0</v>
      </c>
    </row>
    <row r="41" spans="1:6" x14ac:dyDescent="0.25">
      <c r="A41" s="14"/>
      <c r="B41" s="15"/>
      <c r="C41" s="16"/>
      <c r="D41" s="16"/>
      <c r="E41" s="17"/>
      <c r="F41" s="3">
        <f>IFERROR(IF(A41=0,“”,MONTH(A41)),0)</f>
        <v>0</v>
      </c>
    </row>
    <row r="42" spans="1:6" x14ac:dyDescent="0.25">
      <c r="A42" s="14"/>
      <c r="B42" s="15"/>
      <c r="C42" s="16"/>
      <c r="D42" s="16"/>
      <c r="E42" s="17"/>
      <c r="F42" s="3">
        <f>IFERROR(IF(A42=0,“”,MONTH(A42)),0)</f>
        <v>0</v>
      </c>
    </row>
    <row r="43" spans="1:6" x14ac:dyDescent="0.25">
      <c r="A43" s="14"/>
      <c r="B43" s="15"/>
      <c r="C43" s="16"/>
      <c r="D43" s="16"/>
      <c r="E43" s="17"/>
      <c r="F43" s="3">
        <f>IFERROR(IF(A43=0,“”,MONTH(A43)),0)</f>
        <v>0</v>
      </c>
    </row>
    <row r="44" spans="1:6" x14ac:dyDescent="0.25">
      <c r="A44" s="14"/>
      <c r="B44" s="15"/>
      <c r="C44" s="16"/>
      <c r="D44" s="16"/>
      <c r="E44" s="17"/>
      <c r="F44" s="3">
        <f>IFERROR(IF(A44=0,“”,MONTH(A44)),0)</f>
        <v>0</v>
      </c>
    </row>
    <row r="45" spans="1:6" x14ac:dyDescent="0.25">
      <c r="A45" s="14"/>
      <c r="B45" s="15"/>
      <c r="C45" s="16"/>
      <c r="D45" s="16"/>
      <c r="E45" s="17"/>
      <c r="F45" s="3">
        <f>IFERROR(IF(A45=0,“”,MONTH(A45)),0)</f>
        <v>0</v>
      </c>
    </row>
    <row r="46" spans="1:6" x14ac:dyDescent="0.25">
      <c r="A46" s="14"/>
      <c r="B46" s="15"/>
      <c r="C46" s="16"/>
      <c r="D46" s="16"/>
      <c r="E46" s="17"/>
      <c r="F46" s="3">
        <f>IFERROR(IF(A46=0,“”,MONTH(A46)),0)</f>
        <v>0</v>
      </c>
    </row>
    <row r="47" spans="1:6" x14ac:dyDescent="0.25">
      <c r="A47" s="14"/>
      <c r="B47" s="15"/>
      <c r="C47" s="16"/>
      <c r="D47" s="16"/>
      <c r="E47" s="17"/>
      <c r="F47" s="3">
        <f>IFERROR(IF(A47=0,“”,MONTH(A47)),0)</f>
        <v>0</v>
      </c>
    </row>
    <row r="48" spans="1:6" x14ac:dyDescent="0.25">
      <c r="A48" s="14"/>
      <c r="B48" s="15"/>
      <c r="C48" s="16"/>
      <c r="D48" s="16"/>
      <c r="E48" s="17"/>
      <c r="F48" s="3">
        <f>IFERROR(IF(A48=0,“”,MONTH(A48)),0)</f>
        <v>0</v>
      </c>
    </row>
    <row r="49" spans="1:6" x14ac:dyDescent="0.25">
      <c r="A49" s="14"/>
      <c r="B49" s="15"/>
      <c r="C49" s="16"/>
      <c r="D49" s="16"/>
      <c r="E49" s="17"/>
      <c r="F49" s="3">
        <f>IFERROR(IF(A49=0,“”,MONTH(A49)),0)</f>
        <v>0</v>
      </c>
    </row>
    <row r="50" spans="1:6" x14ac:dyDescent="0.25">
      <c r="A50" s="14"/>
      <c r="B50" s="15"/>
      <c r="C50" s="16"/>
      <c r="D50" s="16"/>
      <c r="E50" s="17"/>
      <c r="F50" s="3">
        <f>IFERROR(IF(A50=0,“”,MONTH(A50)),0)</f>
        <v>0</v>
      </c>
    </row>
    <row r="51" spans="1:6" x14ac:dyDescent="0.25">
      <c r="A51" s="14"/>
      <c r="B51" s="15"/>
      <c r="C51" s="16"/>
      <c r="D51" s="16"/>
      <c r="E51" s="17"/>
      <c r="F51" s="3">
        <f>IFERROR(IF(A51=0,“”,MONTH(A51)),0)</f>
        <v>0</v>
      </c>
    </row>
    <row r="52" spans="1:6" x14ac:dyDescent="0.25">
      <c r="A52" s="14"/>
      <c r="B52" s="15"/>
      <c r="C52" s="16"/>
      <c r="D52" s="16"/>
      <c r="E52" s="17"/>
      <c r="F52" s="3">
        <f>IFERROR(IF(A52=0,“”,MONTH(A52)),0)</f>
        <v>0</v>
      </c>
    </row>
    <row r="53" spans="1:6" x14ac:dyDescent="0.25">
      <c r="A53" s="14"/>
      <c r="B53" s="15"/>
      <c r="C53" s="16"/>
      <c r="D53" s="16"/>
      <c r="E53" s="17"/>
      <c r="F53" s="3">
        <f>IFERROR(IF(A53=0,“”,MONTH(A53)),0)</f>
        <v>0</v>
      </c>
    </row>
    <row r="54" spans="1:6" x14ac:dyDescent="0.25">
      <c r="A54" s="14"/>
      <c r="B54" s="15"/>
      <c r="C54" s="16"/>
      <c r="D54" s="16"/>
      <c r="E54" s="17"/>
      <c r="F54" s="3">
        <f>IFERROR(IF(A54=0,“”,MONTH(A54)),0)</f>
        <v>0</v>
      </c>
    </row>
    <row r="56" spans="1:6" x14ac:dyDescent="0.25">
      <c r="A56" s="22" t="s">
        <v>31</v>
      </c>
      <c r="B56" s="22"/>
      <c r="C56" s="22"/>
      <c r="D56" s="22"/>
      <c r="E56" s="22"/>
    </row>
  </sheetData>
  <sheetProtection algorithmName="SHA-512" hashValue="3beYKlAAmeCtpG6uHgrU5WuxRUmHlJmBLWUIpztpy9Vq0oR7d/hrDFhtXnabUCrtUdg7IQoP2LCUm8IvjqWpVg==" saltValue="sUXRF5f2nQotu+sDOQeqsA==" spinCount="100000" sheet="1" objects="1" scenarios="1"/>
  <autoFilter ref="A4:E4" xr:uid="{00000000-0009-0000-0000-000000000000}"/>
  <mergeCells count="3">
    <mergeCell ref="A1:E1"/>
    <mergeCell ref="A2:E2"/>
    <mergeCell ref="A56:E56"/>
  </mergeCells>
  <dataValidations count="1">
    <dataValidation type="list" allowBlank="1" showInputMessage="1" showErrorMessage="1" sqref="B5:C54" xr:uid="{00000000-0002-0000-0000-000000000000}">
      <formula1>"Cetea,Cereal Chocotec,CCQA, CTC, DG, Fruthotec, Tecnolat"</formula1>
    </dataValidation>
  </dataValidations>
  <pageMargins left="0.70866141732283472" right="0.70866141732283472" top="0.74803149606299213" bottom="0.74803149606299213" header="0.31496062992125984" footer="0.31496062992125984"/>
  <pageSetup paperSize="9" scale="63" orientation="portrait" r:id="rId1"/>
  <headerFooter>
    <oddFooter>&amp;L&amp;"Arial,Normal"&amp;10FQ-08.42 (anexo à IT-08.01.04) - RA - revisão 00 de 08/07/22 - Página 1/2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9"/>
  <sheetViews>
    <sheetView topLeftCell="A13" zoomScaleNormal="100" workbookViewId="0">
      <selection sqref="A1:N1"/>
    </sheetView>
  </sheetViews>
  <sheetFormatPr defaultRowHeight="15" x14ac:dyDescent="0.25"/>
  <cols>
    <col min="1" max="1" width="15.7109375" customWidth="1"/>
    <col min="2" max="14" width="10.5703125" customWidth="1"/>
  </cols>
  <sheetData>
    <row r="1" spans="1:14" ht="20.25" customHeight="1" x14ac:dyDescent="0.25">
      <c r="A1" s="27" t="s">
        <v>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18" customHeight="1" x14ac:dyDescent="0.25">
      <c r="A2" s="29" t="str">
        <f>'Controle de Transferências'!A2:E2</f>
        <v>(ANO)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4" spans="1:14" ht="15.75" thickBot="1" x14ac:dyDescent="0.3">
      <c r="A4" s="30" t="s">
        <v>30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</row>
    <row r="5" spans="1:14" x14ac:dyDescent="0.25">
      <c r="A5" s="23" t="s">
        <v>10</v>
      </c>
      <c r="B5" s="25" t="s">
        <v>9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6"/>
    </row>
    <row r="6" spans="1:14" x14ac:dyDescent="0.25">
      <c r="A6" s="24"/>
      <c r="B6" s="4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  <c r="I6" s="4" t="s">
        <v>18</v>
      </c>
      <c r="J6" s="4" t="s">
        <v>19</v>
      </c>
      <c r="K6" s="4" t="s">
        <v>20</v>
      </c>
      <c r="L6" s="4" t="s">
        <v>21</v>
      </c>
      <c r="M6" s="4" t="s">
        <v>22</v>
      </c>
      <c r="N6" s="5" t="s">
        <v>23</v>
      </c>
    </row>
    <row r="7" spans="1:14" x14ac:dyDescent="0.25">
      <c r="A7" s="6" t="s">
        <v>24</v>
      </c>
      <c r="B7" s="10">
        <f>SUMIFS('Controle de Transferências'!D$5:D$54,'Controle de Transferências'!F$5:F$54,1,'Controle de Transferências'!B$5:B$54,Painel!A7)</f>
        <v>0</v>
      </c>
      <c r="C7" s="10">
        <f>SUMIFS('Controle de Transferências'!D$5:D$54,'Controle de Transferências'!F$5:F$54,2,'Controle de Transferências'!B$5:B$54,Painel!A7)</f>
        <v>0</v>
      </c>
      <c r="D7" s="10">
        <f>SUMIFS('Controle de Transferências'!D$5:D$54,'Controle de Transferências'!F$5:F$54,3,'Controle de Transferências'!B$5:B$54,Painel!A7)</f>
        <v>0</v>
      </c>
      <c r="E7" s="10">
        <f>SUMIFS('Controle de Transferências'!D$5:D$54,'Controle de Transferências'!F$5:F$54,4,'Controle de Transferências'!B$5:B$54,Painel!A7)</f>
        <v>0</v>
      </c>
      <c r="F7" s="10">
        <f>SUMIFS('Controle de Transferências'!D$5:D$54,'Controle de Transferências'!F$5:F$54,5,'Controle de Transferências'!B$5:B$54,Painel!A7)</f>
        <v>0</v>
      </c>
      <c r="G7" s="10">
        <f>SUMIFS('Controle de Transferências'!D$5:D$54,'Controle de Transferências'!F$5:F$54,6,'Controle de Transferências'!B$5:B$54,Painel!A7)</f>
        <v>0</v>
      </c>
      <c r="H7" s="10">
        <f>SUMIFS('Controle de Transferências'!D$5:D$54,'Controle de Transferências'!F$5:F$54,7,'Controle de Transferências'!B$5:B$54,Painel!A7)</f>
        <v>0</v>
      </c>
      <c r="I7" s="10">
        <f>SUMIFS('Controle de Transferências'!D$5:D$54,'Controle de Transferências'!F$5:F$54,8,'Controle de Transferências'!B$5:B$54,Painel!A7)</f>
        <v>0</v>
      </c>
      <c r="J7" s="10">
        <f>SUMIFS('Controle de Transferências'!D$5:D$54,'Controle de Transferências'!F$5:F$54,9,'Controle de Transferências'!B$5:B$54,Painel!A7)</f>
        <v>0</v>
      </c>
      <c r="K7" s="10">
        <f>SUMIFS('Controle de Transferências'!D$5:D$54,'Controle de Transferências'!F$5:F$54,10,'Controle de Transferências'!B$5:B$54,Painel!A7)</f>
        <v>0</v>
      </c>
      <c r="L7" s="10">
        <f>SUMIFS('Controle de Transferências'!D$5:D$54,'Controle de Transferências'!F$5:F$54,11,'Controle de Transferências'!B$5:B$54,Painel!A7)</f>
        <v>0</v>
      </c>
      <c r="M7" s="10">
        <f>SUMIFS('Controle de Transferências'!D$5:D$54,'Controle de Transferências'!F$5:F$54,12,'Controle de Transferências'!B$5:B$54,Painel!A7)</f>
        <v>0</v>
      </c>
      <c r="N7" s="11">
        <f>SUM(B7:M7)</f>
        <v>0</v>
      </c>
    </row>
    <row r="8" spans="1:14" x14ac:dyDescent="0.25">
      <c r="A8" s="7" t="s">
        <v>25</v>
      </c>
      <c r="B8" s="10">
        <f>SUMIFS('Controle de Transferências'!D$5:D$54,'Controle de Transferências'!F$5:F$54,1,'Controle de Transferências'!B$5:B$54,Painel!A8)</f>
        <v>0</v>
      </c>
      <c r="C8" s="10">
        <f>SUMIFS('Controle de Transferências'!D$5:D$54,'Controle de Transferências'!F$5:F$54,2,'Controle de Transferências'!B$5:B$54,Painel!A9)</f>
        <v>0</v>
      </c>
      <c r="D8" s="10">
        <f>SUMIFS('Controle de Transferências'!D$5:D$54,'Controle de Transferências'!F$5:F$54,3,'Controle de Transferências'!B$5:B$54,Painel!A10)</f>
        <v>0</v>
      </c>
      <c r="E8" s="10">
        <f>SUMIFS('Controle de Transferências'!D$5:D$54,'Controle de Transferências'!F$5:F$54,4,'Controle de Transferências'!B$5:B$54,Painel!A10)</f>
        <v>0</v>
      </c>
      <c r="F8" s="10">
        <f>SUMIFS('Controle de Transferências'!D$5:D$54,'Controle de Transferências'!F$5:F$54,5,'Controle de Transferências'!B$5:B$54,Painel!A8)</f>
        <v>0</v>
      </c>
      <c r="G8" s="10">
        <f>SUMIFS('Controle de Transferências'!D$5:D$54,'Controle de Transferências'!F$5:F$54,6,'Controle de Transferências'!B$5:B$54,Painel!A8)</f>
        <v>0</v>
      </c>
      <c r="H8" s="10">
        <f>SUMIFS('Controle de Transferências'!D$5:D$54,'Controle de Transferências'!F$5:F$54,7,'Controle de Transferências'!B$5:B$54,Painel!A8)</f>
        <v>0</v>
      </c>
      <c r="I8" s="10">
        <f>SUMIFS('Controle de Transferências'!D$5:D$54,'Controle de Transferências'!F$5:F$54,8,'Controle de Transferências'!B$5:B$54,Painel!A8)</f>
        <v>0</v>
      </c>
      <c r="J8" s="10">
        <f>SUMIFS('Controle de Transferências'!D$5:D$54,'Controle de Transferências'!F$5:F$54,9,'Controle de Transferências'!B$5:B$54,Painel!A8)</f>
        <v>0</v>
      </c>
      <c r="K8" s="10">
        <f>SUMIFS('Controle de Transferências'!D$5:D$54,'Controle de Transferências'!F$5:F$54,10,'Controle de Transferências'!B$5:B$54,Painel!A8)</f>
        <v>0</v>
      </c>
      <c r="L8" s="10">
        <f>SUMIFS('Controle de Transferências'!D$5:D$54,'Controle de Transferências'!F$5:F$54,11,'Controle de Transferências'!B$5:B$54,Painel!A8)</f>
        <v>0</v>
      </c>
      <c r="M8" s="10">
        <f>SUMIFS('Controle de Transferências'!D$5:D$54,'Controle de Transferências'!F$5:F$54,12,'Controle de Transferências'!B$5:B$54,Painel!A8)</f>
        <v>0</v>
      </c>
      <c r="N8" s="11">
        <f>SUM(B8:M8)</f>
        <v>0</v>
      </c>
    </row>
    <row r="9" spans="1:14" x14ac:dyDescent="0.25">
      <c r="A9" s="6" t="s">
        <v>7</v>
      </c>
      <c r="B9" s="10">
        <f>SUMIFS('Controle de Transferências'!D$5:D$54,'Controle de Transferências'!F$5:F$54,1,'Controle de Transferências'!B$5:B$54,Painel!A9)</f>
        <v>0</v>
      </c>
      <c r="C9" s="10">
        <f>SUMIFS('Controle de Transferências'!D$5:D$54,'Controle de Transferências'!F$5:F$54,2,'Controle de Transferências'!B$5:B$54,Painel!A10)</f>
        <v>0</v>
      </c>
      <c r="D9" s="10">
        <f>SUMIFS('Controle de Transferências'!D$5:D$54,'Controle de Transferências'!F$5:F$54,3,'Controle de Transferências'!B$5:B$54,Painel!A11)</f>
        <v>0</v>
      </c>
      <c r="E9" s="10">
        <f>SUMIFS('Controle de Transferências'!D$5:D$54,'Controle de Transferências'!F$5:F$54,4,'Controle de Transferências'!B$5:B$54,Painel!A11)</f>
        <v>0</v>
      </c>
      <c r="F9" s="10">
        <f>SUMIFS('Controle de Transferências'!D$5:D$54,'Controle de Transferências'!F$5:F$54,5,'Controle de Transferências'!B$5:B$54,Painel!A9)</f>
        <v>0</v>
      </c>
      <c r="G9" s="10">
        <f>SUMIFS('Controle de Transferências'!D$5:D$54,'Controle de Transferências'!F$5:F$54,6,'Controle de Transferências'!B$5:B$54,Painel!A9)</f>
        <v>0</v>
      </c>
      <c r="H9" s="10">
        <f>SUMIFS('Controle de Transferências'!D$5:D$54,'Controle de Transferências'!F$5:F$54,7,'Controle de Transferências'!B$5:B$54,Painel!A9)</f>
        <v>0</v>
      </c>
      <c r="I9" s="10">
        <f>SUMIFS('Controle de Transferências'!D$5:D$54,'Controle de Transferências'!F$5:F$54,8,'Controle de Transferências'!B$5:B$54,Painel!A9)</f>
        <v>0</v>
      </c>
      <c r="J9" s="10">
        <f>SUMIFS('Controle de Transferências'!D$5:D$54,'Controle de Transferências'!F$5:F$54,9,'Controle de Transferências'!B$5:B$54,Painel!A9)</f>
        <v>0</v>
      </c>
      <c r="K9" s="10">
        <f>SUMIFS('Controle de Transferências'!D$5:D$54,'Controle de Transferências'!F$5:F$54,10,'Controle de Transferências'!B$5:B$54,Painel!A9)</f>
        <v>0</v>
      </c>
      <c r="L9" s="10">
        <f>SUMIFS('Controle de Transferências'!D$5:D$54,'Controle de Transferências'!F$5:F$54,11,'Controle de Transferências'!B$5:B$54,Painel!A9)</f>
        <v>0</v>
      </c>
      <c r="M9" s="10">
        <f>SUMIFS('Controle de Transferências'!D$5:D$54,'Controle de Transferências'!F$5:F$54,12,'Controle de Transferências'!B$5:B$54,Painel!A9)</f>
        <v>0</v>
      </c>
      <c r="N9" s="11">
        <f t="shared" ref="N9:N12" si="0">SUM(B9:M9)</f>
        <v>0</v>
      </c>
    </row>
    <row r="10" spans="1:14" x14ac:dyDescent="0.25">
      <c r="A10" s="7" t="s">
        <v>26</v>
      </c>
      <c r="B10" s="10">
        <f>SUMIFS('Controle de Transferências'!D$5:D$54,'Controle de Transferências'!F$5:F$54,1,'Controle de Transferências'!B$5:B$54,Painel!A10)</f>
        <v>0</v>
      </c>
      <c r="C10" s="10">
        <f>SUMIFS('Controle de Transferências'!D$5:D$54,'Controle de Transferências'!F$5:F$54,2,'Controle de Transferências'!B$5:B$54,Painel!A11)</f>
        <v>0</v>
      </c>
      <c r="D10" s="10">
        <f>SUMIFS('Controle de Transferências'!D$5:D$54,'Controle de Transferências'!F$5:F$54,3,'Controle de Transferências'!B$5:B$54,Painel!A12)</f>
        <v>0</v>
      </c>
      <c r="E10" s="10">
        <f>SUMIFS('Controle de Transferências'!D$5:D$54,'Controle de Transferências'!F$5:F$54,4,'Controle de Transferências'!B$5:B$54,Painel!A12)</f>
        <v>0</v>
      </c>
      <c r="F10" s="10">
        <f>SUMIFS('Controle de Transferências'!D$5:D$54,'Controle de Transferências'!F$5:F$54,5,'Controle de Transferências'!B$5:B$54,Painel!A10)</f>
        <v>0</v>
      </c>
      <c r="G10" s="10">
        <f>SUMIFS('Controle de Transferências'!D$5:D$54,'Controle de Transferências'!F$5:F$54,6,'Controle de Transferências'!B$5:B$54,Painel!A10)</f>
        <v>0</v>
      </c>
      <c r="H10" s="10">
        <f>SUMIFS('Controle de Transferências'!D$5:D$54,'Controle de Transferências'!F$5:F$54,7,'Controle de Transferências'!B$5:B$54,Painel!A10)</f>
        <v>0</v>
      </c>
      <c r="I10" s="10">
        <f>SUMIFS('Controle de Transferências'!D$5:D$54,'Controle de Transferências'!F$5:F$54,8,'Controle de Transferências'!B$5:B$54,Painel!A10)</f>
        <v>0</v>
      </c>
      <c r="J10" s="10">
        <f>SUMIFS('Controle de Transferências'!D$5:D$54,'Controle de Transferências'!F$5:F$54,9,'Controle de Transferências'!B$5:B$54,Painel!A10)</f>
        <v>0</v>
      </c>
      <c r="K10" s="10">
        <f>SUMIFS('Controle de Transferências'!D$5:D$54,'Controle de Transferências'!F$5:F$54,10,'Controle de Transferências'!B$5:B$54,Painel!A10)</f>
        <v>0</v>
      </c>
      <c r="L10" s="10">
        <f>SUMIFS('Controle de Transferências'!D$5:D$54,'Controle de Transferências'!F$5:F$54,11,'Controle de Transferências'!B$5:B$54,Painel!A10)</f>
        <v>0</v>
      </c>
      <c r="M10" s="10">
        <f>SUMIFS('Controle de Transferências'!D$5:D$54,'Controle de Transferências'!F$5:F$54,12,'Controle de Transferências'!B$5:B$54,Painel!A10)</f>
        <v>0</v>
      </c>
      <c r="N10" s="11">
        <f t="shared" si="0"/>
        <v>0</v>
      </c>
    </row>
    <row r="11" spans="1:14" x14ac:dyDescent="0.25">
      <c r="A11" s="6" t="s">
        <v>27</v>
      </c>
      <c r="B11" s="10">
        <f>SUMIFS('Controle de Transferências'!D$5:D$54,'Controle de Transferências'!F$5:F$54,1,'Controle de Transferências'!B$5:B$54,Painel!A11)</f>
        <v>0</v>
      </c>
      <c r="C11" s="10">
        <f>SUMIFS('Controle de Transferências'!D$5:D$54,'Controle de Transferências'!F$5:F$54,2,'Controle de Transferências'!B$5:B$54,Painel!A12)</f>
        <v>0</v>
      </c>
      <c r="D11" s="10">
        <f>SUMIFS('Controle de Transferências'!D$5:D$54,'Controle de Transferências'!F$5:F$54,3,'Controle de Transferências'!B$5:B$54,Painel!A13)</f>
        <v>0</v>
      </c>
      <c r="E11" s="10">
        <f>SUMIFS('Controle de Transferências'!D$5:D$54,'Controle de Transferências'!F$5:F$54,4,'Controle de Transferências'!B$5:B$54,Painel!A13)</f>
        <v>0</v>
      </c>
      <c r="F11" s="10">
        <f>SUMIFS('Controle de Transferências'!D$5:D$54,'Controle de Transferências'!F$5:F$54,5,'Controle de Transferências'!B$5:B$54,Painel!A11)</f>
        <v>0</v>
      </c>
      <c r="G11" s="10">
        <f>SUMIFS('Controle de Transferências'!D$5:D$54,'Controle de Transferências'!F$5:F$54,6,'Controle de Transferências'!B$5:B$54,Painel!A11)</f>
        <v>0</v>
      </c>
      <c r="H11" s="10">
        <f>SUMIFS('Controle de Transferências'!D$5:D$54,'Controle de Transferências'!F$5:F$54,7,'Controle de Transferências'!B$5:B$54,Painel!A11)</f>
        <v>0</v>
      </c>
      <c r="I11" s="10">
        <f>SUMIFS('Controle de Transferências'!D$5:D$54,'Controle de Transferências'!F$5:F$54,8,'Controle de Transferências'!B$5:B$54,Painel!A11)</f>
        <v>0</v>
      </c>
      <c r="J11" s="10">
        <f>SUMIFS('Controle de Transferências'!D$5:D$54,'Controle de Transferências'!F$5:F$54,9,'Controle de Transferências'!B$5:B$54,Painel!A11)</f>
        <v>0</v>
      </c>
      <c r="K11" s="10">
        <f>SUMIFS('Controle de Transferências'!D$5:D$54,'Controle de Transferências'!F$5:F$54,10,'Controle de Transferências'!B$5:B$54,Painel!A11)</f>
        <v>0</v>
      </c>
      <c r="L11" s="10">
        <f>SUMIFS('Controle de Transferências'!D$5:D$54,'Controle de Transferências'!F$5:F$54,11,'Controle de Transferências'!B$5:B$54,Painel!A11)</f>
        <v>0</v>
      </c>
      <c r="M11" s="10">
        <f>SUMIFS('Controle de Transferências'!D$5:D$54,'Controle de Transferências'!F$5:F$54,12,'Controle de Transferências'!B$5:B$54,Painel!A11)</f>
        <v>0</v>
      </c>
      <c r="N11" s="11">
        <f t="shared" si="0"/>
        <v>0</v>
      </c>
    </row>
    <row r="12" spans="1:14" x14ac:dyDescent="0.25">
      <c r="A12" s="7" t="s">
        <v>28</v>
      </c>
      <c r="B12" s="10">
        <f>SUMIFS('Controle de Transferências'!D$5:D$54,'Controle de Transferências'!F$5:F$54,1,'Controle de Transferências'!B$5:B$54,Painel!A12)</f>
        <v>0</v>
      </c>
      <c r="C12" s="10">
        <f>SUMIFS('Controle de Transferências'!D$5:D$54,'Controle de Transferências'!F$5:F$54,2,'Controle de Transferências'!B$5:B$54,Painel!A13)</f>
        <v>0</v>
      </c>
      <c r="D12" s="10">
        <f>SUMIFS('Controle de Transferências'!D$5:D$54,'Controle de Transferências'!F$5:F$54,3,'Controle de Transferências'!B$5:B$54,Painel!A14)</f>
        <v>0</v>
      </c>
      <c r="E12" s="10">
        <f>SUMIFS('Controle de Transferências'!D$5:D$54,'Controle de Transferências'!F$5:F$54,4,'Controle de Transferências'!B$5:B$54,Painel!A14)</f>
        <v>0</v>
      </c>
      <c r="F12" s="10">
        <f>SUMIFS('Controle de Transferências'!D$5:D$54,'Controle de Transferências'!F$5:F$54,5,'Controle de Transferências'!B$5:B$54,Painel!A12)</f>
        <v>0</v>
      </c>
      <c r="G12" s="10">
        <f>SUMIFS('Controle de Transferências'!D$5:D$54,'Controle de Transferências'!F$5:F$54,6,'Controle de Transferências'!B$5:B$54,Painel!A12)</f>
        <v>0</v>
      </c>
      <c r="H12" s="10">
        <f>SUMIFS('Controle de Transferências'!D$5:D$54,'Controle de Transferências'!F$5:F$54,7,'Controle de Transferências'!B$5:B$54,Painel!A12)</f>
        <v>0</v>
      </c>
      <c r="I12" s="10">
        <f>SUMIFS('Controle de Transferências'!D$5:D$54,'Controle de Transferências'!F$5:F$54,8,'Controle de Transferências'!B$5:B$54,Painel!A12)</f>
        <v>0</v>
      </c>
      <c r="J12" s="10">
        <f>SUMIFS('Controle de Transferências'!D$5:D$54,'Controle de Transferências'!F$5:F$54,9,'Controle de Transferências'!B$5:B$54,Painel!A12)</f>
        <v>0</v>
      </c>
      <c r="K12" s="10">
        <f>SUMIFS('Controle de Transferências'!D$5:D$54,'Controle de Transferências'!F$5:F$54,10,'Controle de Transferências'!B$5:B$54,Painel!A12)</f>
        <v>0</v>
      </c>
      <c r="L12" s="10">
        <f>SUMIFS('Controle de Transferências'!D$5:D$54,'Controle de Transferências'!F$5:F$54,11,'Controle de Transferências'!B$5:B$54,Painel!A12)</f>
        <v>0</v>
      </c>
      <c r="M12" s="10">
        <f>SUMIFS('Controle de Transferências'!D$5:D$54,'Controle de Transferências'!F$5:F$54,12,'Controle de Transferências'!B$5:B$54,Painel!A12)</f>
        <v>0</v>
      </c>
      <c r="N12" s="11">
        <f t="shared" si="0"/>
        <v>0</v>
      </c>
    </row>
    <row r="13" spans="1:14" ht="15.75" thickBot="1" x14ac:dyDescent="0.3">
      <c r="A13" s="8" t="s">
        <v>8</v>
      </c>
      <c r="B13" s="10">
        <f>SUMIFS('Controle de Transferências'!D$5:D$54,'Controle de Transferências'!F$5:F$54,1,'Controle de Transferências'!B$5:B$54,Painel!A13)</f>
        <v>0</v>
      </c>
      <c r="C13" s="10">
        <f>SUMIFS('Controle de Transferências'!D$5:D$54,'Controle de Transferências'!F$5:F$54,2,'Controle de Transferências'!B$5:B$54,Painel!A14)</f>
        <v>0</v>
      </c>
      <c r="D13" s="10">
        <f>SUMIFS('Controle de Transferências'!D$5:D$54,'Controle de Transferências'!F$5:F$54,3,'Controle de Transferências'!B$5:B$54,Painel!A15)</f>
        <v>0</v>
      </c>
      <c r="E13" s="10">
        <f>SUMIFS('Controle de Transferências'!D$5:D$54,'Controle de Transferências'!F$5:F$54,4,'Controle de Transferências'!B$5:B$54,Painel!A12)</f>
        <v>0</v>
      </c>
      <c r="F13" s="10">
        <f>SUMIFS('Controle de Transferências'!D$5:D$54,'Controle de Transferências'!F$5:F$54,5,'Controle de Transferências'!B$5:B$54,Painel!A13)</f>
        <v>0</v>
      </c>
      <c r="G13" s="10">
        <f>SUMIFS('Controle de Transferências'!D$5:D$54,'Controle de Transferências'!F$5:F$54,6,'Controle de Transferências'!B$5:B$54,Painel!A13)</f>
        <v>0</v>
      </c>
      <c r="H13" s="10">
        <f>SUMIFS('Controle de Transferências'!D$5:D$54,'Controle de Transferências'!F$5:F$54,7,'Controle de Transferências'!B$5:B$54,Painel!A13)</f>
        <v>0</v>
      </c>
      <c r="I13" s="10">
        <f>SUMIFS('Controle de Transferências'!D$5:D$54,'Controle de Transferências'!F$5:F$54,8,'Controle de Transferências'!B$5:B$54,Painel!A13)</f>
        <v>0</v>
      </c>
      <c r="J13" s="10">
        <f>SUMIFS('Controle de Transferências'!D$5:D$54,'Controle de Transferências'!F$5:F$54,9,'Controle de Transferências'!B$5:B$54,Painel!A13)</f>
        <v>0</v>
      </c>
      <c r="K13" s="10">
        <f>SUMIFS('Controle de Transferências'!D$5:D$54,'Controle de Transferências'!F$5:F$54,10,'Controle de Transferências'!B$5:B$54,Painel!A13)</f>
        <v>0</v>
      </c>
      <c r="L13" s="10">
        <f>SUMIFS('Controle de Transferências'!D$5:D$54,'Controle de Transferências'!F$5:F$54,11,'Controle de Transferências'!B$5:B$54,Painel!A13)</f>
        <v>0</v>
      </c>
      <c r="M13" s="10">
        <f>SUMIFS('Controle de Transferências'!D$5:D$54,'Controle de Transferências'!F$5:F$54,12,'Controle de Transferências'!B$5:B$54,Painel!A13)</f>
        <v>0</v>
      </c>
      <c r="N13" s="11">
        <f>SUM(B13:M13)</f>
        <v>0</v>
      </c>
    </row>
    <row r="14" spans="1:14" ht="15.75" thickBot="1" x14ac:dyDescent="0.3">
      <c r="A14" s="9" t="s">
        <v>23</v>
      </c>
      <c r="B14" s="12">
        <f>SUM(B7:B13)</f>
        <v>0</v>
      </c>
      <c r="C14" s="12">
        <f t="shared" ref="C14:M14" si="1">SUM(C7:C13)</f>
        <v>0</v>
      </c>
      <c r="D14" s="12">
        <f t="shared" si="1"/>
        <v>0</v>
      </c>
      <c r="E14" s="12">
        <f t="shared" si="1"/>
        <v>0</v>
      </c>
      <c r="F14" s="12">
        <f t="shared" si="1"/>
        <v>0</v>
      </c>
      <c r="G14" s="12">
        <f t="shared" si="1"/>
        <v>0</v>
      </c>
      <c r="H14" s="12">
        <f t="shared" si="1"/>
        <v>0</v>
      </c>
      <c r="I14" s="12">
        <f t="shared" si="1"/>
        <v>0</v>
      </c>
      <c r="J14" s="12">
        <f t="shared" si="1"/>
        <v>0</v>
      </c>
      <c r="K14" s="12">
        <f t="shared" si="1"/>
        <v>0</v>
      </c>
      <c r="L14" s="12">
        <f t="shared" si="1"/>
        <v>0</v>
      </c>
      <c r="M14" s="12">
        <f t="shared" si="1"/>
        <v>0</v>
      </c>
      <c r="N14" s="13">
        <f>SUM(B14:M14)</f>
        <v>0</v>
      </c>
    </row>
    <row r="16" spans="1:14" ht="15.75" thickBot="1" x14ac:dyDescent="0.3">
      <c r="A16" s="30" t="s">
        <v>29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</row>
    <row r="17" spans="1:14" x14ac:dyDescent="0.25">
      <c r="A17" s="23" t="s">
        <v>10</v>
      </c>
      <c r="B17" s="25" t="s">
        <v>9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6"/>
    </row>
    <row r="18" spans="1:14" x14ac:dyDescent="0.25">
      <c r="A18" s="24"/>
      <c r="B18" s="4" t="s">
        <v>11</v>
      </c>
      <c r="C18" s="4" t="s">
        <v>12</v>
      </c>
      <c r="D18" s="4" t="s">
        <v>13</v>
      </c>
      <c r="E18" s="4" t="s">
        <v>14</v>
      </c>
      <c r="F18" s="4" t="s">
        <v>15</v>
      </c>
      <c r="G18" s="4" t="s">
        <v>16</v>
      </c>
      <c r="H18" s="4" t="s">
        <v>17</v>
      </c>
      <c r="I18" s="4" t="s">
        <v>18</v>
      </c>
      <c r="J18" s="4" t="s">
        <v>19</v>
      </c>
      <c r="K18" s="4" t="s">
        <v>20</v>
      </c>
      <c r="L18" s="4" t="s">
        <v>21</v>
      </c>
      <c r="M18" s="4" t="s">
        <v>22</v>
      </c>
      <c r="N18" s="5" t="s">
        <v>23</v>
      </c>
    </row>
    <row r="19" spans="1:14" x14ac:dyDescent="0.25">
      <c r="A19" s="6" t="s">
        <v>24</v>
      </c>
      <c r="B19" s="10">
        <f>SUMIFS('Controle de Transferências'!D$5:D$54,'Controle de Transferências'!F$5:F$54,1,'Controle de Transferências'!C$5:C$54,Painel!A19)</f>
        <v>0</v>
      </c>
      <c r="C19" s="10">
        <f>SUMIFS('Controle de Transferências'!D$5:D$54,'Controle de Transferências'!F$5:F$54,2,'Controle de Transferências'!C$5:C$54,Painel!A19)</f>
        <v>0</v>
      </c>
      <c r="D19" s="10">
        <f>SUMIFS('Controle de Transferências'!D$5:D$54,'Controle de Transferências'!F$5:F$54,3,'Controle de Transferências'!C$5:C$54,Painel!A19)</f>
        <v>0</v>
      </c>
      <c r="E19" s="10">
        <f>SUMIFS('Controle de Transferências'!D$5:D$54,'Controle de Transferências'!F$5:F$54,4,'Controle de Transferências'!C$5:C$54,Painel!A19)</f>
        <v>0</v>
      </c>
      <c r="F19" s="10">
        <f>SUMIFS('Controle de Transferências'!D$5:D$54,'Controle de Transferências'!F$5:F$54,5,'Controle de Transferências'!C$5:C$54,Painel!A19)</f>
        <v>0</v>
      </c>
      <c r="G19" s="10">
        <f>SUMIFS('Controle de Transferências'!D$5:D$54,'Controle de Transferências'!F$5:F$54,6,'Controle de Transferências'!C$5:C$54,Painel!A19)</f>
        <v>0</v>
      </c>
      <c r="H19" s="10">
        <f>SUMIFS('Controle de Transferências'!D$5:D$54,'Controle de Transferências'!F$5:F$54,7,'Controle de Transferências'!C$5:C$54,Painel!A19)</f>
        <v>0</v>
      </c>
      <c r="I19" s="10">
        <f>SUMIFS('Controle de Transferências'!D$5:D$54,'Controle de Transferências'!F$5:F$54,8,'Controle de Transferências'!C$5:C$54,Painel!A19)</f>
        <v>0</v>
      </c>
      <c r="J19" s="10">
        <f>SUMIFS('Controle de Transferências'!D$5:D$54,'Controle de Transferências'!F$5:F$54,9,'Controle de Transferências'!C$5:C$54,Painel!A19)</f>
        <v>0</v>
      </c>
      <c r="K19" s="10">
        <f>SUMIFS('Controle de Transferências'!D$5:D$54,'Controle de Transferências'!F$5:F$54,10,'Controle de Transferências'!C$5:C$54,Painel!A19)</f>
        <v>0</v>
      </c>
      <c r="L19" s="10">
        <f>SUMIFS('Controle de Transferências'!D$5:D$54,'Controle de Transferências'!F$5:F$54,11,'Controle de Transferências'!C$5:C$54,Painel!A19)</f>
        <v>0</v>
      </c>
      <c r="M19" s="10">
        <f>SUMIFS('Controle de Transferências'!D$5:D$54,'Controle de Transferências'!F$5:F$54,12,'Controle de Transferências'!C$5:C$54,Painel!A19)</f>
        <v>0</v>
      </c>
      <c r="N19" s="11">
        <f>SUM(B19:M19)</f>
        <v>0</v>
      </c>
    </row>
    <row r="20" spans="1:14" x14ac:dyDescent="0.25">
      <c r="A20" s="7" t="s">
        <v>25</v>
      </c>
      <c r="B20" s="10">
        <f>SUMIFS('Controle de Transferências'!D$5:D$54,'Controle de Transferências'!F$5:F$54,1,'Controle de Transferências'!C$5:C$54,Painel!A20)</f>
        <v>0</v>
      </c>
      <c r="C20" s="10">
        <f>SUMIFS('Controle de Transferências'!D$5:D$54,'Controle de Transferências'!F$5:F$54,2,'Controle de Transferências'!C$5:C$54,Painel!A20)</f>
        <v>0</v>
      </c>
      <c r="D20" s="10">
        <f>SUMIFS('Controle de Transferências'!D$5:D$54,'Controle de Transferências'!F$5:F$54,3,'Controle de Transferências'!C$5:C$54,Painel!A20)</f>
        <v>0</v>
      </c>
      <c r="E20" s="10">
        <f>SUMIFS('Controle de Transferências'!D$5:D$54,'Controle de Transferências'!F$5:F$54,4,'Controle de Transferências'!C$5:C$54,Painel!A20)</f>
        <v>0</v>
      </c>
      <c r="F20" s="10">
        <f>SUMIFS('Controle de Transferências'!D$5:D$54,'Controle de Transferências'!F$5:F$54,5,'Controle de Transferências'!C$5:C$54,Painel!A20)</f>
        <v>0</v>
      </c>
      <c r="G20" s="10">
        <f>SUMIFS('Controle de Transferências'!D$5:D$54,'Controle de Transferências'!F$5:F$54,6,'Controle de Transferências'!C$5:C$54,Painel!A20)</f>
        <v>0</v>
      </c>
      <c r="H20" s="10">
        <f>SUMIFS('Controle de Transferências'!D$5:D$54,'Controle de Transferências'!F$5:F$54,7,'Controle de Transferências'!C$5:C$54,Painel!A20)</f>
        <v>0</v>
      </c>
      <c r="I20" s="10">
        <f>SUMIFS('Controle de Transferências'!D$5:D$54,'Controle de Transferências'!F$5:F$54,8,'Controle de Transferências'!C$5:C$54,Painel!A20)</f>
        <v>0</v>
      </c>
      <c r="J20" s="10">
        <f>SUMIFS('Controle de Transferências'!D$5:D$54,'Controle de Transferências'!F$5:F$54,9,'Controle de Transferências'!C$5:C$54,Painel!A20)</f>
        <v>0</v>
      </c>
      <c r="K20" s="10">
        <f>SUMIFS('Controle de Transferências'!D$5:D$54,'Controle de Transferências'!F$5:F$54,10,'Controle de Transferências'!C$5:C$54,Painel!A20)</f>
        <v>0</v>
      </c>
      <c r="L20" s="10">
        <f>SUMIFS('Controle de Transferências'!D$5:D$54,'Controle de Transferências'!F$5:F$54,11,'Controle de Transferências'!C$5:C$54,Painel!A20)</f>
        <v>0</v>
      </c>
      <c r="M20" s="10">
        <f>SUMIFS('Controle de Transferências'!D$5:D$54,'Controle de Transferências'!F$5:F$54,12,'Controle de Transferências'!C$5:C$54,Painel!A20)</f>
        <v>0</v>
      </c>
      <c r="N20" s="11">
        <f>SUM(B20:M20)</f>
        <v>0</v>
      </c>
    </row>
    <row r="21" spans="1:14" x14ac:dyDescent="0.25">
      <c r="A21" s="6" t="s">
        <v>7</v>
      </c>
      <c r="B21" s="10">
        <f>SUMIFS('Controle de Transferências'!D$5:D$54,'Controle de Transferências'!F$5:F$54,1,'Controle de Transferências'!C$5:C$54,Painel!A21)</f>
        <v>0</v>
      </c>
      <c r="C21" s="10">
        <f>SUMIFS('Controle de Transferências'!D$5:D$54,'Controle de Transferências'!F$5:F$54,2,'Controle de Transferências'!C$5:C$54,Painel!A21)</f>
        <v>0</v>
      </c>
      <c r="D21" s="10">
        <f>SUMIFS('Controle de Transferências'!D$5:D$54,'Controle de Transferências'!F$5:F$54,3,'Controle de Transferências'!C$5:C$54,Painel!A21)</f>
        <v>0</v>
      </c>
      <c r="E21" s="10">
        <f>SUMIFS('Controle de Transferências'!D$5:D$54,'Controle de Transferências'!F$5:F$54,4,'Controle de Transferências'!C$5:C$54,Painel!A21)</f>
        <v>0</v>
      </c>
      <c r="F21" s="10">
        <f>SUMIFS('Controle de Transferências'!D$5:D$54,'Controle de Transferências'!F$5:F$54,5,'Controle de Transferências'!C$5:C$54,Painel!A21)</f>
        <v>0</v>
      </c>
      <c r="G21" s="10">
        <f>SUMIFS('Controle de Transferências'!D$5:D$54,'Controle de Transferências'!F$5:F$54,6,'Controle de Transferências'!C$5:C$54,Painel!A21)</f>
        <v>0</v>
      </c>
      <c r="H21" s="10">
        <f>SUMIFS('Controle de Transferências'!D$5:D$54,'Controle de Transferências'!F$5:F$54,7,'Controle de Transferências'!C$5:C$54,Painel!A21)</f>
        <v>0</v>
      </c>
      <c r="I21" s="10">
        <f>SUMIFS('Controle de Transferências'!D$5:D$54,'Controle de Transferências'!F$5:F$54,8,'Controle de Transferências'!C$5:C$54,Painel!A21)</f>
        <v>0</v>
      </c>
      <c r="J21" s="10">
        <f>SUMIFS('Controle de Transferências'!D$5:D$54,'Controle de Transferências'!F$5:F$54,9,'Controle de Transferências'!C$5:C$54,Painel!A21)</f>
        <v>0</v>
      </c>
      <c r="K21" s="10">
        <f>SUMIFS('Controle de Transferências'!D$5:D$54,'Controle de Transferências'!F$5:F$54,10,'Controle de Transferências'!C$5:C$54,Painel!A21)</f>
        <v>0</v>
      </c>
      <c r="L21" s="10">
        <f>SUMIFS('Controle de Transferências'!D$5:D$54,'Controle de Transferências'!F$5:F$54,11,'Controle de Transferências'!C$5:C$54,Painel!A21)</f>
        <v>0</v>
      </c>
      <c r="M21" s="10">
        <f>SUMIFS('Controle de Transferências'!D$5:D$54,'Controle de Transferências'!F$5:F$54,12,'Controle de Transferências'!C$5:C$54,Painel!A21)</f>
        <v>0</v>
      </c>
      <c r="N21" s="11">
        <f t="shared" ref="N21:N24" si="2">SUM(B21:M21)</f>
        <v>0</v>
      </c>
    </row>
    <row r="22" spans="1:14" x14ac:dyDescent="0.25">
      <c r="A22" s="7" t="s">
        <v>26</v>
      </c>
      <c r="B22" s="10">
        <f>SUMIFS('Controle de Transferências'!D$5:D$54,'Controle de Transferências'!F$5:F$54,1,'Controle de Transferências'!C$5:C$54,Painel!A22)</f>
        <v>0</v>
      </c>
      <c r="C22" s="10">
        <f>SUMIFS('Controle de Transferências'!D$5:D$54,'Controle de Transferências'!F$5:F$54,2,'Controle de Transferências'!C$5:C$54,Painel!A22)</f>
        <v>0</v>
      </c>
      <c r="D22" s="10">
        <f>SUMIFS('Controle de Transferências'!D$5:D$54,'Controle de Transferências'!F$5:F$54,3,'Controle de Transferências'!C$5:C$54,Painel!A22)</f>
        <v>0</v>
      </c>
      <c r="E22" s="10">
        <f>SUMIFS('Controle de Transferências'!D$5:D$54,'Controle de Transferências'!F$5:F$54,4,'Controle de Transferências'!C$5:C$54,Painel!A22)</f>
        <v>0</v>
      </c>
      <c r="F22" s="10">
        <f>SUMIFS('Controle de Transferências'!D$5:D$54,'Controle de Transferências'!F$5:F$54,5,'Controle de Transferências'!C$5:C$54,Painel!A22)</f>
        <v>0</v>
      </c>
      <c r="G22" s="10">
        <f>SUMIFS('Controle de Transferências'!D$5:D$54,'Controle de Transferências'!F$5:F$54,6,'Controle de Transferências'!C$5:C$54,Painel!A22)</f>
        <v>0</v>
      </c>
      <c r="H22" s="10">
        <f>SUMIFS('Controle de Transferências'!D$5:D$54,'Controle de Transferências'!F$5:F$54,7,'Controle de Transferências'!C$5:C$54,Painel!A22)</f>
        <v>0</v>
      </c>
      <c r="I22" s="10">
        <f>SUMIFS('Controle de Transferências'!D$5:D$54,'Controle de Transferências'!F$5:F$54,8,'Controle de Transferências'!C$5:C$54,Painel!A22)</f>
        <v>0</v>
      </c>
      <c r="J22" s="10">
        <f>SUMIFS('Controle de Transferências'!D$5:D$54,'Controle de Transferências'!F$5:F$54,9,'Controle de Transferências'!C$5:C$54,Painel!A22)</f>
        <v>0</v>
      </c>
      <c r="K22" s="10">
        <f>SUMIFS('Controle de Transferências'!D$5:D$54,'Controle de Transferências'!F$5:F$54,10,'Controle de Transferências'!C$5:C$54,Painel!A22)</f>
        <v>0</v>
      </c>
      <c r="L22" s="10">
        <f>SUMIFS('Controle de Transferências'!D$5:D$54,'Controle de Transferências'!F$5:F$54,11,'Controle de Transferências'!C$5:C$54,Painel!A22)</f>
        <v>0</v>
      </c>
      <c r="M22" s="10">
        <f>SUMIFS('Controle de Transferências'!D$5:D$54,'Controle de Transferências'!F$5:F$54,12,'Controle de Transferências'!C$5:C$54,Painel!A22)</f>
        <v>0</v>
      </c>
      <c r="N22" s="11">
        <f t="shared" si="2"/>
        <v>0</v>
      </c>
    </row>
    <row r="23" spans="1:14" x14ac:dyDescent="0.25">
      <c r="A23" s="6" t="s">
        <v>27</v>
      </c>
      <c r="B23" s="10">
        <f>SUMIFS('Controle de Transferências'!D$5:D$54,'Controle de Transferências'!F$5:F$54,1,'Controle de Transferências'!C$5:C$54,Painel!A23)</f>
        <v>0</v>
      </c>
      <c r="C23" s="10">
        <f>SUMIFS('Controle de Transferências'!D$5:D$54,'Controle de Transferências'!F$5:F$54,2,'Controle de Transferências'!C$5:C$54,Painel!A23)</f>
        <v>0</v>
      </c>
      <c r="D23" s="10">
        <f>SUMIFS('Controle de Transferências'!D$5:D$54,'Controle de Transferências'!F$5:F$54,3,'Controle de Transferências'!C$5:C$54,Painel!A23)</f>
        <v>0</v>
      </c>
      <c r="E23" s="10">
        <f>SUMIFS('Controle de Transferências'!D$5:D$54,'Controle de Transferências'!F$5:F$54,4,'Controle de Transferências'!C$5:C$54,Painel!A23)</f>
        <v>0</v>
      </c>
      <c r="F23" s="10">
        <f>SUMIFS('Controle de Transferências'!D$5:D$54,'Controle de Transferências'!F$5:F$54,5,'Controle de Transferências'!C$5:C$54,Painel!A23)</f>
        <v>0</v>
      </c>
      <c r="G23" s="10">
        <f>SUMIFS('Controle de Transferências'!D$5:D$54,'Controle de Transferências'!F$5:F$54,6,'Controle de Transferências'!C$5:C$54,Painel!A23)</f>
        <v>0</v>
      </c>
      <c r="H23" s="10">
        <f>SUMIFS('Controle de Transferências'!D$5:D$54,'Controle de Transferências'!F$5:F$54,7,'Controle de Transferências'!C$5:C$54,Painel!A23)</f>
        <v>0</v>
      </c>
      <c r="I23" s="10">
        <f>SUMIFS('Controle de Transferências'!D$5:D$54,'Controle de Transferências'!F$5:F$54,8,'Controle de Transferências'!C$5:C$54,Painel!A23)</f>
        <v>0</v>
      </c>
      <c r="J23" s="10">
        <f>SUMIFS('Controle de Transferências'!D$5:D$54,'Controle de Transferências'!F$5:F$54,9,'Controle de Transferências'!C$5:C$54,Painel!A23)</f>
        <v>0</v>
      </c>
      <c r="K23" s="10">
        <f>SUMIFS('Controle de Transferências'!D$5:D$54,'Controle de Transferências'!F$5:F$54,10,'Controle de Transferências'!C$5:C$54,Painel!A23)</f>
        <v>0</v>
      </c>
      <c r="L23" s="10">
        <f>SUMIFS('Controle de Transferências'!D$5:D$54,'Controle de Transferências'!F$5:F$54,11,'Controle de Transferências'!C$5:C$54,Painel!A23)</f>
        <v>0</v>
      </c>
      <c r="M23" s="10">
        <f>SUMIFS('Controle de Transferências'!D$5:D$54,'Controle de Transferências'!F$5:F$54,12,'Controle de Transferências'!C$5:C$54,Painel!A23)</f>
        <v>0</v>
      </c>
      <c r="N23" s="11">
        <f t="shared" si="2"/>
        <v>0</v>
      </c>
    </row>
    <row r="24" spans="1:14" x14ac:dyDescent="0.25">
      <c r="A24" s="7" t="s">
        <v>28</v>
      </c>
      <c r="B24" s="10">
        <f>SUMIFS('Controle de Transferências'!D$5:D$54,'Controle de Transferências'!F$5:F$54,1,'Controle de Transferências'!C$5:C$54,Painel!A24)</f>
        <v>0</v>
      </c>
      <c r="C24" s="10">
        <f>SUMIFS('Controle de Transferências'!D$5:D$54,'Controle de Transferências'!F$5:F$54,2,'Controle de Transferências'!C$5:C$54,Painel!A24)</f>
        <v>0</v>
      </c>
      <c r="D24" s="10">
        <f>SUMIFS('Controle de Transferências'!D$5:D$54,'Controle de Transferências'!F$5:F$54,3,'Controle de Transferências'!C$5:C$54,Painel!A24)</f>
        <v>0</v>
      </c>
      <c r="E24" s="10">
        <f>SUMIFS('Controle de Transferências'!D$5:D$54,'Controle de Transferências'!F$5:F$54,4,'Controle de Transferências'!C$5:C$54,Painel!A24)</f>
        <v>0</v>
      </c>
      <c r="F24" s="10">
        <f>SUMIFS('Controle de Transferências'!D$5:D$54,'Controle de Transferências'!F$5:F$54,5,'Controle de Transferências'!C$5:C$54,Painel!A24)</f>
        <v>0</v>
      </c>
      <c r="G24" s="10">
        <f>SUMIFS('Controle de Transferências'!D$5:D$54,'Controle de Transferências'!F$5:F$54,6,'Controle de Transferências'!C$5:C$54,Painel!A24)</f>
        <v>0</v>
      </c>
      <c r="H24" s="10">
        <f>SUMIFS('Controle de Transferências'!D$5:D$54,'Controle de Transferências'!F$5:F$54,7,'Controle de Transferências'!C$5:C$54,Painel!A24)</f>
        <v>0</v>
      </c>
      <c r="I24" s="10">
        <f>SUMIFS('Controle de Transferências'!D$5:D$54,'Controle de Transferências'!F$5:F$54,8,'Controle de Transferências'!C$5:C$54,Painel!A24)</f>
        <v>0</v>
      </c>
      <c r="J24" s="10">
        <f>SUMIFS('Controle de Transferências'!D$5:D$54,'Controle de Transferências'!F$5:F$54,9,'Controle de Transferências'!C$5:C$54,Painel!A24)</f>
        <v>0</v>
      </c>
      <c r="K24" s="10">
        <f>SUMIFS('Controle de Transferências'!D$5:D$54,'Controle de Transferências'!F$5:F$54,10,'Controle de Transferências'!C$5:C$54,Painel!A24)</f>
        <v>0</v>
      </c>
      <c r="L24" s="10">
        <f>SUMIFS('Controle de Transferências'!D$5:D$54,'Controle de Transferências'!F$5:F$54,11,'Controle de Transferências'!C$5:C$54,Painel!A24)</f>
        <v>0</v>
      </c>
      <c r="M24" s="10">
        <f>SUMIFS('Controle de Transferências'!D$5:D$54,'Controle de Transferências'!F$5:F$54,12,'Controle de Transferências'!C$5:C$54,Painel!A24)</f>
        <v>0</v>
      </c>
      <c r="N24" s="11">
        <f t="shared" si="2"/>
        <v>0</v>
      </c>
    </row>
    <row r="25" spans="1:14" ht="15.75" thickBot="1" x14ac:dyDescent="0.3">
      <c r="A25" s="8" t="s">
        <v>8</v>
      </c>
      <c r="B25" s="10">
        <f>SUMIFS('Controle de Transferências'!D$5:D$54,'Controle de Transferências'!F$5:F$54,1,'Controle de Transferências'!C$5:C$54,Painel!A25)</f>
        <v>0</v>
      </c>
      <c r="C25" s="10">
        <f>SUMIFS('Controle de Transferências'!D$5:D$54,'Controle de Transferências'!F$5:F$54,2,'Controle de Transferências'!C$5:C$54,Painel!A25)</f>
        <v>0</v>
      </c>
      <c r="D25" s="10">
        <f>SUMIFS('Controle de Transferências'!D$5:D$54,'Controle de Transferências'!F$5:F$54,3,'Controle de Transferências'!C$5:C$54,Painel!A25)</f>
        <v>0</v>
      </c>
      <c r="E25" s="10">
        <f>SUMIFS('Controle de Transferências'!D$5:D$54,'Controle de Transferências'!F$5:F$54,4,'Controle de Transferências'!C$5:C$54,Painel!A25)</f>
        <v>0</v>
      </c>
      <c r="F25" s="10">
        <f>SUMIFS('Controle de Transferências'!D$5:D$54,'Controle de Transferências'!F$5:F$54,5,'Controle de Transferências'!C$5:C$54,Painel!A25)</f>
        <v>0</v>
      </c>
      <c r="G25" s="10">
        <f>SUMIFS('Controle de Transferências'!D$5:D$54,'Controle de Transferências'!F$5:F$54,6,'Controle de Transferências'!C$5:C$54,Painel!A25)</f>
        <v>0</v>
      </c>
      <c r="H25" s="10">
        <f>SUMIFS('Controle de Transferências'!D$5:D$54,'Controle de Transferências'!F$5:F$54,7,'Controle de Transferências'!C$5:C$54,Painel!A25)</f>
        <v>0</v>
      </c>
      <c r="I25" s="10">
        <f>SUMIFS('Controle de Transferências'!D$5:D$54,'Controle de Transferências'!F$5:F$54,8,'Controle de Transferências'!C$5:C$54,Painel!A25)</f>
        <v>0</v>
      </c>
      <c r="J25" s="10">
        <f>SUMIFS('Controle de Transferências'!D$5:D$54,'Controle de Transferências'!F$5:F$54,9,'Controle de Transferências'!C$5:C$54,Painel!A25)</f>
        <v>0</v>
      </c>
      <c r="K25" s="10">
        <f>SUMIFS('Controle de Transferências'!D$5:D$54,'Controle de Transferências'!F$5:F$54,10,'Controle de Transferências'!C$5:C$54,Painel!A25)</f>
        <v>0</v>
      </c>
      <c r="L25" s="10">
        <f>SUMIFS('Controle de Transferências'!D$5:D$54,'Controle de Transferências'!F$5:F$54,11,'Controle de Transferências'!C$5:C$54,Painel!A25)</f>
        <v>0</v>
      </c>
      <c r="M25" s="10">
        <f>SUMIFS('Controle de Transferências'!D$5:D$54,'Controle de Transferências'!F$5:F$54,12,'Controle de Transferências'!C$5:C$54,Painel!A25)</f>
        <v>0</v>
      </c>
      <c r="N25" s="11">
        <f>SUM(B25:M25)</f>
        <v>0</v>
      </c>
    </row>
    <row r="26" spans="1:14" ht="15.75" thickBot="1" x14ac:dyDescent="0.3">
      <c r="A26" s="9" t="s">
        <v>23</v>
      </c>
      <c r="B26" s="12">
        <f>SUM(B19:B25)</f>
        <v>0</v>
      </c>
      <c r="C26" s="12">
        <f t="shared" ref="C26:M26" si="3">SUM(C19:C25)</f>
        <v>0</v>
      </c>
      <c r="D26" s="12">
        <f t="shared" si="3"/>
        <v>0</v>
      </c>
      <c r="E26" s="12">
        <f t="shared" si="3"/>
        <v>0</v>
      </c>
      <c r="F26" s="12">
        <f t="shared" si="3"/>
        <v>0</v>
      </c>
      <c r="G26" s="12">
        <f t="shared" si="3"/>
        <v>0</v>
      </c>
      <c r="H26" s="12">
        <f t="shared" si="3"/>
        <v>0</v>
      </c>
      <c r="I26" s="12">
        <f t="shared" si="3"/>
        <v>0</v>
      </c>
      <c r="J26" s="12">
        <f t="shared" si="3"/>
        <v>0</v>
      </c>
      <c r="K26" s="12">
        <f t="shared" si="3"/>
        <v>0</v>
      </c>
      <c r="L26" s="12">
        <f t="shared" si="3"/>
        <v>0</v>
      </c>
      <c r="M26" s="12">
        <f t="shared" si="3"/>
        <v>0</v>
      </c>
      <c r="N26" s="13">
        <f>SUM(B26:M26)</f>
        <v>0</v>
      </c>
    </row>
    <row r="29" spans="1:14" x14ac:dyDescent="0.25">
      <c r="A29" s="22" t="s">
        <v>32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</row>
  </sheetData>
  <sheetProtection algorithmName="SHA-512" hashValue="yrywgYuHxMLS0M4QElikVUPK/bTvV0wF0HR7qwy465QKLNYa85V8gPRWAA0JE4ZtKx9X6qHJD05o5jO7UDPgcw==" saltValue="nV4VBNl4JxRtiGOrFntqNQ==" spinCount="100000" sheet="1" objects="1" scenarios="1"/>
  <mergeCells count="9">
    <mergeCell ref="A29:N29"/>
    <mergeCell ref="A5:A6"/>
    <mergeCell ref="B5:N5"/>
    <mergeCell ref="A1:N1"/>
    <mergeCell ref="A2:N2"/>
    <mergeCell ref="A4:N4"/>
    <mergeCell ref="A16:N16"/>
    <mergeCell ref="A17:A18"/>
    <mergeCell ref="B17:N17"/>
  </mergeCells>
  <pageMargins left="0.70866141732283472" right="0.70866141732283472" top="0.74803149606299213" bottom="0.74803149606299213" header="0.31496062992125984" footer="0.31496062992125984"/>
  <pageSetup paperSize="9" scale="57" orientation="landscape" r:id="rId1"/>
  <headerFooter>
    <oddFooter>&amp;L&amp;"Arial,Normal"&amp;10FQ-08.42 (anexo à IT-08.01.04) - RA - revisão 00 de 08/07/22 - Página 2/2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Controle de Transferências</vt:lpstr>
      <vt:lpstr>Painel</vt:lpstr>
      <vt:lpstr>'Controle de Transferências'!Area_de_impressao</vt:lpstr>
      <vt:lpstr>Painel!Area_de_impressao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2022-07-06T17:02:35Z</dcterms:modified>
</cp:coreProperties>
</file>