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A 02 01 24\"/>
    </mc:Choice>
  </mc:AlternateContent>
  <xr:revisionPtr revIDLastSave="0" documentId="13_ncr:1_{BD868170-7A86-4413-8A91-CA168F2B6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Q0835_p01" sheetId="1" r:id="rId1"/>
    <sheet name="FQ0835_p02" sheetId="3" r:id="rId2"/>
  </sheets>
  <definedNames>
    <definedName name="_xlnm.Print_Area" localSheetId="0">FQ0835_p01!$A$1:$J$35</definedName>
    <definedName name="_xlnm.Print_Area" localSheetId="1">FQ0835_p02!$A$1:$N$110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2" i="3" l="1"/>
  <c r="L102" i="3"/>
  <c r="K102" i="3"/>
  <c r="J102" i="3"/>
  <c r="I102" i="3"/>
  <c r="M101" i="3"/>
  <c r="L101" i="3"/>
  <c r="K101" i="3"/>
  <c r="J101" i="3"/>
  <c r="I101" i="3"/>
  <c r="M100" i="3"/>
  <c r="L100" i="3"/>
  <c r="K100" i="3"/>
  <c r="J100" i="3"/>
  <c r="I100" i="3"/>
  <c r="M99" i="3"/>
  <c r="L99" i="3"/>
  <c r="K99" i="3"/>
  <c r="J99" i="3"/>
  <c r="I99" i="3"/>
  <c r="M97" i="3"/>
  <c r="L97" i="3"/>
  <c r="K97" i="3"/>
  <c r="J97" i="3"/>
  <c r="I97" i="3"/>
  <c r="M96" i="3"/>
  <c r="L96" i="3"/>
  <c r="K96" i="3"/>
  <c r="J96" i="3"/>
  <c r="I96" i="3"/>
  <c r="H102" i="3"/>
  <c r="H101" i="3"/>
  <c r="H100" i="3"/>
  <c r="H99" i="3"/>
  <c r="H97" i="3"/>
  <c r="H96" i="3"/>
  <c r="G102" i="3"/>
  <c r="G101" i="3"/>
  <c r="G100" i="3"/>
  <c r="G99" i="3"/>
  <c r="G97" i="3"/>
  <c r="G96" i="3"/>
  <c r="F102" i="3"/>
  <c r="F101" i="3"/>
  <c r="F100" i="3"/>
  <c r="F99" i="3"/>
  <c r="F97" i="3"/>
  <c r="F96" i="3"/>
  <c r="E102" i="3"/>
  <c r="E101" i="3"/>
  <c r="E100" i="3"/>
  <c r="E99" i="3"/>
  <c r="E97" i="3"/>
  <c r="E96" i="3"/>
  <c r="D102" i="3"/>
  <c r="D101" i="3"/>
  <c r="D100" i="3"/>
  <c r="D99" i="3"/>
  <c r="D97" i="3"/>
  <c r="D96" i="3"/>
  <c r="C102" i="3"/>
  <c r="C101" i="3"/>
  <c r="C100" i="3"/>
  <c r="C99" i="3"/>
  <c r="C97" i="3"/>
  <c r="C96" i="3"/>
  <c r="B101" i="3"/>
  <c r="B100" i="3"/>
  <c r="B99" i="3"/>
  <c r="B97" i="3"/>
  <c r="B96" i="3"/>
  <c r="B102" i="3"/>
  <c r="N102" i="3" l="1"/>
  <c r="N100" i="3"/>
  <c r="N99" i="3"/>
  <c r="N97" i="3"/>
  <c r="N96" i="3"/>
  <c r="N101" i="3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6" i="1"/>
  <c r="L6" i="1"/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K6" i="1" l="1"/>
  <c r="I98" i="3" l="1"/>
  <c r="I103" i="3" s="1"/>
  <c r="E98" i="3"/>
  <c r="E103" i="3" s="1"/>
  <c r="F98" i="3"/>
  <c r="F103" i="3" s="1"/>
  <c r="G98" i="3"/>
  <c r="G103" i="3" s="1"/>
  <c r="D98" i="3"/>
  <c r="D103" i="3" s="1"/>
  <c r="M98" i="3"/>
  <c r="M103" i="3" s="1"/>
  <c r="L98" i="3"/>
  <c r="L103" i="3" s="1"/>
  <c r="K98" i="3"/>
  <c r="K103" i="3" s="1"/>
  <c r="C98" i="3"/>
  <c r="C103" i="3" s="1"/>
  <c r="J98" i="3"/>
  <c r="J103" i="3" s="1"/>
  <c r="H98" i="3"/>
  <c r="H103" i="3" s="1"/>
  <c r="B98" i="3"/>
  <c r="B83" i="3"/>
  <c r="C83" i="3"/>
  <c r="D83" i="3"/>
  <c r="E83" i="3"/>
  <c r="F83" i="3"/>
  <c r="G83" i="3"/>
  <c r="H83" i="3"/>
  <c r="I83" i="3"/>
  <c r="J83" i="3"/>
  <c r="K83" i="3"/>
  <c r="L83" i="3"/>
  <c r="M83" i="3"/>
  <c r="B85" i="3"/>
  <c r="C85" i="3"/>
  <c r="D85" i="3"/>
  <c r="E85" i="3"/>
  <c r="F85" i="3"/>
  <c r="G85" i="3"/>
  <c r="H85" i="3"/>
  <c r="I85" i="3"/>
  <c r="J85" i="3"/>
  <c r="K85" i="3"/>
  <c r="L85" i="3"/>
  <c r="M85" i="3"/>
  <c r="B86" i="3"/>
  <c r="C86" i="3"/>
  <c r="D86" i="3"/>
  <c r="E86" i="3"/>
  <c r="F86" i="3"/>
  <c r="G86" i="3"/>
  <c r="H86" i="3"/>
  <c r="I86" i="3"/>
  <c r="J86" i="3"/>
  <c r="K86" i="3"/>
  <c r="L86" i="3"/>
  <c r="M86" i="3"/>
  <c r="B87" i="3"/>
  <c r="C87" i="3"/>
  <c r="D87" i="3"/>
  <c r="E87" i="3"/>
  <c r="F87" i="3"/>
  <c r="G87" i="3"/>
  <c r="H87" i="3"/>
  <c r="I87" i="3"/>
  <c r="J87" i="3"/>
  <c r="K87" i="3"/>
  <c r="L87" i="3"/>
  <c r="M87" i="3"/>
  <c r="B88" i="3"/>
  <c r="C88" i="3"/>
  <c r="D88" i="3"/>
  <c r="E88" i="3"/>
  <c r="F88" i="3"/>
  <c r="G88" i="3"/>
  <c r="H88" i="3"/>
  <c r="I88" i="3"/>
  <c r="J88" i="3"/>
  <c r="K88" i="3"/>
  <c r="L88" i="3"/>
  <c r="M88" i="3"/>
  <c r="M82" i="3"/>
  <c r="L82" i="3"/>
  <c r="K82" i="3"/>
  <c r="J82" i="3"/>
  <c r="I82" i="3"/>
  <c r="H82" i="3"/>
  <c r="G82" i="3"/>
  <c r="F82" i="3"/>
  <c r="E82" i="3"/>
  <c r="D82" i="3"/>
  <c r="C82" i="3"/>
  <c r="B82" i="3"/>
  <c r="N98" i="3" l="1"/>
  <c r="B103" i="3"/>
  <c r="N103" i="3" s="1"/>
  <c r="N82" i="3"/>
  <c r="A2" i="3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L104" i="3" l="1"/>
  <c r="K104" i="3"/>
  <c r="H104" i="3"/>
  <c r="J104" i="3"/>
  <c r="B104" i="3"/>
  <c r="I104" i="3"/>
  <c r="F104" i="3"/>
  <c r="D104" i="3"/>
  <c r="C104" i="3"/>
  <c r="M104" i="3"/>
  <c r="E104" i="3"/>
  <c r="G104" i="3"/>
  <c r="F51" i="3"/>
  <c r="M27" i="3"/>
  <c r="B27" i="3"/>
  <c r="E35" i="3"/>
  <c r="F34" i="3"/>
  <c r="G37" i="3"/>
  <c r="E47" i="3"/>
  <c r="G23" i="3"/>
  <c r="H36" i="3"/>
  <c r="G46" i="3"/>
  <c r="K27" i="3"/>
  <c r="B46" i="3"/>
  <c r="D47" i="3"/>
  <c r="G22" i="3"/>
  <c r="G36" i="3"/>
  <c r="J51" i="3"/>
  <c r="G35" i="3"/>
  <c r="J47" i="3"/>
  <c r="M50" i="3"/>
  <c r="M22" i="3"/>
  <c r="D25" i="3"/>
  <c r="C34" i="3"/>
  <c r="L46" i="3"/>
  <c r="C48" i="3"/>
  <c r="E23" i="3"/>
  <c r="F37" i="3"/>
  <c r="J25" i="3"/>
  <c r="F26" i="3"/>
  <c r="J35" i="3"/>
  <c r="K48" i="3"/>
  <c r="J50" i="3"/>
  <c r="L25" i="3"/>
  <c r="M39" i="3"/>
  <c r="I34" i="3"/>
  <c r="B51" i="3"/>
  <c r="M51" i="3"/>
  <c r="M75" i="3" s="1"/>
  <c r="I46" i="3"/>
  <c r="C24" i="3"/>
  <c r="L35" i="3"/>
  <c r="J26" i="3"/>
  <c r="B24" i="3"/>
  <c r="L51" i="3"/>
  <c r="H46" i="3"/>
  <c r="C22" i="3"/>
  <c r="C35" i="3"/>
  <c r="F48" i="3"/>
  <c r="G50" i="3"/>
  <c r="F23" i="3"/>
  <c r="E50" i="3"/>
  <c r="K26" i="3"/>
  <c r="H39" i="3"/>
  <c r="H51" i="3"/>
  <c r="H27" i="3"/>
  <c r="G47" i="3"/>
  <c r="G25" i="3"/>
  <c r="J36" i="3"/>
  <c r="E22" i="3"/>
  <c r="G26" i="3"/>
  <c r="L47" i="3"/>
  <c r="E27" i="3"/>
  <c r="B50" i="3"/>
  <c r="K23" i="3"/>
  <c r="E39" i="3"/>
  <c r="C51" i="3"/>
  <c r="M23" i="3"/>
  <c r="E51" i="3"/>
  <c r="M26" i="3"/>
  <c r="B26" i="3"/>
  <c r="D35" i="3"/>
  <c r="H22" i="3"/>
  <c r="I37" i="3"/>
  <c r="D51" i="3"/>
  <c r="M25" i="3"/>
  <c r="B25" i="3"/>
  <c r="K49" i="3"/>
  <c r="I23" i="3"/>
  <c r="K47" i="3"/>
  <c r="M38" i="3"/>
  <c r="I49" i="3"/>
  <c r="J24" i="3"/>
  <c r="L38" i="3"/>
  <c r="L50" i="3"/>
  <c r="K38" i="3"/>
  <c r="K46" i="3"/>
  <c r="C26" i="3"/>
  <c r="B36" i="3"/>
  <c r="E38" i="3"/>
  <c r="M47" i="3"/>
  <c r="M71" i="3" s="1"/>
  <c r="I51" i="3"/>
  <c r="B38" i="3"/>
  <c r="F49" i="3"/>
  <c r="I27" i="3"/>
  <c r="I38" i="3"/>
  <c r="G48" i="3"/>
  <c r="E26" i="3"/>
  <c r="I50" i="3"/>
  <c r="L24" i="3"/>
  <c r="L39" i="3"/>
  <c r="H34" i="3"/>
  <c r="B23" i="3"/>
  <c r="M34" i="3"/>
  <c r="H50" i="3"/>
  <c r="L23" i="3"/>
  <c r="K39" i="3"/>
  <c r="C47" i="3"/>
  <c r="D26" i="3"/>
  <c r="L22" i="3"/>
  <c r="E36" i="3"/>
  <c r="M48" i="3"/>
  <c r="I22" i="3"/>
  <c r="D38" i="3"/>
  <c r="D50" i="3"/>
  <c r="G51" i="3"/>
  <c r="C46" i="3"/>
  <c r="C27" i="3"/>
  <c r="F35" i="3"/>
  <c r="E34" i="3"/>
  <c r="J46" i="3"/>
  <c r="D37" i="3"/>
  <c r="F25" i="3"/>
  <c r="D24" i="3"/>
  <c r="C36" i="3"/>
  <c r="J48" i="3"/>
  <c r="H25" i="3"/>
  <c r="M37" i="3"/>
  <c r="M24" i="3"/>
  <c r="I39" i="3"/>
  <c r="M49" i="3"/>
  <c r="M73" i="3" s="1"/>
  <c r="K22" i="3"/>
  <c r="D39" i="3"/>
  <c r="K35" i="3"/>
  <c r="J37" i="3"/>
  <c r="D46" i="3"/>
  <c r="L49" i="3"/>
  <c r="J27" i="3"/>
  <c r="C39" i="3"/>
  <c r="I24" i="3"/>
  <c r="M36" i="3"/>
  <c r="F22" i="3"/>
  <c r="L34" i="3"/>
  <c r="E48" i="3"/>
  <c r="E25" i="3"/>
  <c r="H37" i="3"/>
  <c r="H49" i="3"/>
  <c r="K50" i="3"/>
  <c r="K74" i="3" s="1"/>
  <c r="L26" i="3"/>
  <c r="D23" i="3"/>
  <c r="J34" i="3"/>
  <c r="D34" i="3"/>
  <c r="M35" i="3"/>
  <c r="K34" i="3"/>
  <c r="G39" i="3"/>
  <c r="H47" i="3"/>
  <c r="B48" i="3"/>
  <c r="F27" i="3"/>
  <c r="E37" i="3"/>
  <c r="F24" i="3"/>
  <c r="I35" i="3"/>
  <c r="E49" i="3"/>
  <c r="I26" i="3"/>
  <c r="H38" i="3"/>
  <c r="G34" i="3"/>
  <c r="B35" i="3"/>
  <c r="C23" i="3"/>
  <c r="D49" i="3"/>
  <c r="D73" i="3" s="1"/>
  <c r="I25" i="3"/>
  <c r="G38" i="3"/>
  <c r="B22" i="3"/>
  <c r="D36" i="3"/>
  <c r="J39" i="3"/>
  <c r="E24" i="3"/>
  <c r="I47" i="3"/>
  <c r="I71" i="3" s="1"/>
  <c r="G27" i="3"/>
  <c r="L36" i="3"/>
  <c r="L48" i="3"/>
  <c r="L72" i="3" s="1"/>
  <c r="C50" i="3"/>
  <c r="C74" i="3" s="1"/>
  <c r="K24" i="3"/>
  <c r="F39" i="3"/>
  <c r="B34" i="3"/>
  <c r="J23" i="3"/>
  <c r="C25" i="3"/>
  <c r="B47" i="3"/>
  <c r="F50" i="3"/>
  <c r="H26" i="3"/>
  <c r="F47" i="3"/>
  <c r="G24" i="3"/>
  <c r="I36" i="3"/>
  <c r="B39" i="3"/>
  <c r="H35" i="3"/>
  <c r="I48" i="3"/>
  <c r="I72" i="3" s="1"/>
  <c r="H24" i="3"/>
  <c r="L37" i="3"/>
  <c r="K51" i="3"/>
  <c r="K75" i="3" s="1"/>
  <c r="B49" i="3"/>
  <c r="C38" i="3"/>
  <c r="H48" i="3"/>
  <c r="H23" i="3"/>
  <c r="K37" i="3"/>
  <c r="F38" i="3"/>
  <c r="K25" i="3"/>
  <c r="F36" i="3"/>
  <c r="K36" i="3"/>
  <c r="M46" i="3"/>
  <c r="D22" i="3"/>
  <c r="L27" i="3"/>
  <c r="D48" i="3"/>
  <c r="D72" i="3" s="1"/>
  <c r="G49" i="3"/>
  <c r="G73" i="3" s="1"/>
  <c r="J22" i="3"/>
  <c r="J38" i="3"/>
  <c r="J49" i="3"/>
  <c r="D27" i="3"/>
  <c r="B37" i="3"/>
  <c r="C49" i="3"/>
  <c r="C73" i="3" s="1"/>
  <c r="C37" i="3"/>
  <c r="E46" i="3"/>
  <c r="F46" i="3"/>
  <c r="B11" i="3"/>
  <c r="F11" i="3"/>
  <c r="J11" i="3"/>
  <c r="B12" i="3"/>
  <c r="F12" i="3"/>
  <c r="J12" i="3"/>
  <c r="B13" i="3"/>
  <c r="F13" i="3"/>
  <c r="F61" i="3" s="1"/>
  <c r="J13" i="3"/>
  <c r="B14" i="3"/>
  <c r="B62" i="3" s="1"/>
  <c r="F14" i="3"/>
  <c r="J14" i="3"/>
  <c r="B15" i="3"/>
  <c r="F15" i="3"/>
  <c r="F63" i="3" s="1"/>
  <c r="J15" i="3"/>
  <c r="J63" i="3" s="1"/>
  <c r="M10" i="3"/>
  <c r="M58" i="3" s="1"/>
  <c r="I10" i="3"/>
  <c r="I58" i="3" s="1"/>
  <c r="D10" i="3"/>
  <c r="C11" i="3"/>
  <c r="G11" i="3"/>
  <c r="K11" i="3"/>
  <c r="C12" i="3"/>
  <c r="C60" i="3" s="1"/>
  <c r="G12" i="3"/>
  <c r="G60" i="3" s="1"/>
  <c r="K12" i="3"/>
  <c r="C13" i="3"/>
  <c r="G13" i="3"/>
  <c r="K13" i="3"/>
  <c r="C14" i="3"/>
  <c r="G14" i="3"/>
  <c r="K14" i="3"/>
  <c r="K62" i="3" s="1"/>
  <c r="C15" i="3"/>
  <c r="G15" i="3"/>
  <c r="G63" i="3" s="1"/>
  <c r="K15" i="3"/>
  <c r="L10" i="3"/>
  <c r="H10" i="3"/>
  <c r="H58" i="3" s="1"/>
  <c r="E10" i="3"/>
  <c r="E58" i="3" s="1"/>
  <c r="D11" i="3"/>
  <c r="H11" i="3"/>
  <c r="L11" i="3"/>
  <c r="D12" i="3"/>
  <c r="D60" i="3" s="1"/>
  <c r="H12" i="3"/>
  <c r="H60" i="3" s="1"/>
  <c r="L12" i="3"/>
  <c r="D13" i="3"/>
  <c r="H13" i="3"/>
  <c r="L13" i="3"/>
  <c r="D14" i="3"/>
  <c r="H14" i="3"/>
  <c r="H62" i="3" s="1"/>
  <c r="L14" i="3"/>
  <c r="L62" i="3" s="1"/>
  <c r="D15" i="3"/>
  <c r="D63" i="3" s="1"/>
  <c r="H15" i="3"/>
  <c r="H63" i="3" s="1"/>
  <c r="L15" i="3"/>
  <c r="L63" i="3" s="1"/>
  <c r="K10" i="3"/>
  <c r="G10" i="3"/>
  <c r="G58" i="3" s="1"/>
  <c r="F10" i="3"/>
  <c r="F58" i="3" s="1"/>
  <c r="E11" i="3"/>
  <c r="I11" i="3"/>
  <c r="M11" i="3"/>
  <c r="E12" i="3"/>
  <c r="I12" i="3"/>
  <c r="I60" i="3" s="1"/>
  <c r="M12" i="3"/>
  <c r="M60" i="3" s="1"/>
  <c r="E13" i="3"/>
  <c r="I13" i="3"/>
  <c r="M13" i="3"/>
  <c r="M61" i="3" s="1"/>
  <c r="E14" i="3"/>
  <c r="E62" i="3" s="1"/>
  <c r="I14" i="3"/>
  <c r="M14" i="3"/>
  <c r="E15" i="3"/>
  <c r="I15" i="3"/>
  <c r="M15" i="3"/>
  <c r="M63" i="3" s="1"/>
  <c r="J10" i="3"/>
  <c r="C10" i="3"/>
  <c r="B10" i="3"/>
  <c r="B58" i="3" s="1"/>
  <c r="B84" i="3"/>
  <c r="B89" i="3" s="1"/>
  <c r="F84" i="3"/>
  <c r="J84" i="3"/>
  <c r="C84" i="3"/>
  <c r="G84" i="3"/>
  <c r="K84" i="3"/>
  <c r="D84" i="3"/>
  <c r="H84" i="3"/>
  <c r="L84" i="3"/>
  <c r="E84" i="3"/>
  <c r="I84" i="3"/>
  <c r="M84" i="3"/>
  <c r="B90" i="3"/>
  <c r="J90" i="3"/>
  <c r="F90" i="3"/>
  <c r="M90" i="3"/>
  <c r="I90" i="3"/>
  <c r="E90" i="3"/>
  <c r="L90" i="3"/>
  <c r="H90" i="3"/>
  <c r="D90" i="3"/>
  <c r="K90" i="3"/>
  <c r="G90" i="3"/>
  <c r="C90" i="3"/>
  <c r="N88" i="3"/>
  <c r="N87" i="3"/>
  <c r="N85" i="3"/>
  <c r="F60" i="3" l="1"/>
  <c r="L58" i="3"/>
  <c r="J61" i="3"/>
  <c r="N104" i="3"/>
  <c r="E60" i="3"/>
  <c r="K60" i="3"/>
  <c r="J28" i="3"/>
  <c r="J110" i="3" s="1"/>
  <c r="H73" i="3"/>
  <c r="F74" i="3"/>
  <c r="J58" i="3"/>
  <c r="E61" i="3"/>
  <c r="B63" i="3"/>
  <c r="J73" i="3"/>
  <c r="H72" i="3"/>
  <c r="D62" i="3"/>
  <c r="I63" i="3"/>
  <c r="K58" i="3"/>
  <c r="H61" i="3"/>
  <c r="E63" i="3"/>
  <c r="D61" i="3"/>
  <c r="F62" i="3"/>
  <c r="G62" i="3"/>
  <c r="I61" i="3"/>
  <c r="D58" i="3"/>
  <c r="I62" i="3"/>
  <c r="C62" i="3"/>
  <c r="J62" i="3"/>
  <c r="B61" i="3"/>
  <c r="H75" i="3"/>
  <c r="D74" i="3"/>
  <c r="C58" i="3"/>
  <c r="B60" i="3"/>
  <c r="K61" i="3"/>
  <c r="M62" i="3"/>
  <c r="L60" i="3"/>
  <c r="G61" i="3"/>
  <c r="C61" i="3"/>
  <c r="E73" i="3"/>
  <c r="K71" i="3"/>
  <c r="C63" i="3"/>
  <c r="J60" i="3"/>
  <c r="L73" i="3"/>
  <c r="G71" i="3"/>
  <c r="L61" i="3"/>
  <c r="N39" i="3"/>
  <c r="J72" i="3"/>
  <c r="K63" i="3"/>
  <c r="F71" i="3"/>
  <c r="F52" i="3"/>
  <c r="F70" i="3"/>
  <c r="N22" i="3"/>
  <c r="B28" i="3"/>
  <c r="B110" i="3" s="1"/>
  <c r="I74" i="3"/>
  <c r="D75" i="3"/>
  <c r="C75" i="3"/>
  <c r="C72" i="3"/>
  <c r="J75" i="3"/>
  <c r="E52" i="3"/>
  <c r="E70" i="3"/>
  <c r="K40" i="3"/>
  <c r="I73" i="3"/>
  <c r="G74" i="3"/>
  <c r="J74" i="3"/>
  <c r="L52" i="3"/>
  <c r="L70" i="3"/>
  <c r="E71" i="3"/>
  <c r="B71" i="3"/>
  <c r="N47" i="3"/>
  <c r="J70" i="3"/>
  <c r="J52" i="3"/>
  <c r="I28" i="3"/>
  <c r="I110" i="3" s="1"/>
  <c r="H74" i="3"/>
  <c r="G72" i="3"/>
  <c r="N36" i="3"/>
  <c r="H28" i="3"/>
  <c r="H110" i="3" s="1"/>
  <c r="F72" i="3"/>
  <c r="K72" i="3"/>
  <c r="C40" i="3"/>
  <c r="G28" i="3"/>
  <c r="G110" i="3" s="1"/>
  <c r="D40" i="3"/>
  <c r="E72" i="3"/>
  <c r="D52" i="3"/>
  <c r="D70" i="3"/>
  <c r="E40" i="3"/>
  <c r="M72" i="3"/>
  <c r="M40" i="3"/>
  <c r="N50" i="3"/>
  <c r="B74" i="3"/>
  <c r="I52" i="3"/>
  <c r="I70" i="3"/>
  <c r="D71" i="3"/>
  <c r="F40" i="3"/>
  <c r="N37" i="3"/>
  <c r="D28" i="3"/>
  <c r="D110" i="3" s="1"/>
  <c r="J40" i="3"/>
  <c r="L40" i="3"/>
  <c r="N23" i="3"/>
  <c r="K52" i="3"/>
  <c r="K70" i="3"/>
  <c r="N26" i="3"/>
  <c r="C28" i="3"/>
  <c r="C110" i="3" s="1"/>
  <c r="M28" i="3"/>
  <c r="M110" i="3" s="1"/>
  <c r="B70" i="3"/>
  <c r="N46" i="3"/>
  <c r="B52" i="3"/>
  <c r="M52" i="3"/>
  <c r="M70" i="3"/>
  <c r="N34" i="3"/>
  <c r="B40" i="3"/>
  <c r="N35" i="3"/>
  <c r="F28" i="3"/>
  <c r="F110" i="3" s="1"/>
  <c r="L28" i="3"/>
  <c r="L110" i="3" s="1"/>
  <c r="H40" i="3"/>
  <c r="F73" i="3"/>
  <c r="K73" i="3"/>
  <c r="L71" i="3"/>
  <c r="H70" i="3"/>
  <c r="H52" i="3"/>
  <c r="N51" i="3"/>
  <c r="B75" i="3"/>
  <c r="M74" i="3"/>
  <c r="N27" i="3"/>
  <c r="N49" i="3"/>
  <c r="B73" i="3"/>
  <c r="G40" i="3"/>
  <c r="N48" i="3"/>
  <c r="B72" i="3"/>
  <c r="C52" i="3"/>
  <c r="C70" i="3"/>
  <c r="N38" i="3"/>
  <c r="L74" i="3"/>
  <c r="N25" i="3"/>
  <c r="E75" i="3"/>
  <c r="L75" i="3"/>
  <c r="I40" i="3"/>
  <c r="J71" i="3"/>
  <c r="G52" i="3"/>
  <c r="G70" i="3"/>
  <c r="H71" i="3"/>
  <c r="K28" i="3"/>
  <c r="K110" i="3" s="1"/>
  <c r="G75" i="3"/>
  <c r="C71" i="3"/>
  <c r="I75" i="3"/>
  <c r="E28" i="3"/>
  <c r="E110" i="3" s="1"/>
  <c r="E74" i="3"/>
  <c r="N24" i="3"/>
  <c r="F75" i="3"/>
  <c r="E109" i="3"/>
  <c r="E59" i="3"/>
  <c r="E64" i="3" s="1"/>
  <c r="L109" i="3"/>
  <c r="L59" i="3"/>
  <c r="H109" i="3"/>
  <c r="H59" i="3"/>
  <c r="D109" i="3"/>
  <c r="D59" i="3"/>
  <c r="K109" i="3"/>
  <c r="K59" i="3"/>
  <c r="G109" i="3"/>
  <c r="G59" i="3"/>
  <c r="I109" i="3"/>
  <c r="I59" i="3"/>
  <c r="C109" i="3"/>
  <c r="C59" i="3"/>
  <c r="J109" i="3"/>
  <c r="J59" i="3"/>
  <c r="F109" i="3"/>
  <c r="F59" i="3"/>
  <c r="M109" i="3"/>
  <c r="M59" i="3"/>
  <c r="M64" i="3" s="1"/>
  <c r="B109" i="3"/>
  <c r="B59" i="3"/>
  <c r="C16" i="3"/>
  <c r="N90" i="3"/>
  <c r="N12" i="3"/>
  <c r="L89" i="3"/>
  <c r="C89" i="3"/>
  <c r="G16" i="3"/>
  <c r="J89" i="3"/>
  <c r="E16" i="3"/>
  <c r="M16" i="3"/>
  <c r="L16" i="3"/>
  <c r="H89" i="3"/>
  <c r="F89" i="3"/>
  <c r="D16" i="3"/>
  <c r="D89" i="3"/>
  <c r="K89" i="3"/>
  <c r="N84" i="3"/>
  <c r="G89" i="3"/>
  <c r="N15" i="3"/>
  <c r="N83" i="3"/>
  <c r="N86" i="3"/>
  <c r="M89" i="3"/>
  <c r="I89" i="3"/>
  <c r="E89" i="3"/>
  <c r="F16" i="3"/>
  <c r="N14" i="3"/>
  <c r="B16" i="3"/>
  <c r="N11" i="3"/>
  <c r="K16" i="3"/>
  <c r="J16" i="3"/>
  <c r="N13" i="3"/>
  <c r="I16" i="3"/>
  <c r="H16" i="3"/>
  <c r="N10" i="3"/>
  <c r="I64" i="3" l="1"/>
  <c r="N62" i="3"/>
  <c r="D64" i="3"/>
  <c r="N61" i="3"/>
  <c r="F64" i="3"/>
  <c r="N58" i="3"/>
  <c r="H64" i="3"/>
  <c r="G64" i="3"/>
  <c r="N63" i="3"/>
  <c r="N60" i="3"/>
  <c r="C64" i="3"/>
  <c r="J64" i="3"/>
  <c r="L64" i="3"/>
  <c r="N73" i="3"/>
  <c r="N72" i="3"/>
  <c r="K64" i="3"/>
  <c r="N110" i="3"/>
  <c r="M76" i="3"/>
  <c r="N74" i="3"/>
  <c r="N75" i="3"/>
  <c r="B76" i="3"/>
  <c r="N70" i="3"/>
  <c r="H76" i="3"/>
  <c r="N40" i="3"/>
  <c r="J76" i="3"/>
  <c r="N28" i="3"/>
  <c r="K76" i="3"/>
  <c r="D76" i="3"/>
  <c r="N71" i="3"/>
  <c r="E76" i="3"/>
  <c r="G76" i="3"/>
  <c r="I76" i="3"/>
  <c r="F76" i="3"/>
  <c r="C76" i="3"/>
  <c r="N52" i="3"/>
  <c r="L76" i="3"/>
  <c r="N109" i="3"/>
  <c r="N59" i="3"/>
  <c r="B64" i="3"/>
  <c r="N89" i="3"/>
  <c r="N16" i="3"/>
  <c r="N64" i="3" l="1"/>
  <c r="N76" i="3"/>
</calcChain>
</file>

<file path=xl/sharedStrings.xml><?xml version="1.0" encoding="utf-8"?>
<sst xmlns="http://schemas.openxmlformats.org/spreadsheetml/2006/main" count="229" uniqueCount="61">
  <si>
    <t>MONITORAMENTO DE OCORRÊNCIAS - FUNDAÇÃO DE APOIO</t>
  </si>
  <si>
    <t>1. REGISTROS DE OCORRÊNCIAS</t>
  </si>
  <si>
    <t>Nº</t>
  </si>
  <si>
    <t>Data</t>
  </si>
  <si>
    <t>Unidade</t>
  </si>
  <si>
    <t>Tipo de registro</t>
  </si>
  <si>
    <t>Descrição da ocorrência</t>
  </si>
  <si>
    <t>Responsável</t>
  </si>
  <si>
    <t>Ação tomada</t>
  </si>
  <si>
    <t>Data de encerramento</t>
  </si>
  <si>
    <t>Cereal Chocotec</t>
  </si>
  <si>
    <t>Fornecedor</t>
  </si>
  <si>
    <t>2. RELATÓRIO DE OCORRÊNCIAS - FUNDAÇÃO DE APOIO</t>
  </si>
  <si>
    <t>Tipo</t>
  </si>
  <si>
    <t>Processo trabalhista</t>
  </si>
  <si>
    <t>Pessoal</t>
  </si>
  <si>
    <t>Cliente</t>
  </si>
  <si>
    <t>Total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</si>
  <si>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</si>
  <si>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</si>
  <si>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</si>
  <si>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</si>
  <si>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</si>
  <si>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</si>
  <si>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</si>
  <si>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</si>
  <si>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</si>
  <si>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</si>
  <si>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</si>
  <si>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</si>
  <si>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</si>
  <si>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CCQA</t>
  </si>
  <si>
    <t>CTC</t>
  </si>
  <si>
    <t>DG</t>
  </si>
  <si>
    <t>Cetea</t>
  </si>
  <si>
    <t>Fruthotec</t>
  </si>
  <si>
    <t>Tecnolat</t>
  </si>
  <si>
    <t>Atraso de pagamento com protesto</t>
  </si>
  <si>
    <t>Atraso de pagamento sem protesto</t>
  </si>
  <si>
    <t>I52</t>
  </si>
  <si>
    <t>Responsabilidade</t>
  </si>
  <si>
    <t>Fundepag</t>
  </si>
  <si>
    <t>ITAL</t>
  </si>
  <si>
    <t>(ANO)</t>
  </si>
  <si>
    <t>Comentários</t>
  </si>
  <si>
    <t>IMPACTO</t>
  </si>
  <si>
    <r>
      <t xml:space="preserve">2.1 Por tipo (Somente responsabilidade </t>
    </r>
    <r>
      <rPr>
        <b/>
        <sz val="10"/>
        <color rgb="FF00B0F0"/>
        <rFont val="Arial"/>
        <family val="2"/>
      </rPr>
      <t>Ital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- todos os níveis de impacto)</t>
    </r>
  </si>
  <si>
    <r>
      <t xml:space="preserve">2.2 Por tipo (Somente responsabilidade </t>
    </r>
    <r>
      <rPr>
        <b/>
        <sz val="10"/>
        <color rgb="FF00B050"/>
        <rFont val="Arial"/>
        <family val="2"/>
      </rPr>
      <t>Fundepag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- todos os níveis de impacto)</t>
    </r>
  </si>
  <si>
    <r>
      <t xml:space="preserve">2.2.1 Por tipo (Somente responsabilidade </t>
    </r>
    <r>
      <rPr>
        <b/>
        <sz val="10"/>
        <color rgb="FF00B050"/>
        <rFont val="Arial"/>
        <family val="2"/>
      </rPr>
      <t>Fundepag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- ALTO IMPACTO)</t>
    </r>
  </si>
  <si>
    <r>
      <t xml:space="preserve">2.1.1 Por tipo (Somente responsabilidade </t>
    </r>
    <r>
      <rPr>
        <b/>
        <sz val="10"/>
        <color rgb="FF00B0F0"/>
        <rFont val="Arial"/>
        <family val="2"/>
      </rPr>
      <t>Ital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-  ALTO IMPACTO)</t>
    </r>
  </si>
  <si>
    <t>ORIENTAÇÕES:</t>
  </si>
  <si>
    <t>Impacto no processo*</t>
  </si>
  <si>
    <t>* Para preenchimento da coluna "Impacto no processo" considerar impacto gerado à PARTE INTERESSADA FA.</t>
  </si>
  <si>
    <t>FQ-08.35 (anexo à IT-08.01.04) - RA - revisão 05 de 02/01/24 - Página 1/2</t>
  </si>
  <si>
    <t>D71</t>
  </si>
  <si>
    <t>4. Indicadores e dados relacionados</t>
  </si>
  <si>
    <r>
      <rPr>
        <b/>
        <sz val="10"/>
        <rFont val="Arial"/>
        <family val="2"/>
      </rPr>
      <t>3. Por Un</t>
    </r>
    <r>
      <rPr>
        <b/>
        <sz val="10"/>
        <color theme="1"/>
        <rFont val="Arial"/>
        <family val="2"/>
      </rPr>
      <t xml:space="preserve">idade (total de ocorrências por mês - </t>
    </r>
    <r>
      <rPr>
        <b/>
        <sz val="10"/>
        <color rgb="FFFF0000"/>
        <rFont val="Arial"/>
        <family val="2"/>
      </rPr>
      <t>ALTO IMPACTO</t>
    </r>
    <r>
      <rPr>
        <b/>
        <sz val="10"/>
        <color theme="1"/>
        <rFont val="Arial"/>
        <family val="2"/>
      </rPr>
      <t>)</t>
    </r>
  </si>
  <si>
    <t>FQ-08.35 (anexo à IT-08.01.04) - RA - revisão 05 de 02/01/24 - Página 2/2</t>
  </si>
  <si>
    <t>3. Por Unidade (total de ocorrências por mês)</t>
  </si>
  <si>
    <r>
      <t>2.3 Por tipo (</t>
    </r>
    <r>
      <rPr>
        <b/>
        <sz val="10"/>
        <color rgb="FF00B0F0"/>
        <rFont val="Arial"/>
        <family val="2"/>
      </rPr>
      <t>Ital</t>
    </r>
    <r>
      <rPr>
        <b/>
        <sz val="10"/>
        <color theme="1"/>
        <rFont val="Arial"/>
        <family val="2"/>
      </rPr>
      <t xml:space="preserve"> + </t>
    </r>
    <r>
      <rPr>
        <b/>
        <sz val="10"/>
        <color rgb="FF00B050"/>
        <rFont val="Arial"/>
        <family val="2"/>
      </rPr>
      <t xml:space="preserve">Fundepag </t>
    </r>
    <r>
      <rPr>
        <b/>
        <sz val="10"/>
        <color theme="1"/>
        <rFont val="Arial"/>
        <family val="2"/>
      </rPr>
      <t>- todos os níveis de impactos)</t>
    </r>
  </si>
  <si>
    <r>
      <t>2.3.1 Por tipo (</t>
    </r>
    <r>
      <rPr>
        <b/>
        <sz val="10"/>
        <color rgb="FF00B0F0"/>
        <rFont val="Arial"/>
        <family val="2"/>
      </rPr>
      <t>Ital</t>
    </r>
    <r>
      <rPr>
        <b/>
        <sz val="10"/>
        <rFont val="Arial"/>
        <family val="2"/>
      </rPr>
      <t xml:space="preserve"> + </t>
    </r>
    <r>
      <rPr>
        <b/>
        <sz val="10"/>
        <color rgb="FF00B050"/>
        <rFont val="Arial"/>
        <family val="2"/>
      </rPr>
      <t xml:space="preserve">Fundepag </t>
    </r>
    <r>
      <rPr>
        <b/>
        <sz val="10"/>
        <rFont val="Arial"/>
        <family val="2"/>
      </rPr>
      <t xml:space="preserve">- </t>
    </r>
    <r>
      <rPr>
        <b/>
        <sz val="10"/>
        <color rgb="FFFF0000"/>
        <rFont val="Arial"/>
        <family val="2"/>
      </rPr>
      <t>ALTO IMPACTO</t>
    </r>
    <r>
      <rPr>
        <b/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</si>
</sst>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rgb="FFFF000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rgb="FF00B0F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" fillId="3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6" fillId="3" borderId="14" xfId="0" applyFont="1" applyFill="1" applyBorder="1"/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wrapText="1"/>
    </xf>
    <xf numFmtId="0" fontId="7" fillId="0" borderId="8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7" fillId="0" borderId="4" xfId="0" applyFont="1" applyBorder="1" applyAlignment="1" applyProtection="1">
      <alignment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justify" vertical="center"/>
      <protection locked="0"/>
    </xf>
    <xf numFmtId="14" fontId="7" fillId="0" borderId="4" xfId="0" applyNumberFormat="1" applyFont="1" applyBorder="1" applyAlignment="1" applyProtection="1">
      <alignment horizontal="justify" vertical="center"/>
      <protection locked="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view="pageBreakPreview" zoomScale="115" zoomScaleNormal="100" zoomScaleSheetLayoutView="115" workbookViewId="0">
      <selection activeCell="A111" sqref="A111:N111"/>
    </sheetView>
  </sheetViews>
  <sheetFormatPr defaultRowHeight="15" x14ac:dyDescent="0.25"/>
  <cols>
    <col min="2" max="2" width="11.140625" customWidth="1"/>
    <col min="3" max="3" width="18" customWidth="1"/>
    <col min="4" max="4" width="16.5703125" customWidth="1"/>
    <col min="5" max="5" width="37.42578125" customWidth="1"/>
    <col min="6" max="6" width="12.7109375" customWidth="1"/>
    <col min="7" max="7" width="25" customWidth="1"/>
    <col min="8" max="9" width="18.140625" style="16" customWidth="1"/>
    <col min="10" max="10" width="15.5703125" customWidth="1"/>
    <col min="11" max="11" width="4.7109375" style="12" hidden="1" customWidth="1"/>
    <col min="12" max="12" width="9.140625" style="12" hidden="1" customWidth="1"/>
    <col min="13" max="13" width="0" hidden="1" customWidth="1"/>
    <col min="15" max="15" width="9.140625" style="25"/>
    <col min="16" max="16" width="9.140625" style="25" hidden="1" customWidth="1"/>
    <col min="17" max="17" width="9.140625" style="25"/>
  </cols>
  <sheetData>
    <row r="1" spans="1:16" ht="16.5" thickBot="1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7"/>
      <c r="P1" s="25" t="s">
        <v>41</v>
      </c>
    </row>
    <row r="2" spans="1:16" x14ac:dyDescent="0.25">
      <c r="A2" s="58" t="s">
        <v>43</v>
      </c>
      <c r="B2" s="58"/>
      <c r="C2" s="58"/>
      <c r="D2" s="58"/>
      <c r="E2" s="58"/>
      <c r="F2" s="58"/>
      <c r="G2" s="58"/>
      <c r="H2" s="58"/>
      <c r="I2" s="58"/>
      <c r="J2" s="58"/>
    </row>
    <row r="3" spans="1:16" x14ac:dyDescent="0.25">
      <c r="A3" s="59" t="s">
        <v>1</v>
      </c>
      <c r="B3" s="59"/>
      <c r="C3" s="59"/>
      <c r="D3" s="59"/>
      <c r="E3" s="59"/>
      <c r="F3" s="59"/>
      <c r="G3" s="59"/>
      <c r="H3" s="59"/>
      <c r="I3" s="59"/>
      <c r="J3" s="59"/>
    </row>
    <row r="5" spans="1:16" ht="25.5" x14ac:dyDescent="0.25">
      <c r="A5" s="1" t="s">
        <v>2</v>
      </c>
      <c r="B5" s="1" t="s">
        <v>3</v>
      </c>
      <c r="C5" s="1" t="s">
        <v>40</v>
      </c>
      <c r="D5" s="1" t="s">
        <v>5</v>
      </c>
      <c r="E5" s="1" t="s">
        <v>6</v>
      </c>
      <c r="F5" s="1" t="s">
        <v>7</v>
      </c>
      <c r="G5" s="1" t="s">
        <v>8</v>
      </c>
      <c r="H5" s="42" t="s">
        <v>51</v>
      </c>
      <c r="I5" s="2" t="s">
        <v>44</v>
      </c>
      <c r="J5" s="2" t="s">
        <v>9</v>
      </c>
      <c r="K5" s="12" t="s">
        <v>18</v>
      </c>
      <c r="L5" s="12" t="s">
        <v>42</v>
      </c>
      <c r="M5" s="27" t="s">
        <v>45</v>
      </c>
    </row>
    <row r="6" spans="1:16" x14ac:dyDescent="0.25">
      <c r="A6" s="49"/>
      <c r="B6" s="50"/>
      <c r="C6" s="51"/>
      <c r="D6" s="52"/>
      <c r="E6" s="53"/>
      <c r="F6" s="53"/>
      <c r="G6" s="53"/>
      <c r="H6" s="51"/>
      <c r="I6" s="53"/>
      <c r="J6" s="54"/>
      <c r="K6" s="12">
        <f>IFERROR(IF(B6=0,“”,MONTH(B6)),0)</f>
        <v>0</v>
      </c>
      <c r="L6" s="12" t="str">
        <f>IF(C6=P$1,"Não","Sim")</f>
        <v>Sim</v>
      </c>
      <c r="M6" s="26" t="str">
        <f>IF(H6="ALTO","Sim","Não")</f>
        <v>Não</v>
      </c>
    </row>
    <row r="7" spans="1:16" x14ac:dyDescent="0.25">
      <c r="A7" s="49"/>
      <c r="B7" s="50"/>
      <c r="C7" s="51"/>
      <c r="D7" s="52"/>
      <c r="E7" s="53"/>
      <c r="F7" s="53"/>
      <c r="G7" s="53"/>
      <c r="H7" s="51"/>
      <c r="I7" s="53"/>
      <c r="J7" s="54"/>
      <c r="K7" s="12">
        <f>IFERROR(IF(B7=0,“”,MONTH(B7)),0)</f>
        <v>0</v>
      </c>
      <c r="L7" s="12" t="str">
        <f t="shared" ref="L7:L30" si="0">IF(C7=P$1,"Não","Sim")</f>
        <v>Sim</v>
      </c>
      <c r="M7" s="26" t="str">
        <f t="shared" ref="M7:M30" si="1">IF(H7="ALTO","Sim","Não")</f>
        <v>Não</v>
      </c>
    </row>
    <row r="8" spans="1:16" x14ac:dyDescent="0.25">
      <c r="A8" s="49"/>
      <c r="B8" s="50"/>
      <c r="C8" s="51"/>
      <c r="D8" s="52"/>
      <c r="E8" s="53"/>
      <c r="F8" s="53"/>
      <c r="G8" s="53"/>
      <c r="H8" s="51"/>
      <c r="I8" s="53"/>
      <c r="J8" s="54"/>
      <c r="K8" s="12">
        <f>IFERROR(IF(B8=0,“”,MONTH(B8)),0)</f>
        <v>0</v>
      </c>
      <c r="L8" s="12" t="str">
        <f t="shared" si="0"/>
        <v>Sim</v>
      </c>
      <c r="M8" s="26" t="str">
        <f t="shared" si="1"/>
        <v>Não</v>
      </c>
    </row>
    <row r="9" spans="1:16" x14ac:dyDescent="0.25">
      <c r="A9" s="49"/>
      <c r="B9" s="50"/>
      <c r="C9" s="51"/>
      <c r="D9" s="52"/>
      <c r="E9" s="53"/>
      <c r="F9" s="53"/>
      <c r="G9" s="53"/>
      <c r="H9" s="51"/>
      <c r="I9" s="53"/>
      <c r="J9" s="54"/>
      <c r="K9" s="12">
        <f>IFERROR(IF(B9=0,“”,MONTH(B9)),0)</f>
        <v>0</v>
      </c>
      <c r="L9" s="12" t="str">
        <f t="shared" si="0"/>
        <v>Sim</v>
      </c>
      <c r="M9" s="26" t="str">
        <f t="shared" si="1"/>
        <v>Não</v>
      </c>
    </row>
    <row r="10" spans="1:16" x14ac:dyDescent="0.25">
      <c r="A10" s="49"/>
      <c r="B10" s="50"/>
      <c r="C10" s="51"/>
      <c r="D10" s="52"/>
      <c r="E10" s="53"/>
      <c r="F10" s="53"/>
      <c r="G10" s="53"/>
      <c r="H10" s="51"/>
      <c r="I10" s="53"/>
      <c r="J10" s="54"/>
      <c r="K10" s="12">
        <f>IFERROR(IF(B10=0,“”,MONTH(B10)),0)</f>
        <v>0</v>
      </c>
      <c r="L10" s="12" t="str">
        <f t="shared" si="0"/>
        <v>Sim</v>
      </c>
      <c r="M10" s="26" t="str">
        <f t="shared" si="1"/>
        <v>Não</v>
      </c>
    </row>
    <row r="11" spans="1:16" x14ac:dyDescent="0.25">
      <c r="A11" s="49"/>
      <c r="B11" s="50"/>
      <c r="C11" s="51"/>
      <c r="D11" s="52"/>
      <c r="E11" s="53"/>
      <c r="F11" s="53"/>
      <c r="G11" s="53"/>
      <c r="H11" s="51"/>
      <c r="I11" s="53"/>
      <c r="J11" s="53"/>
      <c r="K11" s="12">
        <f>IFERROR(IF(B11=0,“”,MONTH(B11)),0)</f>
        <v>0</v>
      </c>
      <c r="L11" s="12" t="str">
        <f t="shared" si="0"/>
        <v>Sim</v>
      </c>
      <c r="M11" s="26" t="str">
        <f t="shared" si="1"/>
        <v>Não</v>
      </c>
    </row>
    <row r="12" spans="1:16" x14ac:dyDescent="0.25">
      <c r="A12" s="49"/>
      <c r="B12" s="50"/>
      <c r="C12" s="51"/>
      <c r="D12" s="52"/>
      <c r="E12" s="53"/>
      <c r="F12" s="53"/>
      <c r="G12" s="53"/>
      <c r="H12" s="51"/>
      <c r="I12" s="53"/>
      <c r="J12" s="53"/>
      <c r="K12" s="12">
        <f>IFERROR(IF(B12=0,“”,MONTH(B12)),0)</f>
        <v>0</v>
      </c>
      <c r="L12" s="12" t="str">
        <f t="shared" si="0"/>
        <v>Sim</v>
      </c>
      <c r="M12" s="26" t="str">
        <f t="shared" si="1"/>
        <v>Não</v>
      </c>
    </row>
    <row r="13" spans="1:16" x14ac:dyDescent="0.25">
      <c r="A13" s="49"/>
      <c r="B13" s="50"/>
      <c r="C13" s="51"/>
      <c r="D13" s="52"/>
      <c r="E13" s="53"/>
      <c r="F13" s="53"/>
      <c r="G13" s="53"/>
      <c r="H13" s="51"/>
      <c r="I13" s="53"/>
      <c r="J13" s="53"/>
      <c r="K13" s="12">
        <f>IFERROR(IF(B13=0,“”,MONTH(B13)),0)</f>
        <v>0</v>
      </c>
      <c r="L13" s="12" t="str">
        <f t="shared" si="0"/>
        <v>Sim</v>
      </c>
      <c r="M13" s="26" t="str">
        <f t="shared" si="1"/>
        <v>Não</v>
      </c>
    </row>
    <row r="14" spans="1:16" x14ac:dyDescent="0.25">
      <c r="A14" s="49"/>
      <c r="B14" s="50"/>
      <c r="C14" s="51"/>
      <c r="D14" s="52"/>
      <c r="E14" s="53"/>
      <c r="F14" s="53"/>
      <c r="G14" s="53"/>
      <c r="H14" s="51"/>
      <c r="I14" s="53"/>
      <c r="J14" s="53"/>
      <c r="K14" s="12">
        <f>IFERROR(IF(B14=0,“”,MONTH(B14)),0)</f>
        <v>0</v>
      </c>
      <c r="L14" s="12" t="str">
        <f t="shared" si="0"/>
        <v>Sim</v>
      </c>
      <c r="M14" s="26" t="str">
        <f t="shared" si="1"/>
        <v>Não</v>
      </c>
    </row>
    <row r="15" spans="1:16" x14ac:dyDescent="0.25">
      <c r="A15" s="49"/>
      <c r="B15" s="50"/>
      <c r="C15" s="51"/>
      <c r="D15" s="52"/>
      <c r="E15" s="53"/>
      <c r="F15" s="53"/>
      <c r="G15" s="53"/>
      <c r="H15" s="51"/>
      <c r="I15" s="53"/>
      <c r="J15" s="53"/>
      <c r="K15" s="12">
        <f>IFERROR(IF(B15=0,“”,MONTH(B15)),0)</f>
        <v>0</v>
      </c>
      <c r="L15" s="12" t="str">
        <f t="shared" si="0"/>
        <v>Sim</v>
      </c>
      <c r="M15" s="26" t="str">
        <f t="shared" si="1"/>
        <v>Não</v>
      </c>
    </row>
    <row r="16" spans="1:16" x14ac:dyDescent="0.25">
      <c r="A16" s="49"/>
      <c r="B16" s="50"/>
      <c r="C16" s="51"/>
      <c r="D16" s="52"/>
      <c r="E16" s="53"/>
      <c r="F16" s="53"/>
      <c r="G16" s="53"/>
      <c r="H16" s="51"/>
      <c r="I16" s="53"/>
      <c r="J16" s="53"/>
      <c r="K16" s="12">
        <f>IFERROR(IF(B16=0,“”,MONTH(B16)),0)</f>
        <v>0</v>
      </c>
      <c r="L16" s="12" t="str">
        <f t="shared" si="0"/>
        <v>Sim</v>
      </c>
      <c r="M16" s="26" t="str">
        <f t="shared" si="1"/>
        <v>Não</v>
      </c>
    </row>
    <row r="17" spans="1:13" x14ac:dyDescent="0.25">
      <c r="A17" s="49"/>
      <c r="B17" s="50"/>
      <c r="C17" s="51"/>
      <c r="D17" s="52"/>
      <c r="E17" s="53"/>
      <c r="F17" s="53"/>
      <c r="G17" s="53"/>
      <c r="H17" s="51"/>
      <c r="I17" s="53"/>
      <c r="J17" s="53"/>
      <c r="K17" s="12">
        <f>IFERROR(IF(B17=0,“”,MONTH(B17)),0)</f>
        <v>0</v>
      </c>
      <c r="L17" s="12" t="str">
        <f t="shared" si="0"/>
        <v>Sim</v>
      </c>
      <c r="M17" s="26" t="str">
        <f t="shared" si="1"/>
        <v>Não</v>
      </c>
    </row>
    <row r="18" spans="1:13" x14ac:dyDescent="0.25">
      <c r="A18" s="49"/>
      <c r="B18" s="50"/>
      <c r="C18" s="51"/>
      <c r="D18" s="52"/>
      <c r="E18" s="53"/>
      <c r="F18" s="53"/>
      <c r="G18" s="53"/>
      <c r="H18" s="51"/>
      <c r="I18" s="53"/>
      <c r="J18" s="53"/>
      <c r="K18" s="12">
        <f>IFERROR(IF(B18=0,“”,MONTH(B18)),0)</f>
        <v>0</v>
      </c>
      <c r="L18" s="12" t="str">
        <f t="shared" si="0"/>
        <v>Sim</v>
      </c>
      <c r="M18" s="26" t="str">
        <f t="shared" si="1"/>
        <v>Não</v>
      </c>
    </row>
    <row r="19" spans="1:13" x14ac:dyDescent="0.25">
      <c r="A19" s="49"/>
      <c r="B19" s="50"/>
      <c r="C19" s="51"/>
      <c r="D19" s="52"/>
      <c r="E19" s="53"/>
      <c r="F19" s="53"/>
      <c r="G19" s="53"/>
      <c r="H19" s="51"/>
      <c r="I19" s="53"/>
      <c r="J19" s="53"/>
      <c r="K19" s="12">
        <f>IFERROR(IF(B19=0,“”,MONTH(B19)),0)</f>
        <v>0</v>
      </c>
      <c r="L19" s="12" t="str">
        <f t="shared" si="0"/>
        <v>Sim</v>
      </c>
      <c r="M19" s="26" t="str">
        <f t="shared" si="1"/>
        <v>Não</v>
      </c>
    </row>
    <row r="20" spans="1:13" x14ac:dyDescent="0.25">
      <c r="A20" s="49"/>
      <c r="B20" s="50"/>
      <c r="C20" s="51"/>
      <c r="D20" s="52"/>
      <c r="E20" s="53"/>
      <c r="F20" s="53"/>
      <c r="G20" s="53"/>
      <c r="H20" s="51"/>
      <c r="I20" s="53"/>
      <c r="J20" s="53"/>
      <c r="K20" s="12">
        <f>IFERROR(IF(B20=0,“”,MONTH(B20)),0)</f>
        <v>0</v>
      </c>
      <c r="L20" s="12" t="str">
        <f t="shared" si="0"/>
        <v>Sim</v>
      </c>
      <c r="M20" s="26" t="str">
        <f t="shared" si="1"/>
        <v>Não</v>
      </c>
    </row>
    <row r="21" spans="1:13" x14ac:dyDescent="0.25">
      <c r="A21" s="49"/>
      <c r="B21" s="50"/>
      <c r="C21" s="51"/>
      <c r="D21" s="52"/>
      <c r="E21" s="53"/>
      <c r="F21" s="53"/>
      <c r="G21" s="53"/>
      <c r="H21" s="51"/>
      <c r="I21" s="53"/>
      <c r="J21" s="53"/>
      <c r="K21" s="12">
        <f>IFERROR(IF(B21=0,“”,MONTH(B21)),0)</f>
        <v>0</v>
      </c>
      <c r="L21" s="12" t="str">
        <f t="shared" si="0"/>
        <v>Sim</v>
      </c>
      <c r="M21" s="26" t="str">
        <f t="shared" si="1"/>
        <v>Não</v>
      </c>
    </row>
    <row r="22" spans="1:13" x14ac:dyDescent="0.25">
      <c r="A22" s="49"/>
      <c r="B22" s="50"/>
      <c r="C22" s="51"/>
      <c r="D22" s="52"/>
      <c r="E22" s="53"/>
      <c r="F22" s="53"/>
      <c r="G22" s="53"/>
      <c r="H22" s="51"/>
      <c r="I22" s="53"/>
      <c r="J22" s="53"/>
      <c r="K22" s="12">
        <f>IFERROR(IF(B22=0,“”,MONTH(B22)),0)</f>
        <v>0</v>
      </c>
      <c r="L22" s="12" t="str">
        <f t="shared" si="0"/>
        <v>Sim</v>
      </c>
      <c r="M22" s="26" t="str">
        <f t="shared" si="1"/>
        <v>Não</v>
      </c>
    </row>
    <row r="23" spans="1:13" x14ac:dyDescent="0.25">
      <c r="A23" s="49"/>
      <c r="B23" s="50"/>
      <c r="C23" s="51"/>
      <c r="D23" s="52"/>
      <c r="E23" s="53"/>
      <c r="F23" s="53"/>
      <c r="G23" s="53"/>
      <c r="H23" s="51"/>
      <c r="I23" s="53"/>
      <c r="J23" s="53"/>
      <c r="K23" s="12">
        <f>IFERROR(IF(B23=0,“”,MONTH(B23)),0)</f>
        <v>0</v>
      </c>
      <c r="L23" s="12" t="str">
        <f t="shared" si="0"/>
        <v>Sim</v>
      </c>
      <c r="M23" s="26" t="str">
        <f t="shared" si="1"/>
        <v>Não</v>
      </c>
    </row>
    <row r="24" spans="1:13" x14ac:dyDescent="0.25">
      <c r="A24" s="49"/>
      <c r="B24" s="50"/>
      <c r="C24" s="51"/>
      <c r="D24" s="52"/>
      <c r="E24" s="53"/>
      <c r="F24" s="53"/>
      <c r="G24" s="53"/>
      <c r="H24" s="51"/>
      <c r="I24" s="53"/>
      <c r="J24" s="53"/>
      <c r="K24" s="12">
        <f>IFERROR(IF(B24=0,“”,MONTH(B24)),0)</f>
        <v>0</v>
      </c>
      <c r="L24" s="12" t="str">
        <f t="shared" si="0"/>
        <v>Sim</v>
      </c>
      <c r="M24" s="26" t="str">
        <f t="shared" si="1"/>
        <v>Não</v>
      </c>
    </row>
    <row r="25" spans="1:13" x14ac:dyDescent="0.25">
      <c r="A25" s="49"/>
      <c r="B25" s="50"/>
      <c r="C25" s="51"/>
      <c r="D25" s="52"/>
      <c r="E25" s="53"/>
      <c r="F25" s="53"/>
      <c r="G25" s="53"/>
      <c r="H25" s="51"/>
      <c r="I25" s="53"/>
      <c r="J25" s="53"/>
      <c r="K25" s="12">
        <f>IFERROR(IF(B25=0,“”,MONTH(B25)),0)</f>
        <v>0</v>
      </c>
      <c r="L25" s="12" t="str">
        <f t="shared" si="0"/>
        <v>Sim</v>
      </c>
      <c r="M25" s="26" t="str">
        <f t="shared" si="1"/>
        <v>Não</v>
      </c>
    </row>
    <row r="26" spans="1:13" x14ac:dyDescent="0.25">
      <c r="A26" s="49"/>
      <c r="B26" s="50"/>
      <c r="C26" s="51"/>
      <c r="D26" s="52"/>
      <c r="E26" s="53"/>
      <c r="F26" s="53"/>
      <c r="G26" s="53"/>
      <c r="H26" s="51"/>
      <c r="I26" s="53"/>
      <c r="J26" s="53"/>
      <c r="K26" s="12">
        <f>IFERROR(IF(B26=0,“”,MONTH(B26)),0)</f>
        <v>0</v>
      </c>
      <c r="L26" s="12" t="str">
        <f t="shared" si="0"/>
        <v>Sim</v>
      </c>
      <c r="M26" s="26" t="str">
        <f t="shared" si="1"/>
        <v>Não</v>
      </c>
    </row>
    <row r="27" spans="1:13" x14ac:dyDescent="0.25">
      <c r="A27" s="49"/>
      <c r="B27" s="50"/>
      <c r="C27" s="51"/>
      <c r="D27" s="52"/>
      <c r="E27" s="53"/>
      <c r="F27" s="53"/>
      <c r="G27" s="53"/>
      <c r="H27" s="51"/>
      <c r="I27" s="53"/>
      <c r="J27" s="53"/>
      <c r="K27" s="12">
        <f>IFERROR(IF(B27=0,“”,MONTH(B27)),0)</f>
        <v>0</v>
      </c>
      <c r="L27" s="12" t="str">
        <f t="shared" si="0"/>
        <v>Sim</v>
      </c>
      <c r="M27" s="26" t="str">
        <f t="shared" si="1"/>
        <v>Não</v>
      </c>
    </row>
    <row r="28" spans="1:13" x14ac:dyDescent="0.25">
      <c r="A28" s="49"/>
      <c r="B28" s="50"/>
      <c r="C28" s="51"/>
      <c r="D28" s="52"/>
      <c r="E28" s="53"/>
      <c r="F28" s="53"/>
      <c r="G28" s="53"/>
      <c r="H28" s="51"/>
      <c r="I28" s="53"/>
      <c r="J28" s="53"/>
      <c r="K28" s="12">
        <f>IFERROR(IF(B28=0,“”,MONTH(B28)),0)</f>
        <v>0</v>
      </c>
      <c r="L28" s="12" t="str">
        <f t="shared" si="0"/>
        <v>Sim</v>
      </c>
      <c r="M28" s="26" t="str">
        <f t="shared" si="1"/>
        <v>Não</v>
      </c>
    </row>
    <row r="29" spans="1:13" x14ac:dyDescent="0.25">
      <c r="A29" s="49"/>
      <c r="B29" s="50"/>
      <c r="C29" s="51"/>
      <c r="D29" s="52"/>
      <c r="E29" s="53"/>
      <c r="F29" s="53"/>
      <c r="G29" s="53"/>
      <c r="H29" s="51"/>
      <c r="I29" s="53"/>
      <c r="J29" s="53"/>
      <c r="K29" s="12">
        <f>IFERROR(IF(B29=0,“”,MONTH(B29)),0)</f>
        <v>0</v>
      </c>
      <c r="L29" s="12" t="str">
        <f t="shared" si="0"/>
        <v>Sim</v>
      </c>
      <c r="M29" s="26" t="str">
        <f t="shared" si="1"/>
        <v>Não</v>
      </c>
    </row>
    <row r="30" spans="1:13" x14ac:dyDescent="0.25">
      <c r="A30" s="49"/>
      <c r="B30" s="50"/>
      <c r="C30" s="51"/>
      <c r="D30" s="52"/>
      <c r="E30" s="53"/>
      <c r="F30" s="53"/>
      <c r="G30" s="53"/>
      <c r="H30" s="51"/>
      <c r="I30" s="53"/>
      <c r="J30" s="53"/>
      <c r="K30" s="12">
        <f>IFERROR(IF(B30=0,“”,MONTH(B30)),0)</f>
        <v>0</v>
      </c>
      <c r="L30" s="12" t="str">
        <f t="shared" si="0"/>
        <v>Sim</v>
      </c>
      <c r="M30" s="26" t="str">
        <f t="shared" si="1"/>
        <v>Não</v>
      </c>
    </row>
    <row r="31" spans="1:13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</row>
    <row r="32" spans="1:13" ht="15.75" thickBot="1" x14ac:dyDescent="0.3"/>
    <row r="33" spans="1:10" x14ac:dyDescent="0.25">
      <c r="A33" s="62" t="s">
        <v>50</v>
      </c>
      <c r="B33" s="63"/>
      <c r="C33" s="63"/>
      <c r="D33" s="63"/>
      <c r="E33" s="63"/>
      <c r="F33" s="63"/>
      <c r="G33" s="63"/>
      <c r="H33" s="63"/>
      <c r="I33" s="63"/>
      <c r="J33" s="64"/>
    </row>
    <row r="34" spans="1:10" ht="15.75" thickBot="1" x14ac:dyDescent="0.3">
      <c r="A34" s="65" t="s">
        <v>52</v>
      </c>
      <c r="B34" s="66"/>
      <c r="C34" s="66"/>
      <c r="D34" s="66"/>
      <c r="E34" s="66"/>
      <c r="F34" s="66"/>
      <c r="G34" s="66"/>
      <c r="H34" s="66"/>
      <c r="I34" s="66"/>
      <c r="J34" s="67"/>
    </row>
    <row r="36" spans="1:10" x14ac:dyDescent="0.25">
      <c r="A36" s="61" t="s">
        <v>53</v>
      </c>
      <c r="B36" s="61"/>
      <c r="C36" s="61"/>
      <c r="D36" s="61"/>
      <c r="E36" s="61"/>
      <c r="F36" s="61"/>
      <c r="G36" s="61"/>
      <c r="H36" s="61"/>
      <c r="I36" s="61"/>
      <c r="J36" s="61"/>
    </row>
  </sheetData>
  <sheetProtection algorithmName="SHA-512" hashValue="i3hP4p98voCkVn203dvbBegJsvh3sAKuHTAJyKqqpfdNmIQbb4cMV2tJDIqasM1jogqArtZkLfJV2b+WJxW95w==" saltValue="kVI0WgTegi2OIVcfXUL73Q==" spinCount="100000" sheet="1" formatRows="0" insertRows="0" deleteRows="0" sort="0" autoFilter="0" pivotTables="0"/>
  <mergeCells count="7">
    <mergeCell ref="A1:J1"/>
    <mergeCell ref="A2:J2"/>
    <mergeCell ref="A3:J3"/>
    <mergeCell ref="A31:J31"/>
    <mergeCell ref="A36:J36"/>
    <mergeCell ref="A33:J33"/>
    <mergeCell ref="A34:J34"/>
  </mergeCells>
  <dataValidations count="3">
    <dataValidation type="list" allowBlank="1" showInputMessage="1" showErrorMessage="1" sqref="C6:C30" xr:uid="{00000000-0002-0000-0000-000000000000}">
      <formula1>"CCQA,Cetea,Cereal Chocotec,CTC,DG,Fruthotec,Tecnolat,Fundepag"</formula1>
    </dataValidation>
    <dataValidation type="list" allowBlank="1" showInputMessage="1" showErrorMessage="1" sqref="D6:D30" xr:uid="{00000000-0002-0000-0000-000001000000}">
      <formula1>"Processo trabalhista,Atraso de pagamento com protesto,Atraso de pagamento sem protesto,Pessoal,Fornecedor,Cliente"</formula1>
    </dataValidation>
    <dataValidation type="list" allowBlank="1" showInputMessage="1" showErrorMessage="1" sqref="H6:H30" xr:uid="{283E55F0-AC1E-4608-8240-154500BAE8DC}">
      <formula1>"Nenhum, Baixo, Médio, Alto"</formula1>
    </dataValidation>
  </dataValidations>
  <pageMargins left="0.11811023622047245" right="0.11811023622047245" top="0.78740157480314965" bottom="0.78740157480314965" header="0.31496062992125984" footer="0.31496062992125984"/>
  <pageSetup paperSize="9" scale="79" orientation="landscape" verticalDpi="300" r:id="rId1"/>
  <headerFooter>
    <oddHeader>&amp;R&amp;P/&amp;N</oddHeader>
    <oddFooter>&amp;L&amp;"Arial,Normal"&amp;10FQ-08.35 (anexo à IT-08.01.04) - RA - revisão 05 de 02/01/24 - Página 1/2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1"/>
  <sheetViews>
    <sheetView view="pageBreakPreview" topLeftCell="A77" zoomScaleNormal="100" zoomScaleSheetLayoutView="100" workbookViewId="0">
      <selection activeCell="A111" sqref="A111:N111"/>
    </sheetView>
  </sheetViews>
  <sheetFormatPr defaultRowHeight="15" x14ac:dyDescent="0.25"/>
  <cols>
    <col min="1" max="1" width="31" customWidth="1"/>
    <col min="2" max="13" width="8.28515625" customWidth="1"/>
  </cols>
  <sheetData>
    <row r="1" spans="1:14" ht="16.5" thickBot="1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</row>
    <row r="2" spans="1:14" x14ac:dyDescent="0.25">
      <c r="A2" s="68" t="str">
        <f>FQ0835_p01!A2:J2</f>
        <v>(ANO)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</row>
    <row r="3" spans="1:14" x14ac:dyDescent="0.25">
      <c r="A3" s="5"/>
      <c r="B3" s="5"/>
      <c r="C3" s="5"/>
      <c r="D3" s="5"/>
      <c r="E3" s="5"/>
      <c r="F3" s="5"/>
      <c r="G3" s="4"/>
      <c r="H3" s="4"/>
    </row>
    <row r="4" spans="1:14" x14ac:dyDescent="0.25">
      <c r="A4" s="59" t="s">
        <v>12</v>
      </c>
      <c r="B4" s="59"/>
      <c r="C4" s="59"/>
      <c r="D4" s="59"/>
      <c r="E4" s="59"/>
      <c r="F4" s="59"/>
      <c r="G4" s="59"/>
      <c r="H4" s="59"/>
    </row>
    <row r="6" spans="1:14" x14ac:dyDescent="0.25">
      <c r="A6" s="72" t="s">
        <v>46</v>
      </c>
      <c r="B6" s="72"/>
      <c r="C6" s="72"/>
      <c r="D6" s="72"/>
      <c r="E6" s="72"/>
      <c r="F6" s="72"/>
    </row>
    <row r="7" spans="1:14" ht="15.75" thickBot="1" x14ac:dyDescent="0.3"/>
    <row r="8" spans="1:14" x14ac:dyDescent="0.25">
      <c r="A8" s="70" t="s">
        <v>13</v>
      </c>
      <c r="B8" s="73" t="s">
        <v>18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4"/>
    </row>
    <row r="9" spans="1:14" x14ac:dyDescent="0.25">
      <c r="A9" s="71"/>
      <c r="B9" s="6" t="s">
        <v>19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 t="s">
        <v>26</v>
      </c>
      <c r="J9" s="6" t="s">
        <v>27</v>
      </c>
      <c r="K9" s="6" t="s">
        <v>28</v>
      </c>
      <c r="L9" s="6" t="s">
        <v>29</v>
      </c>
      <c r="M9" s="6" t="s">
        <v>30</v>
      </c>
      <c r="N9" s="13" t="s">
        <v>17</v>
      </c>
    </row>
    <row r="10" spans="1:14" ht="14.25" customHeight="1" x14ac:dyDescent="0.25">
      <c r="A10" s="9" t="s">
        <v>14</v>
      </c>
      <c r="B10" s="3">
        <f>COUNTIFS(FQ0835_p01!K$6:K$30,1,FQ0835_p01!D$6:D$30,A10,FQ0835_p01!L$6:L$30,"Sim")</f>
        <v>0</v>
      </c>
      <c r="C10" s="3">
        <f>COUNTIFS(FQ0835_p01!K$6:K$30,2,FQ0835_p01!D$6:D$30,A10,FQ0835_p01!L$6:L$30,"Sim")</f>
        <v>0</v>
      </c>
      <c r="D10" s="3">
        <f>COUNTIFS(FQ0835_p01!K$6:K$30,3,FQ0835_p01!D$6:D$30,A10,FQ0835_p01!L$6:L$30,"Sim")</f>
        <v>0</v>
      </c>
      <c r="E10" s="3">
        <f>COUNTIFS(FQ0835_p01!K$6:K$30,4,FQ0835_p01!D$6:D$30,A10,FQ0835_p01!L$6:L$30,"Sim")</f>
        <v>0</v>
      </c>
      <c r="F10" s="3">
        <f>COUNTIFS(FQ0835_p01!K$6:K$30,5,FQ0835_p01!D$6:D$30,A10,FQ0835_p01!L$6:L$30,"Sim")</f>
        <v>0</v>
      </c>
      <c r="G10" s="3">
        <f>COUNTIFS(FQ0835_p01!K$6:K$30,6,FQ0835_p01!D$6:D$30,A10,FQ0835_p01!L$6:L$30,"Sim")</f>
        <v>0</v>
      </c>
      <c r="H10" s="3">
        <f>COUNTIFS(FQ0835_p01!K$6:K$30,7,FQ0835_p01!D$6:D$30,A10,FQ0835_p01!L$6:L$30,"Sim")</f>
        <v>0</v>
      </c>
      <c r="I10" s="3">
        <f>COUNTIFS(FQ0835_p01!K$6:K$30,8,FQ0835_p01!D$6:D$30,A10,FQ0835_p01!L$6:L$30,"Sim")</f>
        <v>0</v>
      </c>
      <c r="J10" s="3">
        <f>COUNTIFS(FQ0835_p01!K$6:K$30,9,FQ0835_p01!D$6:D$30,A10,FQ0835_p01!L$6:L$30,"Sim")</f>
        <v>0</v>
      </c>
      <c r="K10" s="3">
        <f>COUNTIFS(FQ0835_p01!K$6:K$30,10,FQ0835_p01!D$6:D$30,A10,FQ0835_p01!L$6:L$30,"Sim")</f>
        <v>0</v>
      </c>
      <c r="L10" s="3">
        <f>COUNTIFS(FQ0835_p01!K$6:K$30,11,FQ0835_p01!D$6:D$30,A10,FQ0835_p01!L$6:L$30,"Sim")</f>
        <v>0</v>
      </c>
      <c r="M10" s="3">
        <f>COUNTIFS(FQ0835_p01!K$6:K$30,12,FQ0835_p01!D$6:D$30,A10,FQ0835_p01!L$6:L$30,"Sim")</f>
        <v>0</v>
      </c>
      <c r="N10" s="13">
        <f>SUM(B10:M10)</f>
        <v>0</v>
      </c>
    </row>
    <row r="11" spans="1:14" ht="24.75" customHeight="1" x14ac:dyDescent="0.25">
      <c r="A11" s="10" t="s">
        <v>37</v>
      </c>
      <c r="B11" s="3">
        <f>COUNTIFS(FQ0835_p01!K$6:K$30,1,FQ0835_p01!D$6:D$30,A11,FQ0835_p01!L$6:L$30,"Sim")</f>
        <v>0</v>
      </c>
      <c r="C11" s="3">
        <f>COUNTIFS(FQ0835_p01!K$6:K$30,2,FQ0835_p01!D$6:D$30,A11,FQ0835_p01!L$6:L$30,"Sim")</f>
        <v>0</v>
      </c>
      <c r="D11" s="3">
        <f>COUNTIFS(FQ0835_p01!K$6:K$30,3,FQ0835_p01!D$6:D$30,A11,FQ0835_p01!L$6:L$30,"Sim")</f>
        <v>0</v>
      </c>
      <c r="E11" s="3">
        <f>COUNTIFS(FQ0835_p01!K$6:K$30,4,FQ0835_p01!D$6:D$30,A11,FQ0835_p01!L$6:L$30,"Sim")</f>
        <v>0</v>
      </c>
      <c r="F11" s="3">
        <f>COUNTIFS(FQ0835_p01!K$6:K$30,5,FQ0835_p01!D$6:D$30,A11,FQ0835_p01!L$6:L$30,"Sim")</f>
        <v>0</v>
      </c>
      <c r="G11" s="3">
        <f>COUNTIFS(FQ0835_p01!K$6:K$30,6,FQ0835_p01!D$6:D$30,A11,FQ0835_p01!L$6:L$30,"Sim")</f>
        <v>0</v>
      </c>
      <c r="H11" s="3">
        <f>COUNTIFS(FQ0835_p01!K$6:K$30,7,FQ0835_p01!D$6:D$30,A11,FQ0835_p01!L$6:L$30,"Sim")</f>
        <v>0</v>
      </c>
      <c r="I11" s="3">
        <f>COUNTIFS(FQ0835_p01!K$6:K$30,8,FQ0835_p01!D$6:D$30,A11,FQ0835_p01!L$6:L$30,"Sim")</f>
        <v>0</v>
      </c>
      <c r="J11" s="3">
        <f>COUNTIFS(FQ0835_p01!K$6:K$30,9,FQ0835_p01!D$6:D$30,A11,FQ0835_p01!L$6:L$30,"Sim")</f>
        <v>0</v>
      </c>
      <c r="K11" s="3">
        <f>COUNTIFS(FQ0835_p01!K$6:K$30,10,FQ0835_p01!D$6:D$30,A11,FQ0835_p01!L$6:L$30,"Sim")</f>
        <v>0</v>
      </c>
      <c r="L11" s="3">
        <f>COUNTIFS(FQ0835_p01!K$6:K$30,11,FQ0835_p01!D$6:D$30,A11,FQ0835_p01!L$6:L$30,"Sim")</f>
        <v>0</v>
      </c>
      <c r="M11" s="3">
        <f>COUNTIFS(FQ0835_p01!K$6:K$30,12,FQ0835_p01!D$6:D$30,A11,FQ0835_p01!L$6:L$30,"Sim")</f>
        <v>0</v>
      </c>
      <c r="N11" s="13">
        <f t="shared" ref="N11:N15" si="0">SUM(B11:M11)</f>
        <v>0</v>
      </c>
    </row>
    <row r="12" spans="1:14" ht="24.75" customHeight="1" x14ac:dyDescent="0.25">
      <c r="A12" s="10" t="s">
        <v>38</v>
      </c>
      <c r="B12" s="3">
        <f>COUNTIFS(FQ0835_p01!K$6:K$30,1,FQ0835_p01!D$6:D$30,A12,FQ0835_p01!L$6:L$30,"Sim")</f>
        <v>0</v>
      </c>
      <c r="C12" s="3">
        <f>COUNTIFS(FQ0835_p01!K$6:K$30,2,FQ0835_p01!D$6:D$30,A12,FQ0835_p01!L$6:L$30,"Sim")</f>
        <v>0</v>
      </c>
      <c r="D12" s="3">
        <f>COUNTIFS(FQ0835_p01!K$6:K$30,3,FQ0835_p01!D$6:D$30,A12,FQ0835_p01!L$6:L$30,"Sim")</f>
        <v>0</v>
      </c>
      <c r="E12" s="3">
        <f>COUNTIFS(FQ0835_p01!K$6:K$30,4,FQ0835_p01!D$6:D$30,A12,FQ0835_p01!L$6:L$30,"Sim")</f>
        <v>0</v>
      </c>
      <c r="F12" s="3">
        <f>COUNTIFS(FQ0835_p01!K$6:K$30,5,FQ0835_p01!D$6:D$30,A12,FQ0835_p01!L$6:L$30,"Sim")</f>
        <v>0</v>
      </c>
      <c r="G12" s="3">
        <f>COUNTIFS(FQ0835_p01!K$6:K$30,6,FQ0835_p01!D$6:D$30,A12,FQ0835_p01!L$6:L$30,"Sim")</f>
        <v>0</v>
      </c>
      <c r="H12" s="3">
        <f>COUNTIFS(FQ0835_p01!K$6:K$30,7,FQ0835_p01!D$6:D$30,A12,FQ0835_p01!L$6:L$30,"Sim")</f>
        <v>0</v>
      </c>
      <c r="I12" s="3">
        <f>COUNTIFS(FQ0835_p01!K$6:K$30,8,FQ0835_p01!D$6:D$30,A12,FQ0835_p01!L$6:L$30,"Sim")</f>
        <v>0</v>
      </c>
      <c r="J12" s="3">
        <f>COUNTIFS(FQ0835_p01!K$6:K$30,9,FQ0835_p01!D$6:D$30,A12,FQ0835_p01!L$6:L$30,"Sim")</f>
        <v>0</v>
      </c>
      <c r="K12" s="3">
        <f>COUNTIFS(FQ0835_p01!K$6:K$30,10,FQ0835_p01!D$6:D$30,A12,FQ0835_p01!L$6:L$30,"Sim")</f>
        <v>0</v>
      </c>
      <c r="L12" s="3">
        <f>COUNTIFS(FQ0835_p01!K$6:K$30,11,FQ0835_p01!D$6:D$30,A12,FQ0835_p01!L$6:L$30,"Sim")</f>
        <v>0</v>
      </c>
      <c r="M12" s="3">
        <f>COUNTIFS(FQ0835_p01!K$6:K$30,12,FQ0835_p01!D$6:D$30,A12,FQ0835_p01!L$6:L$30,"Sim")</f>
        <v>0</v>
      </c>
      <c r="N12" s="13">
        <f t="shared" ref="N12" si="1">SUM(B12:M12)</f>
        <v>0</v>
      </c>
    </row>
    <row r="13" spans="1:14" x14ac:dyDescent="0.25">
      <c r="A13" s="9" t="s">
        <v>15</v>
      </c>
      <c r="B13" s="3">
        <f>COUNTIFS(FQ0835_p01!K$6:K$30,1,FQ0835_p01!D$6:D$30,A13,FQ0835_p01!L$6:L$30,"Sim")</f>
        <v>0</v>
      </c>
      <c r="C13" s="3">
        <f>COUNTIFS(FQ0835_p01!K$6:K$30,2,FQ0835_p01!D$6:D$30,A13,FQ0835_p01!L$6:L$30,"Sim")</f>
        <v>0</v>
      </c>
      <c r="D13" s="3">
        <f>COUNTIFS(FQ0835_p01!K$6:K$30,3,FQ0835_p01!D$6:D$30,A13,FQ0835_p01!L$6:L$30,"Sim")</f>
        <v>0</v>
      </c>
      <c r="E13" s="3">
        <f>COUNTIFS(FQ0835_p01!K$6:K$30,4,FQ0835_p01!D$6:D$30,A13,FQ0835_p01!L$6:L$30,"Sim")</f>
        <v>0</v>
      </c>
      <c r="F13" s="3">
        <f>COUNTIFS(FQ0835_p01!K$6:K$30,5,FQ0835_p01!D$6:D$30,A13,FQ0835_p01!L$6:L$30,"Sim")</f>
        <v>0</v>
      </c>
      <c r="G13" s="3">
        <f>COUNTIFS(FQ0835_p01!K$6:K$30,6,FQ0835_p01!D$6:D$30,A13,FQ0835_p01!L$6:L$30,"Sim")</f>
        <v>0</v>
      </c>
      <c r="H13" s="3">
        <f>COUNTIFS(FQ0835_p01!K$6:K$30,7,FQ0835_p01!D$6:D$30,A13,FQ0835_p01!L$6:L$30,"Sim")</f>
        <v>0</v>
      </c>
      <c r="I13" s="3">
        <f>COUNTIFS(FQ0835_p01!K$6:K$30,8,FQ0835_p01!D$6:D$30,A13,FQ0835_p01!L$6:L$30,"Sim")</f>
        <v>0</v>
      </c>
      <c r="J13" s="3">
        <f>COUNTIFS(FQ0835_p01!K$6:K$30,9,FQ0835_p01!D$6:D$30,A13,FQ0835_p01!L$6:L$30,"Sim")</f>
        <v>0</v>
      </c>
      <c r="K13" s="3">
        <f>COUNTIFS(FQ0835_p01!K$6:K$30,10,FQ0835_p01!D$6:D$30,A13,FQ0835_p01!L$6:L$30,"Sim")</f>
        <v>0</v>
      </c>
      <c r="L13" s="3">
        <f>COUNTIFS(FQ0835_p01!K$6:K$30,11,FQ0835_p01!D$6:D$30,A13,FQ0835_p01!L$6:L$30,"Sim")</f>
        <v>0</v>
      </c>
      <c r="M13" s="3">
        <f>COUNTIFS(FQ0835_p01!K$6:K$30,12,FQ0835_p01!D$6:D$30,A13,FQ0835_p01!L$6:L$30,"Sim")</f>
        <v>0</v>
      </c>
      <c r="N13" s="13">
        <f t="shared" si="0"/>
        <v>0</v>
      </c>
    </row>
    <row r="14" spans="1:14" x14ac:dyDescent="0.25">
      <c r="A14" s="9" t="s">
        <v>11</v>
      </c>
      <c r="B14" s="3">
        <f>COUNTIFS(FQ0835_p01!K$6:K$30,1,FQ0835_p01!D$6:D$30,A14,FQ0835_p01!L$6:L$30,"Sim")</f>
        <v>0</v>
      </c>
      <c r="C14" s="3">
        <f>COUNTIFS(FQ0835_p01!K$6:K$30,2,FQ0835_p01!D$6:D$30,A14,FQ0835_p01!L$6:L$30,"Sim")</f>
        <v>0</v>
      </c>
      <c r="D14" s="3">
        <f>COUNTIFS(FQ0835_p01!K$6:K$30,3,FQ0835_p01!D$6:D$30,A14,FQ0835_p01!L$6:L$30,"Sim")</f>
        <v>0</v>
      </c>
      <c r="E14" s="3">
        <f>COUNTIFS(FQ0835_p01!K$6:K$30,4,FQ0835_p01!D$6:D$30,A14,FQ0835_p01!L$6:L$30,"Sim")</f>
        <v>0</v>
      </c>
      <c r="F14" s="3">
        <f>COUNTIFS(FQ0835_p01!K$6:K$30,5,FQ0835_p01!D$6:D$30,A14,FQ0835_p01!L$6:L$30,"Sim")</f>
        <v>0</v>
      </c>
      <c r="G14" s="3">
        <f>COUNTIFS(FQ0835_p01!K$6:K$30,6,FQ0835_p01!D$6:D$30,A14,FQ0835_p01!L$6:L$30,"Sim")</f>
        <v>0</v>
      </c>
      <c r="H14" s="3">
        <f>COUNTIFS(FQ0835_p01!K$6:K$30,7,FQ0835_p01!D$6:D$30,A14,FQ0835_p01!L$6:L$30,"Sim")</f>
        <v>0</v>
      </c>
      <c r="I14" s="3">
        <f>COUNTIFS(FQ0835_p01!K$6:K$30,8,FQ0835_p01!D$6:D$30,A14,FQ0835_p01!L$6:L$30,"Sim")</f>
        <v>0</v>
      </c>
      <c r="J14" s="3">
        <f>COUNTIFS(FQ0835_p01!K$6:K$30,9,FQ0835_p01!D$6:D$30,A14,FQ0835_p01!L$6:L$30,"Sim")</f>
        <v>0</v>
      </c>
      <c r="K14" s="3">
        <f>COUNTIFS(FQ0835_p01!K$6:K$30,10,FQ0835_p01!D$6:D$30,A14,FQ0835_p01!L$6:L$30,"Sim")</f>
        <v>0</v>
      </c>
      <c r="L14" s="3">
        <f>COUNTIFS(FQ0835_p01!K$6:K$30,11,FQ0835_p01!D$6:D$30,A14,FQ0835_p01!L$6:L$30,"Sim")</f>
        <v>0</v>
      </c>
      <c r="M14" s="3">
        <f>COUNTIFS(FQ0835_p01!K$6:K$30,12,FQ0835_p01!D$6:D$30,A14,FQ0835_p01!L$6:L$30,"Sim")</f>
        <v>0</v>
      </c>
      <c r="N14" s="13">
        <f t="shared" si="0"/>
        <v>0</v>
      </c>
    </row>
    <row r="15" spans="1:14" x14ac:dyDescent="0.25">
      <c r="A15" s="9" t="s">
        <v>16</v>
      </c>
      <c r="B15" s="3">
        <f>COUNTIFS(FQ0835_p01!K$6:K$30,1,FQ0835_p01!D$6:D$30,A15,FQ0835_p01!L$6:L$30,"Sim")</f>
        <v>0</v>
      </c>
      <c r="C15" s="3">
        <f>COUNTIFS(FQ0835_p01!K$6:K$30,2,FQ0835_p01!D$6:D$30,A15,FQ0835_p01!L$6:L$30,"Sim")</f>
        <v>0</v>
      </c>
      <c r="D15" s="3">
        <f>COUNTIFS(FQ0835_p01!K$6:K$30,3,FQ0835_p01!D$6:D$30,A15,FQ0835_p01!L$6:L$30,"Sim")</f>
        <v>0</v>
      </c>
      <c r="E15" s="3">
        <f>COUNTIFS(FQ0835_p01!K$6:K$30,4,FQ0835_p01!D$6:D$30,A15,FQ0835_p01!L$6:L$30,"Sim")</f>
        <v>0</v>
      </c>
      <c r="F15" s="3">
        <f>COUNTIFS(FQ0835_p01!K$6:K$30,5,FQ0835_p01!D$6:D$30,A15,FQ0835_p01!L$6:L$30,"Sim")</f>
        <v>0</v>
      </c>
      <c r="G15" s="3">
        <f>COUNTIFS(FQ0835_p01!K$6:K$30,6,FQ0835_p01!D$6:D$30,A15,FQ0835_p01!L$6:L$30,"Sim")</f>
        <v>0</v>
      </c>
      <c r="H15" s="3">
        <f>COUNTIFS(FQ0835_p01!K$6:K$30,7,FQ0835_p01!D$6:D$30,A15,FQ0835_p01!L$6:L$30,"Sim")</f>
        <v>0</v>
      </c>
      <c r="I15" s="3">
        <f>COUNTIFS(FQ0835_p01!K$6:K$30,8,FQ0835_p01!D$6:D$30,A15,FQ0835_p01!L$6:L$30,"Sim")</f>
        <v>0</v>
      </c>
      <c r="J15" s="3">
        <f>COUNTIFS(FQ0835_p01!K$6:K$30,9,FQ0835_p01!D$6:D$30,A15,FQ0835_p01!L$6:L$30,"Sim")</f>
        <v>0</v>
      </c>
      <c r="K15" s="3">
        <f>COUNTIFS(FQ0835_p01!K$6:K$30,10,FQ0835_p01!D$6:D$30,A15,FQ0835_p01!L$6:L$30,"Sim")</f>
        <v>0</v>
      </c>
      <c r="L15" s="3">
        <f>COUNTIFS(FQ0835_p01!K$6:K$30,11,FQ0835_p01!D$6:D$30,A15,FQ0835_p01!L$6:L$30,"Sim")</f>
        <v>0</v>
      </c>
      <c r="M15" s="3">
        <f>COUNTIFS(FQ0835_p01!K$6:K$30,12,FQ0835_p01!D$6:D$30,A15,FQ0835_p01!L$6:L$30,"Sim")</f>
        <v>0</v>
      </c>
      <c r="N15" s="13">
        <f t="shared" si="0"/>
        <v>0</v>
      </c>
    </row>
    <row r="16" spans="1:14" ht="15.75" thickBot="1" x14ac:dyDescent="0.3">
      <c r="A16" s="7" t="s">
        <v>17</v>
      </c>
      <c r="B16" s="8">
        <f>SUM(B10:B15)</f>
        <v>0</v>
      </c>
      <c r="C16" s="8">
        <f>SUM(C10:C15)</f>
        <v>0</v>
      </c>
      <c r="D16" s="8">
        <f t="shared" ref="D16:M16" si="2">SUM(D10:D15)</f>
        <v>0</v>
      </c>
      <c r="E16" s="8">
        <f t="shared" si="2"/>
        <v>0</v>
      </c>
      <c r="F16" s="8">
        <f t="shared" si="2"/>
        <v>0</v>
      </c>
      <c r="G16" s="8">
        <f t="shared" si="2"/>
        <v>0</v>
      </c>
      <c r="H16" s="8">
        <f t="shared" si="2"/>
        <v>0</v>
      </c>
      <c r="I16" s="8">
        <f t="shared" si="2"/>
        <v>0</v>
      </c>
      <c r="J16" s="8">
        <f t="shared" si="2"/>
        <v>0</v>
      </c>
      <c r="K16" s="8">
        <f t="shared" si="2"/>
        <v>0</v>
      </c>
      <c r="L16" s="8">
        <f t="shared" si="2"/>
        <v>0</v>
      </c>
      <c r="M16" s="8">
        <f t="shared" si="2"/>
        <v>0</v>
      </c>
      <c r="N16" s="14">
        <f>SUM(B16:M16)</f>
        <v>0</v>
      </c>
    </row>
    <row r="18" spans="1:14" x14ac:dyDescent="0.25">
      <c r="A18" s="72" t="s">
        <v>49</v>
      </c>
      <c r="B18" s="72"/>
      <c r="C18" s="72"/>
      <c r="D18" s="72"/>
      <c r="E18" s="72"/>
      <c r="F18" s="72"/>
    </row>
    <row r="19" spans="1:14" ht="15.75" thickBot="1" x14ac:dyDescent="0.3"/>
    <row r="20" spans="1:14" x14ac:dyDescent="0.25">
      <c r="A20" s="70" t="s">
        <v>13</v>
      </c>
      <c r="B20" s="73" t="s">
        <v>18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4"/>
    </row>
    <row r="21" spans="1:14" x14ac:dyDescent="0.25">
      <c r="A21" s="71"/>
      <c r="B21" s="6" t="s">
        <v>19</v>
      </c>
      <c r="C21" s="6" t="s">
        <v>20</v>
      </c>
      <c r="D21" s="6" t="s">
        <v>21</v>
      </c>
      <c r="E21" s="6" t="s">
        <v>22</v>
      </c>
      <c r="F21" s="6" t="s">
        <v>23</v>
      </c>
      <c r="G21" s="6" t="s">
        <v>24</v>
      </c>
      <c r="H21" s="6" t="s">
        <v>25</v>
      </c>
      <c r="I21" s="6" t="s">
        <v>26</v>
      </c>
      <c r="J21" s="6" t="s">
        <v>27</v>
      </c>
      <c r="K21" s="6" t="s">
        <v>28</v>
      </c>
      <c r="L21" s="6" t="s">
        <v>29</v>
      </c>
      <c r="M21" s="6" t="s">
        <v>30</v>
      </c>
      <c r="N21" s="13" t="s">
        <v>17</v>
      </c>
    </row>
    <row r="22" spans="1:14" x14ac:dyDescent="0.25">
      <c r="A22" s="9" t="s">
        <v>14</v>
      </c>
      <c r="B22" s="3">
        <f>COUNTIFS(FQ0835_p01!K$6:K$30,1,FQ0835_p01!D$6:D$30,A22,FQ0835_p01!L$6:L$30,"Sim",FQ0835_p01!M$6:M$30,"Sim")</f>
        <v>0</v>
      </c>
      <c r="C22" s="3">
        <f>COUNTIFS(FQ0835_p01!K$6:K$30,2,FQ0835_p01!D$6:D$30,A22,FQ0835_p01!L$6:L$30,"Sim",FQ0835_p01!M$6:M$30,"Sim")</f>
        <v>0</v>
      </c>
      <c r="D22" s="3">
        <f>COUNTIFS(FQ0835_p01!K$6:K$30,3,FQ0835_p01!D$6:D$30,A22,FQ0835_p01!L$6:L$30,"Sim",FQ0835_p01!M$6:M$30,"Sim")</f>
        <v>0</v>
      </c>
      <c r="E22" s="3">
        <f>COUNTIFS(FQ0835_p01!K$6:K$30,4,FQ0835_p01!D$6:D$30,A22,FQ0835_p01!L$6:L$30,"Sim",FQ0835_p01!M$6:M$30,"Sim")</f>
        <v>0</v>
      </c>
      <c r="F22" s="3">
        <f>COUNTIFS(FQ0835_p01!K$6:K$30,5,FQ0835_p01!D$6:D$30,A22,FQ0835_p01!L$6:L$30,"Sim",FQ0835_p01!M$6:M$30,"Sim")</f>
        <v>0</v>
      </c>
      <c r="G22" s="3">
        <f>COUNTIFS(FQ0835_p01!K$6:K$30,6,FQ0835_p01!D$6:D$30,A22,FQ0835_p01!L$6:L$30,"Sim",FQ0835_p01!M$6:M$30,"Sim")</f>
        <v>0</v>
      </c>
      <c r="H22" s="3">
        <f>COUNTIFS(FQ0835_p01!K$6:K$30,7,FQ0835_p01!D$6:D$30,A22,FQ0835_p01!L$6:L$30,"Sim",FQ0835_p01!M$6:M$30,"Sim")</f>
        <v>0</v>
      </c>
      <c r="I22" s="3">
        <f>COUNTIFS(FQ0835_p01!K$6:K$30,8,FQ0835_p01!D$6:D$30,A22,FQ0835_p01!L$6:L$30,"Sim",FQ0835_p01!M$6:M$30,"Sim")</f>
        <v>0</v>
      </c>
      <c r="J22" s="3">
        <f>COUNTIFS(FQ0835_p01!K$6:K$30,9,FQ0835_p01!D$6:D$30,A22,FQ0835_p01!L$6:L$30,"Sim",FQ0835_p01!M$6:M$30,"Sim")</f>
        <v>0</v>
      </c>
      <c r="K22" s="3">
        <f>COUNTIFS(FQ0835_p01!K$6:K$30,10,FQ0835_p01!D$6:D$30,A22,FQ0835_p01!L$6:L$30,"Sim",FQ0835_p01!M$6:M$30,"Sim")</f>
        <v>0</v>
      </c>
      <c r="L22" s="3">
        <f>COUNTIFS(FQ0835_p01!K$6:K$30,11,FQ0835_p01!D$6:D$30,A22,FQ0835_p01!L$6:L$30,"Sim",FQ0835_p01!M$6:M$30,"Sim")</f>
        <v>0</v>
      </c>
      <c r="M22" s="3">
        <f>COUNTIFS(FQ0835_p01!K$6:K$30,12,FQ0835_p01!D$6:D$30,A22,FQ0835_p01!L$6:L$30,"Sim",FQ0835_p01!M$6:M$30,"Sim")</f>
        <v>0</v>
      </c>
      <c r="N22" s="13">
        <f>SUM(B22:M22)</f>
        <v>0</v>
      </c>
    </row>
    <row r="23" spans="1:14" x14ac:dyDescent="0.25">
      <c r="A23" s="10" t="s">
        <v>37</v>
      </c>
      <c r="B23" s="3">
        <f>COUNTIFS(FQ0835_p01!K$6:K$30,1,FQ0835_p01!D$6:D$30,A23,FQ0835_p01!L$6:L$30,"Sim",FQ0835_p01!M$6:M$30,"Sim")</f>
        <v>0</v>
      </c>
      <c r="C23" s="3">
        <f>COUNTIFS(FQ0835_p01!K$6:K$30,2,FQ0835_p01!D$6:D$30,A23,FQ0835_p01!L$6:L$30,"Sim",FQ0835_p01!M$6:M$30,"Sim")</f>
        <v>0</v>
      </c>
      <c r="D23" s="3">
        <f>COUNTIFS(FQ0835_p01!K$6:K$30,3,FQ0835_p01!D$6:D$30,A23,FQ0835_p01!L$6:L$30,"Sim")</f>
        <v>0</v>
      </c>
      <c r="E23" s="3">
        <f>COUNTIFS(FQ0835_p01!K$6:K$30,4,FQ0835_p01!D$6:D$30,A23,FQ0835_p01!L$6:L$30,"Sim",FQ0835_p01!M$6:M$30,"Sim")</f>
        <v>0</v>
      </c>
      <c r="F23" s="3">
        <f>COUNTIFS(FQ0835_p01!K$6:K$30,5,FQ0835_p01!D$6:D$30,A23,FQ0835_p01!L$6:L$30,"Sim",FQ0835_p01!M$6:M$30,"Sim")</f>
        <v>0</v>
      </c>
      <c r="G23" s="3">
        <f>COUNTIFS(FQ0835_p01!K$6:K$30,6,FQ0835_p01!D$6:D$30,A23,FQ0835_p01!L$6:L$30,"Sim",FQ0835_p01!M$6:M$30,"Sim")</f>
        <v>0</v>
      </c>
      <c r="H23" s="3">
        <f>COUNTIFS(FQ0835_p01!K$6:K$30,7,FQ0835_p01!D$6:D$30,A23,FQ0835_p01!L$6:L$30,"Sim",FQ0835_p01!M$6:M$30,"Sim")</f>
        <v>0</v>
      </c>
      <c r="I23" s="3">
        <f>COUNTIFS(FQ0835_p01!K$6:K$30,8,FQ0835_p01!D$6:D$30,A23,FQ0835_p01!L$6:L$30,"Sim",FQ0835_p01!M$6:M$30,"Sim")</f>
        <v>0</v>
      </c>
      <c r="J23" s="3">
        <f>COUNTIFS(FQ0835_p01!K$6:K$30,9,FQ0835_p01!D$6:D$30,A23,FQ0835_p01!L$6:L$30,"Sim",FQ0835_p01!M$6:M$30,"Sim")</f>
        <v>0</v>
      </c>
      <c r="K23" s="3">
        <f>COUNTIFS(FQ0835_p01!K$6:K$30,10,FQ0835_p01!D$6:D$30,A23,FQ0835_p01!L$6:L$30,"Sim",FQ0835_p01!M$6:M$30,"Sim")</f>
        <v>0</v>
      </c>
      <c r="L23" s="3">
        <f>COUNTIFS(FQ0835_p01!K$6:K$30,11,FQ0835_p01!D$6:D$30,A23,FQ0835_p01!L$6:L$30,"Sim",FQ0835_p01!M$6:M$30,"Sim")</f>
        <v>0</v>
      </c>
      <c r="M23" s="3">
        <f>COUNTIFS(FQ0835_p01!K$6:K$30,12,FQ0835_p01!D$6:D$30,A23,FQ0835_p01!L$6:L$30,"Sim",FQ0835_p01!M$6:M$30,"Sim")</f>
        <v>0</v>
      </c>
      <c r="N23" s="13">
        <f t="shared" ref="N23:N27" si="3">SUM(B23:M23)</f>
        <v>0</v>
      </c>
    </row>
    <row r="24" spans="1:14" x14ac:dyDescent="0.25">
      <c r="A24" s="10" t="s">
        <v>38</v>
      </c>
      <c r="B24" s="3">
        <f>COUNTIFS(FQ0835_p01!K$6:K$30,1,FQ0835_p01!D$6:D$30,A24,FQ0835_p01!L$6:L$30,"Sim",FQ0835_p01!M$6:M$30,"Sim")</f>
        <v>0</v>
      </c>
      <c r="C24" s="3">
        <f>COUNTIFS(FQ0835_p01!K$6:K$30,2,FQ0835_p01!D$6:D$30,A24,FQ0835_p01!L$6:L$30,"Sim",FQ0835_p01!M$6:M$30,"Sim")</f>
        <v>0</v>
      </c>
      <c r="D24" s="3">
        <f>COUNTIFS(FQ0835_p01!K$6:K$30,3,FQ0835_p01!D$6:D$30,A24,FQ0835_p01!L$6:L$30,"Sim")</f>
        <v>0</v>
      </c>
      <c r="E24" s="3">
        <f>COUNTIFS(FQ0835_p01!K$6:K$30,4,FQ0835_p01!D$6:D$30,A24,FQ0835_p01!L$6:L$30,"Sim",FQ0835_p01!M$6:M$30,"Sim")</f>
        <v>0</v>
      </c>
      <c r="F24" s="3">
        <f>COUNTIFS(FQ0835_p01!K$6:K$30,5,FQ0835_p01!D$6:D$30,A24,FQ0835_p01!L$6:L$30,"Sim",FQ0835_p01!M$6:M$30,"Sim")</f>
        <v>0</v>
      </c>
      <c r="G24" s="3">
        <f>COUNTIFS(FQ0835_p01!K$6:K$30,6,FQ0835_p01!D$6:D$30,A24,FQ0835_p01!L$6:L$30,"Sim",FQ0835_p01!M$6:M$30,"Sim")</f>
        <v>0</v>
      </c>
      <c r="H24" s="3">
        <f>COUNTIFS(FQ0835_p01!K$6:K$30,7,FQ0835_p01!D$6:D$30,A24,FQ0835_p01!L$6:L$30,"Sim",FQ0835_p01!M$6:M$30,"Sim")</f>
        <v>0</v>
      </c>
      <c r="I24" s="3">
        <f>COUNTIFS(FQ0835_p01!K$6:K$30,8,FQ0835_p01!D$6:D$30,A24,FQ0835_p01!L$6:L$30,"Sim",FQ0835_p01!M$6:M$30,"Sim")</f>
        <v>0</v>
      </c>
      <c r="J24" s="3">
        <f>COUNTIFS(FQ0835_p01!K$6:K$30,9,FQ0835_p01!D$6:D$30,A24,FQ0835_p01!L$6:L$30,"Sim",FQ0835_p01!M$6:M$30,"Sim")</f>
        <v>0</v>
      </c>
      <c r="K24" s="3">
        <f>COUNTIFS(FQ0835_p01!K$6:K$30,10,FQ0835_p01!D$6:D$30,A24,FQ0835_p01!L$6:L$30,"Sim",FQ0835_p01!M$6:M$30,"Sim")</f>
        <v>0</v>
      </c>
      <c r="L24" s="3">
        <f>COUNTIFS(FQ0835_p01!K$6:K$30,11,FQ0835_p01!D$6:D$30,A24,FQ0835_p01!L$6:L$30,"Sim",FQ0835_p01!M$6:M$30,"Sim")</f>
        <v>0</v>
      </c>
      <c r="M24" s="3">
        <f>COUNTIFS(FQ0835_p01!K$6:K$30,12,FQ0835_p01!D$6:D$30,A24,FQ0835_p01!L$6:L$30,"Sim",FQ0835_p01!M$6:M$30,"Sim")</f>
        <v>0</v>
      </c>
      <c r="N24" s="13">
        <f t="shared" si="3"/>
        <v>0</v>
      </c>
    </row>
    <row r="25" spans="1:14" x14ac:dyDescent="0.25">
      <c r="A25" s="9" t="s">
        <v>15</v>
      </c>
      <c r="B25" s="3">
        <f>COUNTIFS(FQ0835_p01!K$6:K$30,1,FQ0835_p01!D$6:D$30,A25,FQ0835_p01!L$6:L$30,"Sim",FQ0835_p01!M$6:M$30,"Sim")</f>
        <v>0</v>
      </c>
      <c r="C25" s="3">
        <f>COUNTIFS(FQ0835_p01!K$6:K$30,2,FQ0835_p01!D$6:D$30,A25,FQ0835_p01!L$6:L$30,"Sim",FQ0835_p01!M$6:M$30,"Sim")</f>
        <v>0</v>
      </c>
      <c r="D25" s="3">
        <f>COUNTIFS(FQ0835_p01!K$6:K$30,3,FQ0835_p01!D$6:D$30,A25,FQ0835_p01!L$6:L$30,"Sim")</f>
        <v>0</v>
      </c>
      <c r="E25" s="3">
        <f>COUNTIFS(FQ0835_p01!K$6:K$30,4,FQ0835_p01!D$6:D$30,A25,FQ0835_p01!L$6:L$30,"Sim",FQ0835_p01!M$6:M$30,"Sim")</f>
        <v>0</v>
      </c>
      <c r="F25" s="3">
        <f>COUNTIFS(FQ0835_p01!K$6:K$30,5,FQ0835_p01!D$6:D$30,A25,FQ0835_p01!L$6:L$30,"Sim",FQ0835_p01!M$6:M$30,"Sim")</f>
        <v>0</v>
      </c>
      <c r="G25" s="3">
        <f>COUNTIFS(FQ0835_p01!K$6:K$30,6,FQ0835_p01!D$6:D$30,A25,FQ0835_p01!L$6:L$30,"Sim",FQ0835_p01!M$6:M$30,"Sim")</f>
        <v>0</v>
      </c>
      <c r="H25" s="3">
        <f>COUNTIFS(FQ0835_p01!K$6:K$30,7,FQ0835_p01!D$6:D$30,A25,FQ0835_p01!L$6:L$30,"Sim",FQ0835_p01!M$6:M$30,"Sim")</f>
        <v>0</v>
      </c>
      <c r="I25" s="3">
        <f>COUNTIFS(FQ0835_p01!K$6:K$30,8,FQ0835_p01!D$6:D$30,A25,FQ0835_p01!L$6:L$30,"Sim",FQ0835_p01!M$6:M$30,"Sim")</f>
        <v>0</v>
      </c>
      <c r="J25" s="3">
        <f>COUNTIFS(FQ0835_p01!K$6:K$30,9,FQ0835_p01!D$6:D$30,A25,FQ0835_p01!L$6:L$30,"Sim",FQ0835_p01!M$6:M$30,"Sim")</f>
        <v>0</v>
      </c>
      <c r="K25" s="3">
        <f>COUNTIFS(FQ0835_p01!K$6:K$30,10,FQ0835_p01!D$6:D$30,A25,FQ0835_p01!L$6:L$30,"Sim",FQ0835_p01!M$6:M$30,"Sim")</f>
        <v>0</v>
      </c>
      <c r="L25" s="3">
        <f>COUNTIFS(FQ0835_p01!K$6:K$30,11,FQ0835_p01!D$6:D$30,A25,FQ0835_p01!L$6:L$30,"Sim",FQ0835_p01!M$6:M$30,"Sim")</f>
        <v>0</v>
      </c>
      <c r="M25" s="3">
        <f>COUNTIFS(FQ0835_p01!K$6:K$30,12,FQ0835_p01!D$6:D$30,A25,FQ0835_p01!L$6:L$30,"Sim",FQ0835_p01!M$6:M$30,"Sim")</f>
        <v>0</v>
      </c>
      <c r="N25" s="13">
        <f t="shared" si="3"/>
        <v>0</v>
      </c>
    </row>
    <row r="26" spans="1:14" x14ac:dyDescent="0.25">
      <c r="A26" s="9" t="s">
        <v>11</v>
      </c>
      <c r="B26" s="3">
        <f>COUNTIFS(FQ0835_p01!K$6:K$30,1,FQ0835_p01!D$6:D$30,A26,FQ0835_p01!L$6:L$30,"Sim",FQ0835_p01!M$6:M$30,"Sim")</f>
        <v>0</v>
      </c>
      <c r="C26" s="3">
        <f>COUNTIFS(FQ0835_p01!K$6:K$30,2,FQ0835_p01!D$6:D$30,A26,FQ0835_p01!L$6:L$30,"Sim",FQ0835_p01!M$6:M$30,"Sim")</f>
        <v>0</v>
      </c>
      <c r="D26" s="3">
        <f>COUNTIFS(FQ0835_p01!K$6:K$30,3,FQ0835_p01!D$6:D$30,A26,FQ0835_p01!L$6:L$30,"Sim")</f>
        <v>0</v>
      </c>
      <c r="E26" s="3">
        <f>COUNTIFS(FQ0835_p01!K$6:K$30,4,FQ0835_p01!D$6:D$30,A26,FQ0835_p01!L$6:L$30,"Sim",FQ0835_p01!M$6:M$30,"Sim")</f>
        <v>0</v>
      </c>
      <c r="F26" s="3">
        <f>COUNTIFS(FQ0835_p01!K$6:K$30,5,FQ0835_p01!D$6:D$30,A26,FQ0835_p01!L$6:L$30,"Sim",FQ0835_p01!M$6:M$30,"Sim")</f>
        <v>0</v>
      </c>
      <c r="G26" s="3">
        <f>COUNTIFS(FQ0835_p01!K$6:K$30,6,FQ0835_p01!D$6:D$30,A26,FQ0835_p01!L$6:L$30,"Sim",FQ0835_p01!M$6:M$30,"Sim")</f>
        <v>0</v>
      </c>
      <c r="H26" s="3">
        <f>COUNTIFS(FQ0835_p01!K$6:K$30,7,FQ0835_p01!D$6:D$30,A26,FQ0835_p01!L$6:L$30,"Sim",FQ0835_p01!M$6:M$30,"Sim")</f>
        <v>0</v>
      </c>
      <c r="I26" s="3">
        <f>COUNTIFS(FQ0835_p01!K$6:K$30,8,FQ0835_p01!D$6:D$30,A26,FQ0835_p01!L$6:L$30,"Sim",FQ0835_p01!M$6:M$30,"Sim")</f>
        <v>0</v>
      </c>
      <c r="J26" s="3">
        <f>COUNTIFS(FQ0835_p01!K$6:K$30,9,FQ0835_p01!D$6:D$30,A26,FQ0835_p01!L$6:L$30,"Sim",FQ0835_p01!M$6:M$30,"Sim")</f>
        <v>0</v>
      </c>
      <c r="K26" s="3">
        <f>COUNTIFS(FQ0835_p01!K$6:K$30,10,FQ0835_p01!D$6:D$30,A26,FQ0835_p01!L$6:L$30,"Sim",FQ0835_p01!M$6:M$30,"Sim")</f>
        <v>0</v>
      </c>
      <c r="L26" s="3">
        <f>COUNTIFS(FQ0835_p01!K$6:K$30,11,FQ0835_p01!D$6:D$30,A26,FQ0835_p01!L$6:L$30,"Sim",FQ0835_p01!M$6:M$30,"Sim")</f>
        <v>0</v>
      </c>
      <c r="M26" s="3">
        <f>COUNTIFS(FQ0835_p01!K$6:K$30,12,FQ0835_p01!D$6:D$30,A26,FQ0835_p01!L$6:L$30,"Sim",FQ0835_p01!M$6:M$30,"Sim")</f>
        <v>0</v>
      </c>
      <c r="N26" s="13">
        <f t="shared" si="3"/>
        <v>0</v>
      </c>
    </row>
    <row r="27" spans="1:14" x14ac:dyDescent="0.25">
      <c r="A27" s="9" t="s">
        <v>16</v>
      </c>
      <c r="B27" s="3">
        <f>COUNTIFS(FQ0835_p01!K$6:K$30,1,FQ0835_p01!D$6:D$30,A27,FQ0835_p01!L$6:L$30,"Sim",FQ0835_p01!M$6:M$30,"Sim")</f>
        <v>0</v>
      </c>
      <c r="C27" s="3">
        <f>COUNTIFS(FQ0835_p01!K$6:K$30,2,FQ0835_p01!D$6:D$30,A27,FQ0835_p01!L$6:L$30,"Sim",FQ0835_p01!M$6:M$30,"Sim")</f>
        <v>0</v>
      </c>
      <c r="D27" s="3">
        <f>COUNTIFS(FQ0835_p01!K$6:K$30,3,FQ0835_p01!D$6:D$30,A27,FQ0835_p01!L$6:L$30,"Sim",FQ0835_p01!M$6:M$30,"Sim")</f>
        <v>0</v>
      </c>
      <c r="E27" s="3">
        <f>COUNTIFS(FQ0835_p01!K$6:K$30,4,FQ0835_p01!D$6:D$30,A27,FQ0835_p01!L$6:L$30,"Sim",FQ0835_p01!M$6:M$30,"Sim")</f>
        <v>0</v>
      </c>
      <c r="F27" s="3">
        <f>COUNTIFS(FQ0835_p01!K$6:K$30,5,FQ0835_p01!D$6:D$30,A27,FQ0835_p01!L$6:L$30,"Sim",FQ0835_p01!M$6:M$30,"Sim")</f>
        <v>0</v>
      </c>
      <c r="G27" s="3">
        <f>COUNTIFS(FQ0835_p01!K$6:K$30,6,FQ0835_p01!D$6:D$30,A27,FQ0835_p01!L$6:L$30,"Sim",FQ0835_p01!M$6:M$30,"Sim")</f>
        <v>0</v>
      </c>
      <c r="H27" s="3">
        <f>COUNTIFS(FQ0835_p01!K$6:K$30,7,FQ0835_p01!D$6:D$30,A27,FQ0835_p01!L$6:L$30,"Sim",FQ0835_p01!M$6:M$30,"Sim")</f>
        <v>0</v>
      </c>
      <c r="I27" s="3">
        <f>COUNTIFS(FQ0835_p01!K$6:K$30,8,FQ0835_p01!D$6:D$30,A27,FQ0835_p01!L$6:L$30,"Sim",FQ0835_p01!M$6:M$30,"Sim")</f>
        <v>0</v>
      </c>
      <c r="J27" s="3">
        <f>COUNTIFS(FQ0835_p01!K$6:K$30,9,FQ0835_p01!D$6:D$30,A27,FQ0835_p01!L$6:L$30,"Sim",FQ0835_p01!M$6:M$30,"Sim")</f>
        <v>0</v>
      </c>
      <c r="K27" s="3">
        <f>COUNTIFS(FQ0835_p01!K$6:K$30,10,FQ0835_p01!D$6:D$30,A27,FQ0835_p01!L$6:L$30,"Sim",FQ0835_p01!M$6:M$30,"Sim")</f>
        <v>0</v>
      </c>
      <c r="L27" s="3">
        <f>COUNTIFS(FQ0835_p01!K$6:K$30,11,FQ0835_p01!D$6:D$30,A27,FQ0835_p01!L$6:L$30,"Sim",FQ0835_p01!M$6:M$30,"Sim")</f>
        <v>0</v>
      </c>
      <c r="M27" s="3">
        <f>COUNTIFS(FQ0835_p01!K$6:K$30,12,FQ0835_p01!D$6:D$30,A27,FQ0835_p01!L$6:L$30,"Sim",FQ0835_p01!M$6:M$30,"Sim")</f>
        <v>0</v>
      </c>
      <c r="N27" s="13">
        <f t="shared" si="3"/>
        <v>0</v>
      </c>
    </row>
    <row r="28" spans="1:14" ht="15.75" thickBot="1" x14ac:dyDescent="0.3">
      <c r="A28" s="7" t="s">
        <v>17</v>
      </c>
      <c r="B28" s="8">
        <f>SUM(B22:B27)</f>
        <v>0</v>
      </c>
      <c r="C28" s="8">
        <f>SUM(C22:C27)</f>
        <v>0</v>
      </c>
      <c r="D28" s="8">
        <f t="shared" ref="D28:L28" si="4">SUM(D22:D27)</f>
        <v>0</v>
      </c>
      <c r="E28" s="8">
        <f t="shared" si="4"/>
        <v>0</v>
      </c>
      <c r="F28" s="8">
        <f t="shared" si="4"/>
        <v>0</v>
      </c>
      <c r="G28" s="8">
        <f t="shared" si="4"/>
        <v>0</v>
      </c>
      <c r="H28" s="8">
        <f t="shared" si="4"/>
        <v>0</v>
      </c>
      <c r="I28" s="8">
        <f t="shared" si="4"/>
        <v>0</v>
      </c>
      <c r="J28" s="8">
        <f t="shared" si="4"/>
        <v>0</v>
      </c>
      <c r="K28" s="8">
        <f t="shared" si="4"/>
        <v>0</v>
      </c>
      <c r="L28" s="8">
        <f t="shared" si="4"/>
        <v>0</v>
      </c>
      <c r="M28" s="8">
        <f>SUM(M22:M27)</f>
        <v>0</v>
      </c>
      <c r="N28" s="14">
        <f>SUM(B28:M28)</f>
        <v>0</v>
      </c>
    </row>
    <row r="29" spans="1:14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9"/>
    </row>
    <row r="30" spans="1:14" x14ac:dyDescent="0.25">
      <c r="A30" s="72" t="s">
        <v>47</v>
      </c>
      <c r="B30" s="72"/>
      <c r="C30" s="72"/>
      <c r="D30" s="72"/>
      <c r="E30" s="72"/>
      <c r="F30" s="72"/>
    </row>
    <row r="31" spans="1:14" ht="15.75" thickBot="1" x14ac:dyDescent="0.3"/>
    <row r="32" spans="1:14" s="16" customFormat="1" x14ac:dyDescent="0.25">
      <c r="A32" s="81" t="s">
        <v>13</v>
      </c>
      <c r="B32" s="83" t="s">
        <v>18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4"/>
    </row>
    <row r="33" spans="1:14" s="16" customFormat="1" x14ac:dyDescent="0.25">
      <c r="A33" s="82"/>
      <c r="B33" s="46" t="s">
        <v>19</v>
      </c>
      <c r="C33" s="46" t="s">
        <v>20</v>
      </c>
      <c r="D33" s="46" t="s">
        <v>21</v>
      </c>
      <c r="E33" s="46" t="s">
        <v>22</v>
      </c>
      <c r="F33" s="46" t="s">
        <v>23</v>
      </c>
      <c r="G33" s="46" t="s">
        <v>24</v>
      </c>
      <c r="H33" s="46" t="s">
        <v>25</v>
      </c>
      <c r="I33" s="46" t="s">
        <v>26</v>
      </c>
      <c r="J33" s="46" t="s">
        <v>27</v>
      </c>
      <c r="K33" s="46" t="s">
        <v>28</v>
      </c>
      <c r="L33" s="46" t="s">
        <v>29</v>
      </c>
      <c r="M33" s="46" t="s">
        <v>30</v>
      </c>
      <c r="N33" s="31" t="s">
        <v>17</v>
      </c>
    </row>
    <row r="34" spans="1:14" s="16" customFormat="1" x14ac:dyDescent="0.25">
      <c r="A34" s="23" t="s">
        <v>14</v>
      </c>
      <c r="B34" s="24">
        <f>COUNTIFS(FQ0835_p01!K$6:K$30,1,FQ0835_p01!D$6:D$30,A34,FQ0835_p01!L$6:L$30,"Não")</f>
        <v>0</v>
      </c>
      <c r="C34" s="24">
        <f>COUNTIFS(FQ0835_p01!K$6:K$30,2,FQ0835_p01!D$6:D$30,A34,FQ0835_p01!L$6:L$30,"Não")</f>
        <v>0</v>
      </c>
      <c r="D34" s="24">
        <f>COUNTIFS(FQ0835_p01!K$6:K$30,3,FQ0835_p01!D$6:D$30,A34,FQ0835_p01!L$6:L$30,"Não")</f>
        <v>0</v>
      </c>
      <c r="E34" s="24">
        <f>COUNTIFS(FQ0835_p01!K$6:K$30,4,FQ0835_p01!D$6:D$30,A34,FQ0835_p01!L$6:L$30,"Não")</f>
        <v>0</v>
      </c>
      <c r="F34" s="24">
        <f>COUNTIFS(FQ0835_p01!K$6:K$30,5,FQ0835_p01!D$6:D$30,A34,FQ0835_p01!L$6:L$30,"Não")</f>
        <v>0</v>
      </c>
      <c r="G34" s="24">
        <f>COUNTIFS(FQ0835_p01!K$6:K$30,6,FQ0835_p01!D$6:D$30,A34,FQ0835_p01!L$6:L$30,"Não")</f>
        <v>0</v>
      </c>
      <c r="H34" s="24">
        <f>COUNTIFS(FQ0835_p01!K$6:K$30,7,FQ0835_p01!D$6:D$30,A34,FQ0835_p01!L$6:L$30,"Não")</f>
        <v>0</v>
      </c>
      <c r="I34" s="24">
        <f>COUNTIFS(FQ0835_p01!K$6:K$30,8,FQ0835_p01!D$6:D$30,A34,FQ0835_p01!L$6:L$30,"Não")</f>
        <v>0</v>
      </c>
      <c r="J34" s="24">
        <f>COUNTIFS(FQ0835_p01!K$6:K$30,9,FQ0835_p01!D$6:D$30,A34,FQ0835_p01!L$6:L$30,"Não")</f>
        <v>0</v>
      </c>
      <c r="K34" s="24">
        <f>COUNTIFS(FQ0835_p01!K$6:K$30,10,FQ0835_p01!D$6:D$30,A34,FQ0835_p01!L$6:L$30,"Não")</f>
        <v>0</v>
      </c>
      <c r="L34" s="24">
        <f>COUNTIFS(FQ0835_p01!K$6:K$30,11,FQ0835_p01!D$6:D$30,A34,FQ0835_p01!L$6:L$30,"Não")</f>
        <v>0</v>
      </c>
      <c r="M34" s="24">
        <f>COUNTIFS(FQ0835_p01!K$6:K$30,12,FQ0835_p01!D$6:D$30,A34,FQ0835_p01!L$6:L$30,"Não")</f>
        <v>0</v>
      </c>
      <c r="N34" s="31">
        <f>SUM(B34:M34)</f>
        <v>0</v>
      </c>
    </row>
    <row r="35" spans="1:14" s="16" customFormat="1" x14ac:dyDescent="0.25">
      <c r="A35" s="45" t="s">
        <v>37</v>
      </c>
      <c r="B35" s="24">
        <f>COUNTIFS(FQ0835_p01!K$6:K$30,1,FQ0835_p01!D$6:D$30,A35,FQ0835_p01!L$6:L$30,"Não")</f>
        <v>0</v>
      </c>
      <c r="C35" s="24">
        <f>COUNTIFS(FQ0835_p01!K$6:K$30,2,FQ0835_p01!D$6:D$30,A35,FQ0835_p01!L$6:L$30,"Não")</f>
        <v>0</v>
      </c>
      <c r="D35" s="24">
        <f>COUNTIFS(FQ0835_p01!K$6:K$30,3,FQ0835_p01!D$6:D$30,A35,FQ0835_p01!L$6:L$30,"Não")</f>
        <v>0</v>
      </c>
      <c r="E35" s="24">
        <f>COUNTIFS(FQ0835_p01!K$6:K$30,4,FQ0835_p01!D$6:D$30,A35,FQ0835_p01!L$6:L$30,"Não")</f>
        <v>0</v>
      </c>
      <c r="F35" s="24">
        <f>COUNTIFS(FQ0835_p01!K$6:K$30,5,FQ0835_p01!D$6:D$30,A35,FQ0835_p01!L$6:L$30,"Não")</f>
        <v>0</v>
      </c>
      <c r="G35" s="24">
        <f>COUNTIFS(FQ0835_p01!K$6:K$30,6,FQ0835_p01!D$6:D$30,A35,FQ0835_p01!L$6:L$30,"Não")</f>
        <v>0</v>
      </c>
      <c r="H35" s="24">
        <f>COUNTIFS(FQ0835_p01!K$6:K$30,7,FQ0835_p01!D$6:D$30,A35,FQ0835_p01!L$6:L$30,"Não")</f>
        <v>0</v>
      </c>
      <c r="I35" s="24">
        <f>COUNTIFS(FQ0835_p01!K$6:K$30,8,FQ0835_p01!D$6:D$30,A35,FQ0835_p01!L$6:L$30,"Não")</f>
        <v>0</v>
      </c>
      <c r="J35" s="24">
        <f>COUNTIFS(FQ0835_p01!K$6:K$30,9,FQ0835_p01!D$6:D$30,A35,FQ0835_p01!L$6:L$30,"Não")</f>
        <v>0</v>
      </c>
      <c r="K35" s="24">
        <f>COUNTIFS(FQ0835_p01!K$6:K$30,10,FQ0835_p01!D$6:D$30,A35,FQ0835_p01!L$6:L$30,"Não")</f>
        <v>0</v>
      </c>
      <c r="L35" s="24">
        <f>COUNTIFS(FQ0835_p01!K$6:K$30,11,FQ0835_p01!D$6:D$30,A35,FQ0835_p01!L$6:L$30,"Não")</f>
        <v>0</v>
      </c>
      <c r="M35" s="24">
        <f>COUNTIFS(FQ0835_p01!K$6:K$30,12,FQ0835_p01!D$6:D$30,A35,FQ0835_p01!L$6:L$30,"Não")</f>
        <v>0</v>
      </c>
      <c r="N35" s="31">
        <f t="shared" ref="N35:N39" si="5">SUM(B35:M35)</f>
        <v>0</v>
      </c>
    </row>
    <row r="36" spans="1:14" s="16" customFormat="1" x14ac:dyDescent="0.25">
      <c r="A36" s="45" t="s">
        <v>38</v>
      </c>
      <c r="B36" s="24">
        <f>COUNTIFS(FQ0835_p01!K$6:K$30,1,FQ0835_p01!D$6:D$30,A36,FQ0835_p01!L$6:L$30,"Não")</f>
        <v>0</v>
      </c>
      <c r="C36" s="24">
        <f>COUNTIFS(FQ0835_p01!K$6:K$30,2,FQ0835_p01!D$6:D$30,A36,FQ0835_p01!L$6:L$30,"Não")</f>
        <v>0</v>
      </c>
      <c r="D36" s="24">
        <f>COUNTIFS(FQ0835_p01!K$6:K$30,3,FQ0835_p01!D$6:D$30,A36,FQ0835_p01!L$6:L$30,"Não")</f>
        <v>0</v>
      </c>
      <c r="E36" s="24">
        <f>COUNTIFS(FQ0835_p01!K$6:K$30,4,FQ0835_p01!D$6:D$30,A36,FQ0835_p01!L$6:L$30,"Não")</f>
        <v>0</v>
      </c>
      <c r="F36" s="24">
        <f>COUNTIFS(FQ0835_p01!K$6:K$30,5,FQ0835_p01!D$6:D$30,A36,FQ0835_p01!L$6:L$30,"Não")</f>
        <v>0</v>
      </c>
      <c r="G36" s="24">
        <f>COUNTIFS(FQ0835_p01!K$6:K$30,6,FQ0835_p01!D$6:D$30,A36,FQ0835_p01!L$6:L$30,"Não")</f>
        <v>0</v>
      </c>
      <c r="H36" s="24">
        <f>COUNTIFS(FQ0835_p01!K$6:K$30,7,FQ0835_p01!D$6:D$30,A36,FQ0835_p01!L$6:L$30,"Não")</f>
        <v>0</v>
      </c>
      <c r="I36" s="24">
        <f>COUNTIFS(FQ0835_p01!K$6:K$30,8,FQ0835_p01!D$6:D$30,A36,FQ0835_p01!L$6:L$30,"Não")</f>
        <v>0</v>
      </c>
      <c r="J36" s="24">
        <f>COUNTIFS(FQ0835_p01!K$6:K$30,9,FQ0835_p01!D$6:D$30,A36,FQ0835_p01!L$6:L$30,"Não")</f>
        <v>0</v>
      </c>
      <c r="K36" s="24">
        <f>COUNTIFS(FQ0835_p01!K$6:K$30,10,FQ0835_p01!D$6:D$30,A36,FQ0835_p01!L$6:L$30,"Não")</f>
        <v>0</v>
      </c>
      <c r="L36" s="24">
        <f>COUNTIFS(FQ0835_p01!K$6:K$30,11,FQ0835_p01!D$6:D$30,A36,FQ0835_p01!L$6:L$30,"Não")</f>
        <v>0</v>
      </c>
      <c r="M36" s="24">
        <f>COUNTIFS(FQ0835_p01!K$6:K$30,12,FQ0835_p01!D$6:D$30,A36,FQ0835_p01!L$6:L$30,"Não")</f>
        <v>0</v>
      </c>
      <c r="N36" s="31">
        <f t="shared" si="5"/>
        <v>0</v>
      </c>
    </row>
    <row r="37" spans="1:14" s="16" customFormat="1" x14ac:dyDescent="0.25">
      <c r="A37" s="23" t="s">
        <v>15</v>
      </c>
      <c r="B37" s="24">
        <f>COUNTIFS(FQ0835_p01!K$6:K$30,1,FQ0835_p01!D$6:D$30,A37,FQ0835_p01!L$6:L$30,"Não")</f>
        <v>0</v>
      </c>
      <c r="C37" s="24">
        <f>COUNTIFS(FQ0835_p01!K$6:K$30,2,FQ0835_p01!D$6:D$30,A37,FQ0835_p01!L$6:L$30,"Não")</f>
        <v>0</v>
      </c>
      <c r="D37" s="24">
        <f>COUNTIFS(FQ0835_p01!K$6:K$30,3,FQ0835_p01!D$6:D$30,A37,FQ0835_p01!L$6:L$30,"Não")</f>
        <v>0</v>
      </c>
      <c r="E37" s="24">
        <f>COUNTIFS(FQ0835_p01!K$6:K$30,4,FQ0835_p01!D$6:D$30,A37,FQ0835_p01!L$6:L$30,"Não")</f>
        <v>0</v>
      </c>
      <c r="F37" s="24">
        <f>COUNTIFS(FQ0835_p01!K$6:K$30,5,FQ0835_p01!D$6:D$30,A37,FQ0835_p01!L$6:L$30,"Não")</f>
        <v>0</v>
      </c>
      <c r="G37" s="24">
        <f>COUNTIFS(FQ0835_p01!K$6:K$30,6,FQ0835_p01!D$6:D$30,A37,FQ0835_p01!L$6:L$30,"Não")</f>
        <v>0</v>
      </c>
      <c r="H37" s="24">
        <f>COUNTIFS(FQ0835_p01!K$6:K$30,7,FQ0835_p01!D$6:D$30,A37,FQ0835_p01!L$6:L$30,"Não")</f>
        <v>0</v>
      </c>
      <c r="I37" s="24">
        <f>COUNTIFS(FQ0835_p01!K$6:K$30,8,FQ0835_p01!D$6:D$30,A37,FQ0835_p01!L$6:L$30,"Não")</f>
        <v>0</v>
      </c>
      <c r="J37" s="24">
        <f>COUNTIFS(FQ0835_p01!K$6:K$30,9,FQ0835_p01!D$6:D$30,A37,FQ0835_p01!L$6:L$30,"Não")</f>
        <v>0</v>
      </c>
      <c r="K37" s="24">
        <f>COUNTIFS(FQ0835_p01!K$6:K$30,10,FQ0835_p01!D$6:D$30,A37,FQ0835_p01!L$6:L$30,"Não")</f>
        <v>0</v>
      </c>
      <c r="L37" s="24">
        <f>COUNTIFS(FQ0835_p01!K$6:K$30,11,FQ0835_p01!D$6:D$30,A37,FQ0835_p01!L$6:L$30,"Não")</f>
        <v>0</v>
      </c>
      <c r="M37" s="24">
        <f>COUNTIFS(FQ0835_p01!K$6:K$30,12,FQ0835_p01!D$6:D$30,A37,FQ0835_p01!L$6:L$30,"Não")</f>
        <v>0</v>
      </c>
      <c r="N37" s="31">
        <f t="shared" si="5"/>
        <v>0</v>
      </c>
    </row>
    <row r="38" spans="1:14" s="16" customFormat="1" x14ac:dyDescent="0.25">
      <c r="A38" s="23" t="s">
        <v>11</v>
      </c>
      <c r="B38" s="24">
        <f>COUNTIFS(FQ0835_p01!K$6:K$30,1,FQ0835_p01!D$6:D$30,A38,FQ0835_p01!L$6:L$30,"Não")</f>
        <v>0</v>
      </c>
      <c r="C38" s="24">
        <f>COUNTIFS(FQ0835_p01!K$6:K$30,2,FQ0835_p01!D$6:D$30,A38,FQ0835_p01!L$6:L$30,"Não")</f>
        <v>0</v>
      </c>
      <c r="D38" s="24">
        <f>COUNTIFS(FQ0835_p01!K$6:K$30,3,FQ0835_p01!D$6:D$30,A38,FQ0835_p01!L$6:L$30,"Não")</f>
        <v>0</v>
      </c>
      <c r="E38" s="24">
        <f>COUNTIFS(FQ0835_p01!K$6:K$30,4,FQ0835_p01!D$6:D$30,A38,FQ0835_p01!L$6:L$30,"Não")</f>
        <v>0</v>
      </c>
      <c r="F38" s="24">
        <f>COUNTIFS(FQ0835_p01!K$6:K$30,5,FQ0835_p01!D$6:D$30,A38,FQ0835_p01!L$6:L$30,"Não")</f>
        <v>0</v>
      </c>
      <c r="G38" s="24">
        <f>COUNTIFS(FQ0835_p01!K$6:K$30,6,FQ0835_p01!D$6:D$30,A38,FQ0835_p01!L$6:L$30,"Não")</f>
        <v>0</v>
      </c>
      <c r="H38" s="24">
        <f>COUNTIFS(FQ0835_p01!K$6:K$30,7,FQ0835_p01!D$6:D$30,A38,FQ0835_p01!L$6:L$30,"Não")</f>
        <v>0</v>
      </c>
      <c r="I38" s="24">
        <f>COUNTIFS(FQ0835_p01!K$6:K$30,8,FQ0835_p01!D$6:D$30,A38,FQ0835_p01!L$6:L$30,"Não")</f>
        <v>0</v>
      </c>
      <c r="J38" s="24">
        <f>COUNTIFS(FQ0835_p01!K$6:K$30,9,FQ0835_p01!D$6:D$30,A38,FQ0835_p01!L$6:L$30,"Não")</f>
        <v>0</v>
      </c>
      <c r="K38" s="24">
        <f>COUNTIFS(FQ0835_p01!K$6:K$30,10,FQ0835_p01!D$6:D$30,A38,FQ0835_p01!L$6:L$30,"Não")</f>
        <v>0</v>
      </c>
      <c r="L38" s="24">
        <f>COUNTIFS(FQ0835_p01!K$6:K$30,11,FQ0835_p01!D$6:D$30,A38,FQ0835_p01!L$6:L$30,"Não")</f>
        <v>0</v>
      </c>
      <c r="M38" s="24">
        <f>COUNTIFS(FQ0835_p01!K$6:K$30,12,FQ0835_p01!D$6:D$30,A38,FQ0835_p01!L$6:L$30,"Não")</f>
        <v>0</v>
      </c>
      <c r="N38" s="31">
        <f t="shared" si="5"/>
        <v>0</v>
      </c>
    </row>
    <row r="39" spans="1:14" s="16" customFormat="1" x14ac:dyDescent="0.25">
      <c r="A39" s="23" t="s">
        <v>16</v>
      </c>
      <c r="B39" s="24">
        <f>COUNTIFS(FQ0835_p01!K$6:K$30,1,FQ0835_p01!D$6:D$30,A39,FQ0835_p01!L$6:L$30,"Não")</f>
        <v>0</v>
      </c>
      <c r="C39" s="24">
        <f>COUNTIFS(FQ0835_p01!K$6:K$30,2,FQ0835_p01!D$6:D$30,A39,FQ0835_p01!L$6:L$30,"Não")</f>
        <v>0</v>
      </c>
      <c r="D39" s="24">
        <f>COUNTIFS(FQ0835_p01!K$6:K$30,3,FQ0835_p01!D$6:D$30,A39,FQ0835_p01!L$6:L$30,"Não")</f>
        <v>0</v>
      </c>
      <c r="E39" s="24">
        <f>COUNTIFS(FQ0835_p01!K$6:K$30,4,FQ0835_p01!D$6:D$30,A39,FQ0835_p01!L$6:L$30,"Não")</f>
        <v>0</v>
      </c>
      <c r="F39" s="24">
        <f>COUNTIFS(FQ0835_p01!K$6:K$30,5,FQ0835_p01!D$6:D$30,A39,FQ0835_p01!L$6:L$30,"Não")</f>
        <v>0</v>
      </c>
      <c r="G39" s="24">
        <f>COUNTIFS(FQ0835_p01!K$6:K$30,6,FQ0835_p01!D$6:D$30,A39,FQ0835_p01!L$6:L$30,"Não")</f>
        <v>0</v>
      </c>
      <c r="H39" s="24">
        <f>COUNTIFS(FQ0835_p01!K$6:K$30,7,FQ0835_p01!D$6:D$30,A39,FQ0835_p01!L$6:L$30,"Não")</f>
        <v>0</v>
      </c>
      <c r="I39" s="24">
        <f>COUNTIFS(FQ0835_p01!K$6:K$30,8,FQ0835_p01!D$6:D$30,A39,FQ0835_p01!L$6:L$30,"Não")</f>
        <v>0</v>
      </c>
      <c r="J39" s="24">
        <f>COUNTIFS(FQ0835_p01!K$6:K$30,9,FQ0835_p01!D$6:D$30,A39,FQ0835_p01!L$6:L$30,"Não")</f>
        <v>0</v>
      </c>
      <c r="K39" s="24">
        <f>COUNTIFS(FQ0835_p01!K$6:K$30,10,FQ0835_p01!D$6:D$30,A39,FQ0835_p01!L$6:L$30,"Não")</f>
        <v>0</v>
      </c>
      <c r="L39" s="24">
        <f>COUNTIFS(FQ0835_p01!K$6:K$30,11,FQ0835_p01!D$6:D$30,A39,FQ0835_p01!L$6:L$30,"Não")</f>
        <v>0</v>
      </c>
      <c r="M39" s="24">
        <f>COUNTIFS(FQ0835_p01!K$6:K$30,12,FQ0835_p01!D$6:D$30,A39,FQ0835_p01!L$6:L$30,"Não")</f>
        <v>0</v>
      </c>
      <c r="N39" s="31">
        <f t="shared" si="5"/>
        <v>0</v>
      </c>
    </row>
    <row r="40" spans="1:14" s="16" customFormat="1" ht="15.75" thickBot="1" x14ac:dyDescent="0.3">
      <c r="A40" s="47" t="s">
        <v>17</v>
      </c>
      <c r="B40" s="48">
        <f>SUM(B34:B39)</f>
        <v>0</v>
      </c>
      <c r="C40" s="48">
        <f>SUM(C34:C39)</f>
        <v>0</v>
      </c>
      <c r="D40" s="48">
        <f t="shared" ref="D40:M40" si="6">SUM(D34:D39)</f>
        <v>0</v>
      </c>
      <c r="E40" s="48">
        <f t="shared" si="6"/>
        <v>0</v>
      </c>
      <c r="F40" s="48">
        <f t="shared" si="6"/>
        <v>0</v>
      </c>
      <c r="G40" s="48">
        <f t="shared" si="6"/>
        <v>0</v>
      </c>
      <c r="H40" s="48">
        <f t="shared" si="6"/>
        <v>0</v>
      </c>
      <c r="I40" s="48">
        <f t="shared" si="6"/>
        <v>0</v>
      </c>
      <c r="J40" s="48">
        <f t="shared" si="6"/>
        <v>0</v>
      </c>
      <c r="K40" s="48">
        <f t="shared" si="6"/>
        <v>0</v>
      </c>
      <c r="L40" s="48">
        <f t="shared" si="6"/>
        <v>0</v>
      </c>
      <c r="M40" s="48">
        <f t="shared" si="6"/>
        <v>0</v>
      </c>
      <c r="N40" s="34">
        <f>SUM(B40:M40)</f>
        <v>0</v>
      </c>
    </row>
    <row r="42" spans="1:14" x14ac:dyDescent="0.25">
      <c r="A42" s="72" t="s">
        <v>48</v>
      </c>
      <c r="B42" s="72"/>
      <c r="C42" s="72"/>
      <c r="D42" s="72"/>
      <c r="E42" s="72"/>
      <c r="F42" s="72"/>
    </row>
    <row r="43" spans="1:14" ht="15.75" thickBot="1" x14ac:dyDescent="0.3"/>
    <row r="44" spans="1:14" x14ac:dyDescent="0.25">
      <c r="A44" s="89" t="s">
        <v>13</v>
      </c>
      <c r="B44" s="91" t="s">
        <v>18</v>
      </c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2"/>
    </row>
    <row r="45" spans="1:14" x14ac:dyDescent="0.25">
      <c r="A45" s="90"/>
      <c r="B45" s="30" t="s">
        <v>19</v>
      </c>
      <c r="C45" s="30" t="s">
        <v>20</v>
      </c>
      <c r="D45" s="30" t="s">
        <v>21</v>
      </c>
      <c r="E45" s="30" t="s">
        <v>22</v>
      </c>
      <c r="F45" s="30" t="s">
        <v>23</v>
      </c>
      <c r="G45" s="30" t="s">
        <v>24</v>
      </c>
      <c r="H45" s="30" t="s">
        <v>25</v>
      </c>
      <c r="I45" s="30" t="s">
        <v>26</v>
      </c>
      <c r="J45" s="30" t="s">
        <v>27</v>
      </c>
      <c r="K45" s="30" t="s">
        <v>28</v>
      </c>
      <c r="L45" s="30" t="s">
        <v>29</v>
      </c>
      <c r="M45" s="30" t="s">
        <v>30</v>
      </c>
      <c r="N45" s="31" t="s">
        <v>17</v>
      </c>
    </row>
    <row r="46" spans="1:14" x14ac:dyDescent="0.25">
      <c r="A46" s="9" t="s">
        <v>14</v>
      </c>
      <c r="B46" s="3">
        <f>COUNTIFS(FQ0835_p01!K$6:K$30,1,FQ0835_p01!D$6:D$30,A46,FQ0835_p01!L$6:L$30,"Não",FQ0835_p01!M$6:M$30,"Sim")</f>
        <v>0</v>
      </c>
      <c r="C46" s="3">
        <f>COUNTIFS(FQ0835_p01!K$6:K$30,2,FQ0835_p01!D$6:D$30,A46,FQ0835_p01!L$6:L$30,"Não",FQ0835_p01!M$6:M$30,"Sim")</f>
        <v>0</v>
      </c>
      <c r="D46" s="3">
        <f>COUNTIFS(FQ0835_p01!K$6:K$30,3,FQ0835_p01!D$6:D$30,A46,FQ0835_p01!L$6:L$30,"Não",FQ0835_p01!M$6:M$30,"Sim")</f>
        <v>0</v>
      </c>
      <c r="E46" s="3">
        <f>COUNTIFS(FQ0835_p01!K$6:K$30,4,FQ0835_p01!D$6:D$30,A46,FQ0835_p01!L$6:L$30,"Não",FQ0835_p01!M$6:M$30,"Sim")</f>
        <v>0</v>
      </c>
      <c r="F46" s="3">
        <f>COUNTIFS(FQ0835_p01!K$6:K$30,5,FQ0835_p01!D$6:D$30,A46,FQ0835_p01!L$6:L$30,"Não",FQ0835_p01!M$6:M$30,"Sim")</f>
        <v>0</v>
      </c>
      <c r="G46" s="3">
        <f>COUNTIFS(FQ0835_p01!K$6:K$30,6,FQ0835_p01!D$6:D$30,A46,FQ0835_p01!L$6:L$30,"Não",FQ0835_p01!M$6:M$30,"Sim")</f>
        <v>0</v>
      </c>
      <c r="H46" s="3">
        <f>COUNTIFS(FQ0835_p01!K$6:K$30,7,FQ0835_p01!D$6:D$30,A46,FQ0835_p01!L$6:L$30,"Não",FQ0835_p01!M$6:M$30,"Sim")</f>
        <v>0</v>
      </c>
      <c r="I46" s="3">
        <f>COUNTIFS(FQ0835_p01!K$6:K$30,8,FQ0835_p01!D$6:D$30,A46,FQ0835_p01!L$6:L$30,"Não",FQ0835_p01!M$6:M$30,"Sim")</f>
        <v>0</v>
      </c>
      <c r="J46" s="3">
        <f>COUNTIFS(FQ0835_p01!K$6:K$30,9,FQ0835_p01!D$6:D$30,A46,FQ0835_p01!L$6:L$30,"Não",FQ0835_p01!M$6:M$30,"Sim")</f>
        <v>0</v>
      </c>
      <c r="K46" s="3">
        <f>COUNTIFS(FQ0835_p01!K$6:K$30,10,FQ0835_p01!D$6:D$30,A46,FQ0835_p01!L$6:L$30,"Não",FQ0835_p01!M$6:M$30,"Sim")</f>
        <v>0</v>
      </c>
      <c r="L46" s="3">
        <f>COUNTIFS(FQ0835_p01!K$6:K$30,11,FQ0835_p01!D$6:D$30,A46,FQ0835_p01!L$6:L$30,"Não",FQ0835_p01!M$6:M$30,"Sim")</f>
        <v>0</v>
      </c>
      <c r="M46" s="3">
        <f>COUNTIFS(FQ0835_p01!K$6:K$30,12,FQ0835_p01!D$6:D$30,A46,FQ0835_p01!L$6:L$30,"Não",FQ0835_p01!M$6:M$30,"Sim")</f>
        <v>0</v>
      </c>
      <c r="N46" s="31">
        <f>SUM(B46:M46)</f>
        <v>0</v>
      </c>
    </row>
    <row r="47" spans="1:14" x14ac:dyDescent="0.25">
      <c r="A47" s="10" t="s">
        <v>37</v>
      </c>
      <c r="B47" s="3">
        <f>COUNTIFS(FQ0835_p01!K$6:K$30,1,FQ0835_p01!D$6:D$30,A47,FQ0835_p01!L$6:L$30,"Não",FQ0835_p01!M$6:M$30,"Sim")</f>
        <v>0</v>
      </c>
      <c r="C47" s="3">
        <f>COUNTIFS(FQ0835_p01!K$6:K$30,2,FQ0835_p01!D$6:D$30,A47,FQ0835_p01!L$6:L$30,"Não",FQ0835_p01!M$6:M$30,"Sim")</f>
        <v>0</v>
      </c>
      <c r="D47" s="3">
        <f>COUNTIFS(FQ0835_p01!K$6:K$30,3,FQ0835_p01!D$6:D$30,A47,FQ0835_p01!L$6:L$30,"Não")</f>
        <v>0</v>
      </c>
      <c r="E47" s="3">
        <f>COUNTIFS(FQ0835_p01!K$6:K$30,4,FQ0835_p01!D$6:D$30,A47,FQ0835_p01!L$6:L$30,"Não",FQ0835_p01!M$6:M$30,"Sim")</f>
        <v>0</v>
      </c>
      <c r="F47" s="3">
        <f>COUNTIFS(FQ0835_p01!K$6:K$30,5,FQ0835_p01!D$6:D$30,A47,FQ0835_p01!L$6:L$30,"Não",FQ0835_p01!M$6:M$30,"Sim")</f>
        <v>0</v>
      </c>
      <c r="G47" s="3">
        <f>COUNTIFS(FQ0835_p01!K$6:K$30,6,FQ0835_p01!D$6:D$30,A47,FQ0835_p01!L$6:L$30,"Não",FQ0835_p01!M$6:M$30,"Sim")</f>
        <v>0</v>
      </c>
      <c r="H47" s="3">
        <f>COUNTIFS(FQ0835_p01!K$6:K$30,7,FQ0835_p01!D$6:D$30,A47,FQ0835_p01!L$6:L$30,"Não",FQ0835_p01!M$6:M$30,"Sim")</f>
        <v>0</v>
      </c>
      <c r="I47" s="3">
        <f>COUNTIFS(FQ0835_p01!K$6:K$30,8,FQ0835_p01!D$6:D$30,A47,FQ0835_p01!L$6:L$30,"Não",FQ0835_p01!M$6:M$30,"Sim")</f>
        <v>0</v>
      </c>
      <c r="J47" s="3">
        <f>COUNTIFS(FQ0835_p01!K$6:K$30,9,FQ0835_p01!D$6:D$30,A47,FQ0835_p01!L$6:L$30,"Não",FQ0835_p01!M$6:M$30,"Sim")</f>
        <v>0</v>
      </c>
      <c r="K47" s="3">
        <f>COUNTIFS(FQ0835_p01!K$6:K$30,10,FQ0835_p01!D$6:D$30,A47,FQ0835_p01!L$6:L$30,"Não",FQ0835_p01!M$6:M$30,"Sim")</f>
        <v>0</v>
      </c>
      <c r="L47" s="3">
        <f>COUNTIFS(FQ0835_p01!K$6:K$30,11,FQ0835_p01!D$6:D$30,A47,FQ0835_p01!L$6:L$30,"Não",FQ0835_p01!M$6:M$30,"Sim")</f>
        <v>0</v>
      </c>
      <c r="M47" s="3">
        <f>COUNTIFS(FQ0835_p01!K$6:K$30,12,FQ0835_p01!D$6:D$30,A47,FQ0835_p01!L$6:L$30,"Não",FQ0835_p01!M$6:M$30,"Sim")</f>
        <v>0</v>
      </c>
      <c r="N47" s="31">
        <f t="shared" ref="N47:N51" si="7">SUM(B47:M47)</f>
        <v>0</v>
      </c>
    </row>
    <row r="48" spans="1:14" x14ac:dyDescent="0.25">
      <c r="A48" s="10" t="s">
        <v>38</v>
      </c>
      <c r="B48" s="3">
        <f>COUNTIFS(FQ0835_p01!K$6:K$30,1,FQ0835_p01!D$6:D$30,A48,FQ0835_p01!L$6:L$30,"Não",FQ0835_p01!M$6:M$30,"Sim")</f>
        <v>0</v>
      </c>
      <c r="C48" s="3">
        <f>COUNTIFS(FQ0835_p01!K$6:K$30,2,FQ0835_p01!D$6:D$30,A48,FQ0835_p01!L$6:L$30,"Não",FQ0835_p01!M$6:M$30,"Sim")</f>
        <v>0</v>
      </c>
      <c r="D48" s="3">
        <f>COUNTIFS(FQ0835_p01!K$6:K$30,3,FQ0835_p01!D$6:D$30,A48,FQ0835_p01!L$6:L$30,"Não")</f>
        <v>0</v>
      </c>
      <c r="E48" s="3">
        <f>COUNTIFS(FQ0835_p01!K$6:K$30,4,FQ0835_p01!D$6:D$30,A48,FQ0835_p01!L$6:L$30,"Não",FQ0835_p01!M$6:M$30,"Sim")</f>
        <v>0</v>
      </c>
      <c r="F48" s="3">
        <f>COUNTIFS(FQ0835_p01!K$6:K$30,5,FQ0835_p01!D$6:D$30,A48,FQ0835_p01!L$6:L$30,"Não",FQ0835_p01!M$6:M$30,"Sim")</f>
        <v>0</v>
      </c>
      <c r="G48" s="3">
        <f>COUNTIFS(FQ0835_p01!K$6:K$30,6,FQ0835_p01!D$6:D$30,A48,FQ0835_p01!L$6:L$30,"Não",FQ0835_p01!M$6:M$30,"Sim")</f>
        <v>0</v>
      </c>
      <c r="H48" s="3">
        <f>COUNTIFS(FQ0835_p01!K$6:K$30,7,FQ0835_p01!D$6:D$30,A48,FQ0835_p01!L$6:L$30,"Não",FQ0835_p01!M$6:M$30,"Sim")</f>
        <v>0</v>
      </c>
      <c r="I48" s="3">
        <f>COUNTIFS(FQ0835_p01!K$6:K$30,8,FQ0835_p01!D$6:D$30,A48,FQ0835_p01!L$6:L$30,"Não",FQ0835_p01!M$6:M$30,"Sim")</f>
        <v>0</v>
      </c>
      <c r="J48" s="3">
        <f>COUNTIFS(FQ0835_p01!K$6:K$30,9,FQ0835_p01!D$6:D$30,A48,FQ0835_p01!L$6:L$30,"Não",FQ0835_p01!M$6:M$30,"Sim")</f>
        <v>0</v>
      </c>
      <c r="K48" s="3">
        <f>COUNTIFS(FQ0835_p01!K$6:K$30,10,FQ0835_p01!D$6:D$30,A48,FQ0835_p01!L$6:L$30,"Não",FQ0835_p01!M$6:M$30,"Sim")</f>
        <v>0</v>
      </c>
      <c r="L48" s="3">
        <f>COUNTIFS(FQ0835_p01!K$6:K$30,11,FQ0835_p01!D$6:D$30,A48,FQ0835_p01!L$6:L$30,"Não",FQ0835_p01!M$6:M$30,"Sim")</f>
        <v>0</v>
      </c>
      <c r="M48" s="3">
        <f>COUNTIFS(FQ0835_p01!K$6:K$30,12,FQ0835_p01!D$6:D$30,A48,FQ0835_p01!L$6:L$30,"Não",FQ0835_p01!M$6:M$30,"Sim")</f>
        <v>0</v>
      </c>
      <c r="N48" s="31">
        <f t="shared" si="7"/>
        <v>0</v>
      </c>
    </row>
    <row r="49" spans="1:14" x14ac:dyDescent="0.25">
      <c r="A49" s="9" t="s">
        <v>15</v>
      </c>
      <c r="B49" s="3">
        <f>COUNTIFS(FQ0835_p01!K$6:K$30,1,FQ0835_p01!D$6:D$30,A49,FQ0835_p01!L$6:L$30,"Não",FQ0835_p01!M$6:M$30,"Sim")</f>
        <v>0</v>
      </c>
      <c r="C49" s="3">
        <f>COUNTIFS(FQ0835_p01!K$6:K$30,2,FQ0835_p01!D$6:D$30,A49,FQ0835_p01!L$6:L$30,"Não",FQ0835_p01!M$6:M$30,"Sim")</f>
        <v>0</v>
      </c>
      <c r="D49" s="3">
        <f>COUNTIFS(FQ0835_p01!K$6:K$30,3,FQ0835_p01!D$6:D$30,A49,FQ0835_p01!L$6:L$30,"Não")</f>
        <v>0</v>
      </c>
      <c r="E49" s="3">
        <f>COUNTIFS(FQ0835_p01!K$6:K$30,4,FQ0835_p01!D$6:D$30,A49,FQ0835_p01!L$6:L$30,"Não",FQ0835_p01!M$6:M$30,"Sim")</f>
        <v>0</v>
      </c>
      <c r="F49" s="3">
        <f>COUNTIFS(FQ0835_p01!K$6:K$30,5,FQ0835_p01!D$6:D$30,A49,FQ0835_p01!L$6:L$30,"Não",FQ0835_p01!M$6:M$30,"Sim")</f>
        <v>0</v>
      </c>
      <c r="G49" s="3">
        <f>COUNTIFS(FQ0835_p01!K$6:K$30,6,FQ0835_p01!D$6:D$30,A49,FQ0835_p01!L$6:L$30,"Não",FQ0835_p01!M$6:M$30,"Sim")</f>
        <v>0</v>
      </c>
      <c r="H49" s="3">
        <f>COUNTIFS(FQ0835_p01!K$6:K$30,7,FQ0835_p01!D$6:D$30,A49,FQ0835_p01!L$6:L$30,"Não",FQ0835_p01!M$6:M$30,"Sim")</f>
        <v>0</v>
      </c>
      <c r="I49" s="3">
        <f>COUNTIFS(FQ0835_p01!K$6:K$30,8,FQ0835_p01!D$6:D$30,A49,FQ0835_p01!L$6:L$30,"Não",FQ0835_p01!M$6:M$30,"Sim")</f>
        <v>0</v>
      </c>
      <c r="J49" s="3">
        <f>COUNTIFS(FQ0835_p01!K$6:K$30,9,FQ0835_p01!D$6:D$30,A49,FQ0835_p01!L$6:L$30,"Não",FQ0835_p01!M$6:M$30,"Sim")</f>
        <v>0</v>
      </c>
      <c r="K49" s="3">
        <f>COUNTIFS(FQ0835_p01!K$6:K$30,10,FQ0835_p01!D$6:D$30,A49,FQ0835_p01!L$6:L$30,"Não",FQ0835_p01!M$6:M$30,"Sim")</f>
        <v>0</v>
      </c>
      <c r="L49" s="3">
        <f>COUNTIFS(FQ0835_p01!K$6:K$30,11,FQ0835_p01!D$6:D$30,A49,FQ0835_p01!L$6:L$30,"Não",FQ0835_p01!M$6:M$30,"Sim")</f>
        <v>0</v>
      </c>
      <c r="M49" s="3">
        <f>COUNTIFS(FQ0835_p01!K$6:K$30,12,FQ0835_p01!D$6:D$30,A49,FQ0835_p01!L$6:L$30,"Não",FQ0835_p01!M$6:M$30,"Sim")</f>
        <v>0</v>
      </c>
      <c r="N49" s="31">
        <f t="shared" si="7"/>
        <v>0</v>
      </c>
    </row>
    <row r="50" spans="1:14" x14ac:dyDescent="0.25">
      <c r="A50" s="9" t="s">
        <v>11</v>
      </c>
      <c r="B50" s="3">
        <f>COUNTIFS(FQ0835_p01!K$6:K$30,1,FQ0835_p01!D$6:D$30,A50,FQ0835_p01!L$6:L$30,"Não",FQ0835_p01!M$6:M$30,"Sim")</f>
        <v>0</v>
      </c>
      <c r="C50" s="3">
        <f>COUNTIFS(FQ0835_p01!K$6:K$30,2,FQ0835_p01!D$6:D$30,A50,FQ0835_p01!L$6:L$30,"Não",FQ0835_p01!M$6:M$30,"Sim")</f>
        <v>0</v>
      </c>
      <c r="D50" s="3">
        <f>COUNTIFS(FQ0835_p01!K$6:K$30,3,FQ0835_p01!D$6:D$30,A50,FQ0835_p01!L$6:L$30,"Não")</f>
        <v>0</v>
      </c>
      <c r="E50" s="3">
        <f>COUNTIFS(FQ0835_p01!K$6:K$30,4,FQ0835_p01!D$6:D$30,A50,FQ0835_p01!L$6:L$30,"Não",FQ0835_p01!M$6:M$30,"Sim")</f>
        <v>0</v>
      </c>
      <c r="F50" s="3">
        <f>COUNTIFS(FQ0835_p01!K$6:K$30,5,FQ0835_p01!D$6:D$30,A50,FQ0835_p01!L$6:L$30,"Não",FQ0835_p01!M$6:M$30,"Sim")</f>
        <v>0</v>
      </c>
      <c r="G50" s="3">
        <f>COUNTIFS(FQ0835_p01!K$6:K$30,6,FQ0835_p01!D$6:D$30,A50,FQ0835_p01!L$6:L$30,"Não",FQ0835_p01!M$6:M$30,"Sim")</f>
        <v>0</v>
      </c>
      <c r="H50" s="3">
        <f>COUNTIFS(FQ0835_p01!K$6:K$30,7,FQ0835_p01!D$6:D$30,A50,FQ0835_p01!L$6:L$30,"Não",FQ0835_p01!M$6:M$30,"Sim")</f>
        <v>0</v>
      </c>
      <c r="I50" s="3">
        <f>COUNTIFS(FQ0835_p01!K$6:K$30,8,FQ0835_p01!D$6:D$30,A50,FQ0835_p01!L$6:L$30,"Não",FQ0835_p01!M$6:M$30,"Sim")</f>
        <v>0</v>
      </c>
      <c r="J50" s="3">
        <f>COUNTIFS(FQ0835_p01!K$6:K$30,9,FQ0835_p01!D$6:D$30,A50,FQ0835_p01!L$6:L$30,"Não",FQ0835_p01!M$6:M$30,"Sim")</f>
        <v>0</v>
      </c>
      <c r="K50" s="3">
        <f>COUNTIFS(FQ0835_p01!K$6:K$30,10,FQ0835_p01!D$6:D$30,A50,FQ0835_p01!L$6:L$30,"Não",FQ0835_p01!M$6:M$30,"Sim")</f>
        <v>0</v>
      </c>
      <c r="L50" s="3">
        <f>COUNTIFS(FQ0835_p01!K$6:K$30,11,FQ0835_p01!D$6:D$30,A50,FQ0835_p01!L$6:L$30,"Não",FQ0835_p01!M$6:M$30,"Sim")</f>
        <v>0</v>
      </c>
      <c r="M50" s="3">
        <f>COUNTIFS(FQ0835_p01!K$6:K$30,12,FQ0835_p01!D$6:D$30,A50,FQ0835_p01!L$6:L$30,"Não",FQ0835_p01!M$6:M$30,"Sim")</f>
        <v>0</v>
      </c>
      <c r="N50" s="31">
        <f t="shared" si="7"/>
        <v>0</v>
      </c>
    </row>
    <row r="51" spans="1:14" x14ac:dyDescent="0.25">
      <c r="A51" s="9" t="s">
        <v>16</v>
      </c>
      <c r="B51" s="3">
        <f>COUNTIFS(FQ0835_p01!K$6:K$30,1,FQ0835_p01!D$6:D$30,A51,FQ0835_p01!L$6:L$30,"Não",FQ0835_p01!M$6:M$30,"Sim")</f>
        <v>0</v>
      </c>
      <c r="C51" s="3">
        <f>COUNTIFS(FQ0835_p01!K$6:K$30,2,FQ0835_p01!D$6:D$30,A51,FQ0835_p01!L$6:L$30,"Não",FQ0835_p01!M$6:M$30,"Sim")</f>
        <v>0</v>
      </c>
      <c r="D51" s="3">
        <f>COUNTIFS(FQ0835_p01!K$6:K$30,3,FQ0835_p01!D$6:D$30,A51,FQ0835_p01!L$6:L$30,"Não",FQ0835_p01!M$6:M$30,"Sim")</f>
        <v>0</v>
      </c>
      <c r="E51" s="3">
        <f>COUNTIFS(FQ0835_p01!K$6:K$30,4,FQ0835_p01!D$6:D$30,A51,FQ0835_p01!L$6:L$30,"Não",FQ0835_p01!M$6:M$30,"Sim")</f>
        <v>0</v>
      </c>
      <c r="F51" s="3">
        <f>COUNTIFS(FQ0835_p01!K$6:K$30,5,FQ0835_p01!D$6:D$30,A51,FQ0835_p01!L$6:L$30,"Não",FQ0835_p01!M$6:M$30,"Sim")</f>
        <v>0</v>
      </c>
      <c r="G51" s="3">
        <f>COUNTIFS(FQ0835_p01!K$6:K$30,6,FQ0835_p01!D$6:D$30,A51,FQ0835_p01!L$6:L$30,"Não",FQ0835_p01!M$6:M$30,"Sim")</f>
        <v>0</v>
      </c>
      <c r="H51" s="3">
        <f>COUNTIFS(FQ0835_p01!K$6:K$30,7,FQ0835_p01!D$6:D$30,A51,FQ0835_p01!L$6:L$30,"Não",FQ0835_p01!M$6:M$30,"Sim")</f>
        <v>0</v>
      </c>
      <c r="I51" s="3">
        <f>COUNTIFS(FQ0835_p01!K$6:K$30,8,FQ0835_p01!D$6:D$30,A51,FQ0835_p01!L$6:L$30,"Não",FQ0835_p01!M$6:M$30,"Sim")</f>
        <v>0</v>
      </c>
      <c r="J51" s="3">
        <f>COUNTIFS(FQ0835_p01!K$6:K$30,9,FQ0835_p01!D$6:D$30,A51,FQ0835_p01!L$6:L$30,"Não",FQ0835_p01!M$6:M$30,"Sim")</f>
        <v>0</v>
      </c>
      <c r="K51" s="3">
        <f>COUNTIFS(FQ0835_p01!K$6:K$30,10,FQ0835_p01!D$6:D$30,A51,FQ0835_p01!L$6:L$30,"Não",FQ0835_p01!M$6:M$30,"Sim")</f>
        <v>0</v>
      </c>
      <c r="L51" s="3">
        <f>COUNTIFS(FQ0835_p01!K$6:K$30,11,FQ0835_p01!D$6:D$30,A51,FQ0835_p01!L$6:L$30,"Não",FQ0835_p01!M$6:M$30,"Sim")</f>
        <v>0</v>
      </c>
      <c r="M51" s="3">
        <f>COUNTIFS(FQ0835_p01!K$6:K$30,12,FQ0835_p01!D$6:D$30,A51,FQ0835_p01!L$6:L$30,"Não",FQ0835_p01!M$6:M$30,"Sim")</f>
        <v>0</v>
      </c>
      <c r="N51" s="31">
        <f t="shared" si="7"/>
        <v>0</v>
      </c>
    </row>
    <row r="52" spans="1:14" ht="15.75" thickBot="1" x14ac:dyDescent="0.3">
      <c r="A52" s="32" t="s">
        <v>17</v>
      </c>
      <c r="B52" s="33">
        <f>SUM(B46:B51)</f>
        <v>0</v>
      </c>
      <c r="C52" s="33">
        <f>SUM(C46:C51)</f>
        <v>0</v>
      </c>
      <c r="D52" s="33">
        <f t="shared" ref="D52:L52" si="8">SUM(D46:D51)</f>
        <v>0</v>
      </c>
      <c r="E52" s="33">
        <f t="shared" si="8"/>
        <v>0</v>
      </c>
      <c r="F52" s="33">
        <f t="shared" si="8"/>
        <v>0</v>
      </c>
      <c r="G52" s="33">
        <f t="shared" si="8"/>
        <v>0</v>
      </c>
      <c r="H52" s="33">
        <f t="shared" si="8"/>
        <v>0</v>
      </c>
      <c r="I52" s="33">
        <f t="shared" si="8"/>
        <v>0</v>
      </c>
      <c r="J52" s="33">
        <f t="shared" si="8"/>
        <v>0</v>
      </c>
      <c r="K52" s="33">
        <f t="shared" si="8"/>
        <v>0</v>
      </c>
      <c r="L52" s="33">
        <f t="shared" si="8"/>
        <v>0</v>
      </c>
      <c r="M52" s="33">
        <f>SUM(M46:M51)</f>
        <v>0</v>
      </c>
      <c r="N52" s="34">
        <f>SUM(B52:M52)</f>
        <v>0</v>
      </c>
    </row>
    <row r="54" spans="1:14" x14ac:dyDescent="0.25">
      <c r="A54" s="72" t="s">
        <v>59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</row>
    <row r="55" spans="1:14" ht="15.75" thickBot="1" x14ac:dyDescent="0.3"/>
    <row r="56" spans="1:14" s="16" customFormat="1" x14ac:dyDescent="0.25">
      <c r="A56" s="85" t="s">
        <v>13</v>
      </c>
      <c r="B56" s="87" t="s">
        <v>18</v>
      </c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8"/>
    </row>
    <row r="57" spans="1:14" s="16" customFormat="1" x14ac:dyDescent="0.25">
      <c r="A57" s="86"/>
      <c r="B57" s="36" t="s">
        <v>19</v>
      </c>
      <c r="C57" s="36" t="s">
        <v>20</v>
      </c>
      <c r="D57" s="36" t="s">
        <v>21</v>
      </c>
      <c r="E57" s="36" t="s">
        <v>22</v>
      </c>
      <c r="F57" s="36" t="s">
        <v>23</v>
      </c>
      <c r="G57" s="36" t="s">
        <v>24</v>
      </c>
      <c r="H57" s="36" t="s">
        <v>25</v>
      </c>
      <c r="I57" s="36" t="s">
        <v>26</v>
      </c>
      <c r="J57" s="36" t="s">
        <v>27</v>
      </c>
      <c r="K57" s="36" t="s">
        <v>28</v>
      </c>
      <c r="L57" s="36" t="s">
        <v>29</v>
      </c>
      <c r="M57" s="36" t="s">
        <v>30</v>
      </c>
      <c r="N57" s="37" t="s">
        <v>17</v>
      </c>
    </row>
    <row r="58" spans="1:14" s="16" customFormat="1" x14ac:dyDescent="0.25">
      <c r="A58" s="23" t="s">
        <v>14</v>
      </c>
      <c r="B58" s="24">
        <f t="shared" ref="B58:B63" si="9">B10+B34</f>
        <v>0</v>
      </c>
      <c r="C58" s="24">
        <f t="shared" ref="C58:M58" si="10">C10+C34</f>
        <v>0</v>
      </c>
      <c r="D58" s="24">
        <f t="shared" si="10"/>
        <v>0</v>
      </c>
      <c r="E58" s="24">
        <f t="shared" si="10"/>
        <v>0</v>
      </c>
      <c r="F58" s="24">
        <f t="shared" si="10"/>
        <v>0</v>
      </c>
      <c r="G58" s="24">
        <f t="shared" si="10"/>
        <v>0</v>
      </c>
      <c r="H58" s="24">
        <f t="shared" si="10"/>
        <v>0</v>
      </c>
      <c r="I58" s="24">
        <f t="shared" si="10"/>
        <v>0</v>
      </c>
      <c r="J58" s="24">
        <f t="shared" si="10"/>
        <v>0</v>
      </c>
      <c r="K58" s="24">
        <f t="shared" si="10"/>
        <v>0</v>
      </c>
      <c r="L58" s="24">
        <f t="shared" si="10"/>
        <v>0</v>
      </c>
      <c r="M58" s="24">
        <f t="shared" si="10"/>
        <v>0</v>
      </c>
      <c r="N58" s="37">
        <f>SUM(B58:M58)</f>
        <v>0</v>
      </c>
    </row>
    <row r="59" spans="1:14" s="16" customFormat="1" x14ac:dyDescent="0.25">
      <c r="A59" s="45" t="s">
        <v>37</v>
      </c>
      <c r="B59" s="24">
        <f t="shared" si="9"/>
        <v>0</v>
      </c>
      <c r="C59" s="24">
        <f t="shared" ref="C59:M59" si="11">C11+C35</f>
        <v>0</v>
      </c>
      <c r="D59" s="24">
        <f t="shared" si="11"/>
        <v>0</v>
      </c>
      <c r="E59" s="24">
        <f t="shared" si="11"/>
        <v>0</v>
      </c>
      <c r="F59" s="24">
        <f t="shared" si="11"/>
        <v>0</v>
      </c>
      <c r="G59" s="24">
        <f t="shared" si="11"/>
        <v>0</v>
      </c>
      <c r="H59" s="24">
        <f t="shared" si="11"/>
        <v>0</v>
      </c>
      <c r="I59" s="24">
        <f t="shared" si="11"/>
        <v>0</v>
      </c>
      <c r="J59" s="24">
        <f t="shared" si="11"/>
        <v>0</v>
      </c>
      <c r="K59" s="24">
        <f t="shared" si="11"/>
        <v>0</v>
      </c>
      <c r="L59" s="24">
        <f t="shared" si="11"/>
        <v>0</v>
      </c>
      <c r="M59" s="24">
        <f t="shared" si="11"/>
        <v>0</v>
      </c>
      <c r="N59" s="37">
        <f t="shared" ref="N59:N63" si="12">SUM(B59:M59)</f>
        <v>0</v>
      </c>
    </row>
    <row r="60" spans="1:14" s="16" customFormat="1" x14ac:dyDescent="0.25">
      <c r="A60" s="45" t="s">
        <v>38</v>
      </c>
      <c r="B60" s="24">
        <f t="shared" si="9"/>
        <v>0</v>
      </c>
      <c r="C60" s="24">
        <f t="shared" ref="C60:M60" si="13">C12+C36</f>
        <v>0</v>
      </c>
      <c r="D60" s="24">
        <f t="shared" si="13"/>
        <v>0</v>
      </c>
      <c r="E60" s="24">
        <f t="shared" si="13"/>
        <v>0</v>
      </c>
      <c r="F60" s="24">
        <f t="shared" si="13"/>
        <v>0</v>
      </c>
      <c r="G60" s="24">
        <f t="shared" si="13"/>
        <v>0</v>
      </c>
      <c r="H60" s="24">
        <f t="shared" si="13"/>
        <v>0</v>
      </c>
      <c r="I60" s="24">
        <f t="shared" si="13"/>
        <v>0</v>
      </c>
      <c r="J60" s="24">
        <f t="shared" si="13"/>
        <v>0</v>
      </c>
      <c r="K60" s="24">
        <f t="shared" si="13"/>
        <v>0</v>
      </c>
      <c r="L60" s="24">
        <f t="shared" si="13"/>
        <v>0</v>
      </c>
      <c r="M60" s="24">
        <f t="shared" si="13"/>
        <v>0</v>
      </c>
      <c r="N60" s="37">
        <f t="shared" si="12"/>
        <v>0</v>
      </c>
    </row>
    <row r="61" spans="1:14" s="16" customFormat="1" x14ac:dyDescent="0.25">
      <c r="A61" s="23" t="s">
        <v>15</v>
      </c>
      <c r="B61" s="24">
        <f t="shared" si="9"/>
        <v>0</v>
      </c>
      <c r="C61" s="24">
        <f t="shared" ref="C61:M61" si="14">C13+C37</f>
        <v>0</v>
      </c>
      <c r="D61" s="24">
        <f t="shared" si="14"/>
        <v>0</v>
      </c>
      <c r="E61" s="24">
        <f t="shared" si="14"/>
        <v>0</v>
      </c>
      <c r="F61" s="24">
        <f t="shared" si="14"/>
        <v>0</v>
      </c>
      <c r="G61" s="24">
        <f t="shared" si="14"/>
        <v>0</v>
      </c>
      <c r="H61" s="24">
        <f t="shared" si="14"/>
        <v>0</v>
      </c>
      <c r="I61" s="24">
        <f t="shared" si="14"/>
        <v>0</v>
      </c>
      <c r="J61" s="24">
        <f t="shared" si="14"/>
        <v>0</v>
      </c>
      <c r="K61" s="24">
        <f t="shared" si="14"/>
        <v>0</v>
      </c>
      <c r="L61" s="24">
        <f t="shared" si="14"/>
        <v>0</v>
      </c>
      <c r="M61" s="24">
        <f t="shared" si="14"/>
        <v>0</v>
      </c>
      <c r="N61" s="37">
        <f t="shared" si="12"/>
        <v>0</v>
      </c>
    </row>
    <row r="62" spans="1:14" s="16" customFormat="1" x14ac:dyDescent="0.25">
      <c r="A62" s="23" t="s">
        <v>11</v>
      </c>
      <c r="B62" s="24">
        <f t="shared" si="9"/>
        <v>0</v>
      </c>
      <c r="C62" s="24">
        <f t="shared" ref="C62:M62" si="15">C14+C38</f>
        <v>0</v>
      </c>
      <c r="D62" s="24">
        <f t="shared" si="15"/>
        <v>0</v>
      </c>
      <c r="E62" s="24">
        <f t="shared" si="15"/>
        <v>0</v>
      </c>
      <c r="F62" s="24">
        <f t="shared" si="15"/>
        <v>0</v>
      </c>
      <c r="G62" s="24">
        <f t="shared" si="15"/>
        <v>0</v>
      </c>
      <c r="H62" s="24">
        <f t="shared" si="15"/>
        <v>0</v>
      </c>
      <c r="I62" s="24">
        <f t="shared" si="15"/>
        <v>0</v>
      </c>
      <c r="J62" s="24">
        <f t="shared" si="15"/>
        <v>0</v>
      </c>
      <c r="K62" s="24">
        <f t="shared" si="15"/>
        <v>0</v>
      </c>
      <c r="L62" s="24">
        <f t="shared" si="15"/>
        <v>0</v>
      </c>
      <c r="M62" s="24">
        <f t="shared" si="15"/>
        <v>0</v>
      </c>
      <c r="N62" s="37">
        <f t="shared" si="12"/>
        <v>0</v>
      </c>
    </row>
    <row r="63" spans="1:14" s="16" customFormat="1" x14ac:dyDescent="0.25">
      <c r="A63" s="23" t="s">
        <v>16</v>
      </c>
      <c r="B63" s="24">
        <f t="shared" si="9"/>
        <v>0</v>
      </c>
      <c r="C63" s="24">
        <f t="shared" ref="C63:M63" si="16">C15+C39</f>
        <v>0</v>
      </c>
      <c r="D63" s="24">
        <f t="shared" si="16"/>
        <v>0</v>
      </c>
      <c r="E63" s="24">
        <f t="shared" si="16"/>
        <v>0</v>
      </c>
      <c r="F63" s="24">
        <f t="shared" si="16"/>
        <v>0</v>
      </c>
      <c r="G63" s="24">
        <f t="shared" si="16"/>
        <v>0</v>
      </c>
      <c r="H63" s="24">
        <f t="shared" si="16"/>
        <v>0</v>
      </c>
      <c r="I63" s="24">
        <f t="shared" si="16"/>
        <v>0</v>
      </c>
      <c r="J63" s="24">
        <f t="shared" si="16"/>
        <v>0</v>
      </c>
      <c r="K63" s="24">
        <f t="shared" si="16"/>
        <v>0</v>
      </c>
      <c r="L63" s="24">
        <f t="shared" si="16"/>
        <v>0</v>
      </c>
      <c r="M63" s="24">
        <f t="shared" si="16"/>
        <v>0</v>
      </c>
      <c r="N63" s="37">
        <f t="shared" si="12"/>
        <v>0</v>
      </c>
    </row>
    <row r="64" spans="1:14" s="16" customFormat="1" ht="15.75" thickBot="1" x14ac:dyDescent="0.3">
      <c r="A64" s="38" t="s">
        <v>17</v>
      </c>
      <c r="B64" s="39">
        <f>SUM(B58:B63)</f>
        <v>0</v>
      </c>
      <c r="C64" s="39">
        <f>SUM(C58:C63)</f>
        <v>0</v>
      </c>
      <c r="D64" s="39">
        <f t="shared" ref="D64:L64" si="17">SUM(D58:D63)</f>
        <v>0</v>
      </c>
      <c r="E64" s="39">
        <f t="shared" si="17"/>
        <v>0</v>
      </c>
      <c r="F64" s="39">
        <f t="shared" si="17"/>
        <v>0</v>
      </c>
      <c r="G64" s="39">
        <f t="shared" si="17"/>
        <v>0</v>
      </c>
      <c r="H64" s="39">
        <f t="shared" si="17"/>
        <v>0</v>
      </c>
      <c r="I64" s="39">
        <f t="shared" si="17"/>
        <v>0</v>
      </c>
      <c r="J64" s="39">
        <f t="shared" si="17"/>
        <v>0</v>
      </c>
      <c r="K64" s="39">
        <f t="shared" si="17"/>
        <v>0</v>
      </c>
      <c r="L64" s="39">
        <f t="shared" si="17"/>
        <v>0</v>
      </c>
      <c r="M64" s="39">
        <f>SUM(M58:M63)</f>
        <v>0</v>
      </c>
      <c r="N64" s="40">
        <f>SUM(B64:M64)</f>
        <v>0</v>
      </c>
    </row>
    <row r="66" spans="1:14" x14ac:dyDescent="0.25">
      <c r="A66" s="75" t="s">
        <v>60</v>
      </c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</row>
    <row r="67" spans="1:14" ht="15.75" thickBot="1" x14ac:dyDescent="0.3"/>
    <row r="68" spans="1:14" x14ac:dyDescent="0.25">
      <c r="A68" s="85" t="s">
        <v>13</v>
      </c>
      <c r="B68" s="87" t="s">
        <v>18</v>
      </c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8"/>
    </row>
    <row r="69" spans="1:14" x14ac:dyDescent="0.25">
      <c r="A69" s="86"/>
      <c r="B69" s="36" t="s">
        <v>19</v>
      </c>
      <c r="C69" s="36" t="s">
        <v>20</v>
      </c>
      <c r="D69" s="36" t="s">
        <v>21</v>
      </c>
      <c r="E69" s="36" t="s">
        <v>22</v>
      </c>
      <c r="F69" s="36" t="s">
        <v>23</v>
      </c>
      <c r="G69" s="36" t="s">
        <v>24</v>
      </c>
      <c r="H69" s="36" t="s">
        <v>25</v>
      </c>
      <c r="I69" s="36" t="s">
        <v>26</v>
      </c>
      <c r="J69" s="36" t="s">
        <v>27</v>
      </c>
      <c r="K69" s="36" t="s">
        <v>28</v>
      </c>
      <c r="L69" s="36" t="s">
        <v>29</v>
      </c>
      <c r="M69" s="36" t="s">
        <v>30</v>
      </c>
      <c r="N69" s="37" t="s">
        <v>17</v>
      </c>
    </row>
    <row r="70" spans="1:14" x14ac:dyDescent="0.25">
      <c r="A70" s="23" t="s">
        <v>14</v>
      </c>
      <c r="B70" s="24">
        <f>B46+B22</f>
        <v>0</v>
      </c>
      <c r="C70" s="24">
        <f t="shared" ref="C70:M70" si="18">C46+C22</f>
        <v>0</v>
      </c>
      <c r="D70" s="24">
        <f t="shared" si="18"/>
        <v>0</v>
      </c>
      <c r="E70" s="24">
        <f t="shared" si="18"/>
        <v>0</v>
      </c>
      <c r="F70" s="24">
        <f t="shared" si="18"/>
        <v>0</v>
      </c>
      <c r="G70" s="24">
        <f t="shared" si="18"/>
        <v>0</v>
      </c>
      <c r="H70" s="24">
        <f t="shared" si="18"/>
        <v>0</v>
      </c>
      <c r="I70" s="24">
        <f t="shared" si="18"/>
        <v>0</v>
      </c>
      <c r="J70" s="24">
        <f t="shared" si="18"/>
        <v>0</v>
      </c>
      <c r="K70" s="24">
        <f t="shared" si="18"/>
        <v>0</v>
      </c>
      <c r="L70" s="24">
        <f t="shared" si="18"/>
        <v>0</v>
      </c>
      <c r="M70" s="24">
        <f t="shared" si="18"/>
        <v>0</v>
      </c>
      <c r="N70" s="37">
        <f>SUM(B70:M70)</f>
        <v>0</v>
      </c>
    </row>
    <row r="71" spans="1:14" x14ac:dyDescent="0.25">
      <c r="A71" s="45" t="s">
        <v>37</v>
      </c>
      <c r="B71" s="24">
        <f t="shared" ref="B71:M75" si="19">B47+B23</f>
        <v>0</v>
      </c>
      <c r="C71" s="24">
        <f t="shared" si="19"/>
        <v>0</v>
      </c>
      <c r="D71" s="24">
        <f t="shared" si="19"/>
        <v>0</v>
      </c>
      <c r="E71" s="24">
        <f t="shared" si="19"/>
        <v>0</v>
      </c>
      <c r="F71" s="24">
        <f t="shared" si="19"/>
        <v>0</v>
      </c>
      <c r="G71" s="24">
        <f t="shared" si="19"/>
        <v>0</v>
      </c>
      <c r="H71" s="24">
        <f t="shared" si="19"/>
        <v>0</v>
      </c>
      <c r="I71" s="24">
        <f t="shared" si="19"/>
        <v>0</v>
      </c>
      <c r="J71" s="24">
        <f t="shared" si="19"/>
        <v>0</v>
      </c>
      <c r="K71" s="24">
        <f t="shared" si="19"/>
        <v>0</v>
      </c>
      <c r="L71" s="24">
        <f t="shared" si="19"/>
        <v>0</v>
      </c>
      <c r="M71" s="24">
        <f t="shared" si="19"/>
        <v>0</v>
      </c>
      <c r="N71" s="37">
        <f t="shared" ref="N71:N75" si="20">SUM(B71:M71)</f>
        <v>0</v>
      </c>
    </row>
    <row r="72" spans="1:14" x14ac:dyDescent="0.25">
      <c r="A72" s="45" t="s">
        <v>38</v>
      </c>
      <c r="B72" s="24">
        <f t="shared" si="19"/>
        <v>0</v>
      </c>
      <c r="C72" s="24">
        <f t="shared" si="19"/>
        <v>0</v>
      </c>
      <c r="D72" s="24">
        <f t="shared" si="19"/>
        <v>0</v>
      </c>
      <c r="E72" s="24">
        <f t="shared" si="19"/>
        <v>0</v>
      </c>
      <c r="F72" s="24">
        <f t="shared" si="19"/>
        <v>0</v>
      </c>
      <c r="G72" s="24">
        <f t="shared" si="19"/>
        <v>0</v>
      </c>
      <c r="H72" s="24">
        <f t="shared" si="19"/>
        <v>0</v>
      </c>
      <c r="I72" s="24">
        <f t="shared" si="19"/>
        <v>0</v>
      </c>
      <c r="J72" s="24">
        <f t="shared" si="19"/>
        <v>0</v>
      </c>
      <c r="K72" s="24">
        <f t="shared" si="19"/>
        <v>0</v>
      </c>
      <c r="L72" s="24">
        <f t="shared" si="19"/>
        <v>0</v>
      </c>
      <c r="M72" s="24">
        <f t="shared" si="19"/>
        <v>0</v>
      </c>
      <c r="N72" s="37">
        <f t="shared" si="20"/>
        <v>0</v>
      </c>
    </row>
    <row r="73" spans="1:14" x14ac:dyDescent="0.25">
      <c r="A73" s="23" t="s">
        <v>15</v>
      </c>
      <c r="B73" s="24">
        <f t="shared" si="19"/>
        <v>0</v>
      </c>
      <c r="C73" s="24">
        <f t="shared" si="19"/>
        <v>0</v>
      </c>
      <c r="D73" s="24">
        <f t="shared" si="19"/>
        <v>0</v>
      </c>
      <c r="E73" s="24">
        <f t="shared" si="19"/>
        <v>0</v>
      </c>
      <c r="F73" s="24">
        <f t="shared" si="19"/>
        <v>0</v>
      </c>
      <c r="G73" s="24">
        <f t="shared" si="19"/>
        <v>0</v>
      </c>
      <c r="H73" s="24">
        <f t="shared" si="19"/>
        <v>0</v>
      </c>
      <c r="I73" s="24">
        <f t="shared" si="19"/>
        <v>0</v>
      </c>
      <c r="J73" s="24">
        <f t="shared" si="19"/>
        <v>0</v>
      </c>
      <c r="K73" s="24">
        <f t="shared" si="19"/>
        <v>0</v>
      </c>
      <c r="L73" s="24">
        <f t="shared" si="19"/>
        <v>0</v>
      </c>
      <c r="M73" s="24">
        <f t="shared" si="19"/>
        <v>0</v>
      </c>
      <c r="N73" s="37">
        <f t="shared" si="20"/>
        <v>0</v>
      </c>
    </row>
    <row r="74" spans="1:14" x14ac:dyDescent="0.25">
      <c r="A74" s="23" t="s">
        <v>11</v>
      </c>
      <c r="B74" s="24">
        <f t="shared" si="19"/>
        <v>0</v>
      </c>
      <c r="C74" s="24">
        <f t="shared" si="19"/>
        <v>0</v>
      </c>
      <c r="D74" s="24">
        <f t="shared" si="19"/>
        <v>0</v>
      </c>
      <c r="E74" s="24">
        <f t="shared" si="19"/>
        <v>0</v>
      </c>
      <c r="F74" s="24">
        <f t="shared" si="19"/>
        <v>0</v>
      </c>
      <c r="G74" s="24">
        <f t="shared" si="19"/>
        <v>0</v>
      </c>
      <c r="H74" s="24">
        <f t="shared" si="19"/>
        <v>0</v>
      </c>
      <c r="I74" s="24">
        <f t="shared" si="19"/>
        <v>0</v>
      </c>
      <c r="J74" s="24">
        <f t="shared" si="19"/>
        <v>0</v>
      </c>
      <c r="K74" s="24">
        <f t="shared" si="19"/>
        <v>0</v>
      </c>
      <c r="L74" s="24">
        <f t="shared" si="19"/>
        <v>0</v>
      </c>
      <c r="M74" s="24">
        <f t="shared" si="19"/>
        <v>0</v>
      </c>
      <c r="N74" s="37">
        <f t="shared" si="20"/>
        <v>0</v>
      </c>
    </row>
    <row r="75" spans="1:14" x14ac:dyDescent="0.25">
      <c r="A75" s="23" t="s">
        <v>16</v>
      </c>
      <c r="B75" s="24">
        <f t="shared" si="19"/>
        <v>0</v>
      </c>
      <c r="C75" s="24">
        <f t="shared" si="19"/>
        <v>0</v>
      </c>
      <c r="D75" s="24">
        <f t="shared" si="19"/>
        <v>0</v>
      </c>
      <c r="E75" s="24">
        <f t="shared" si="19"/>
        <v>0</v>
      </c>
      <c r="F75" s="24">
        <f t="shared" si="19"/>
        <v>0</v>
      </c>
      <c r="G75" s="24">
        <f t="shared" si="19"/>
        <v>0</v>
      </c>
      <c r="H75" s="24">
        <f t="shared" si="19"/>
        <v>0</v>
      </c>
      <c r="I75" s="24">
        <f t="shared" si="19"/>
        <v>0</v>
      </c>
      <c r="J75" s="24">
        <f t="shared" si="19"/>
        <v>0</v>
      </c>
      <c r="K75" s="24">
        <f t="shared" si="19"/>
        <v>0</v>
      </c>
      <c r="L75" s="24">
        <f t="shared" si="19"/>
        <v>0</v>
      </c>
      <c r="M75" s="24">
        <f t="shared" si="19"/>
        <v>0</v>
      </c>
      <c r="N75" s="37">
        <f t="shared" si="20"/>
        <v>0</v>
      </c>
    </row>
    <row r="76" spans="1:14" ht="15.75" thickBot="1" x14ac:dyDescent="0.3">
      <c r="A76" s="38" t="s">
        <v>17</v>
      </c>
      <c r="B76" s="39">
        <f>SUM(B70:B75)</f>
        <v>0</v>
      </c>
      <c r="C76" s="39">
        <f>SUM(C70:C75)</f>
        <v>0</v>
      </c>
      <c r="D76" s="39">
        <f t="shared" ref="D76:L76" si="21">SUM(D70:D75)</f>
        <v>0</v>
      </c>
      <c r="E76" s="39">
        <f t="shared" si="21"/>
        <v>0</v>
      </c>
      <c r="F76" s="39">
        <f t="shared" si="21"/>
        <v>0</v>
      </c>
      <c r="G76" s="39">
        <f t="shared" si="21"/>
        <v>0</v>
      </c>
      <c r="H76" s="39">
        <f t="shared" si="21"/>
        <v>0</v>
      </c>
      <c r="I76" s="39">
        <f t="shared" si="21"/>
        <v>0</v>
      </c>
      <c r="J76" s="39">
        <f t="shared" si="21"/>
        <v>0</v>
      </c>
      <c r="K76" s="39">
        <f t="shared" si="21"/>
        <v>0</v>
      </c>
      <c r="L76" s="39">
        <f t="shared" si="21"/>
        <v>0</v>
      </c>
      <c r="M76" s="39">
        <f>SUM(M70:M75)</f>
        <v>0</v>
      </c>
      <c r="N76" s="40">
        <f>SUM(B76:M76)</f>
        <v>0</v>
      </c>
    </row>
    <row r="78" spans="1:14" x14ac:dyDescent="0.25">
      <c r="A78" s="75" t="s">
        <v>58</v>
      </c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</row>
    <row r="79" spans="1:14" ht="15.75" thickBot="1" x14ac:dyDescent="0.3"/>
    <row r="80" spans="1:14" x14ac:dyDescent="0.25">
      <c r="A80" s="70" t="s">
        <v>4</v>
      </c>
      <c r="B80" s="73" t="s">
        <v>18</v>
      </c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4"/>
    </row>
    <row r="81" spans="1:14" x14ac:dyDescent="0.25">
      <c r="A81" s="71"/>
      <c r="B81" s="6" t="s">
        <v>19</v>
      </c>
      <c r="C81" s="6" t="s">
        <v>20</v>
      </c>
      <c r="D81" s="6" t="s">
        <v>21</v>
      </c>
      <c r="E81" s="6" t="s">
        <v>22</v>
      </c>
      <c r="F81" s="6" t="s">
        <v>23</v>
      </c>
      <c r="G81" s="6" t="s">
        <v>24</v>
      </c>
      <c r="H81" s="6" t="s">
        <v>25</v>
      </c>
      <c r="I81" s="6" t="s">
        <v>26</v>
      </c>
      <c r="J81" s="6" t="s">
        <v>27</v>
      </c>
      <c r="K81" s="6" t="s">
        <v>28</v>
      </c>
      <c r="L81" s="6" t="s">
        <v>29</v>
      </c>
      <c r="M81" s="6" t="s">
        <v>30</v>
      </c>
      <c r="N81" s="13" t="s">
        <v>17</v>
      </c>
    </row>
    <row r="82" spans="1:14" x14ac:dyDescent="0.25">
      <c r="A82" s="9" t="s">
        <v>31</v>
      </c>
      <c r="B82" s="3">
        <f>COUNTIFS(FQ0835_p01!C$6:C$30,A82,FQ0835_p01!K$6:K$30,1)</f>
        <v>0</v>
      </c>
      <c r="C82" s="3">
        <f>COUNTIFS(FQ0835_p01!C$6:C$30,A82,FQ0835_p01!K$6:K$30,2)</f>
        <v>0</v>
      </c>
      <c r="D82" s="3">
        <f>COUNTIFS(FQ0835_p01!C$6:C$30,A82,FQ0835_p01!K$6:K$30,3)</f>
        <v>0</v>
      </c>
      <c r="E82" s="3">
        <f>COUNTIFS(FQ0835_p01!C$6:C$30,A82,FQ0835_p01!K$6:K$30,4)</f>
        <v>0</v>
      </c>
      <c r="F82" s="3">
        <f>COUNTIFS(FQ0835_p01!C$6:C$30,A82,FQ0835_p01!K$6:K$30,5)</f>
        <v>0</v>
      </c>
      <c r="G82" s="3">
        <f>COUNTIFS(FQ0835_p01!C$6:C$30,A82,FQ0835_p01!K$6:K$30,6)</f>
        <v>0</v>
      </c>
      <c r="H82" s="3">
        <f>COUNTIFS(FQ0835_p01!C$6:C$30,A82,FQ0835_p01!K$6:K$30,7)</f>
        <v>0</v>
      </c>
      <c r="I82" s="3">
        <f>COUNTIFS(FQ0835_p01!C$6:C$30,A82,FQ0835_p01!K$6:K$30,8)</f>
        <v>0</v>
      </c>
      <c r="J82" s="3">
        <f>COUNTIFS(FQ0835_p01!C$6:C$30,A82,FQ0835_p01!K$6:K$30,9)</f>
        <v>0</v>
      </c>
      <c r="K82" s="3">
        <f>COUNTIFS(FQ0835_p01!C$6:C$30,A82,FQ0835_p01!K$6:K$30,10)</f>
        <v>0</v>
      </c>
      <c r="L82" s="3">
        <f>COUNTIFS(FQ0835_p01!C$6:C$30,A82,FQ0835_p01!K$6:K$30,11)</f>
        <v>0</v>
      </c>
      <c r="M82" s="3">
        <f>COUNTIFS(FQ0835_p01!C$6:C$30,A82,FQ0835_p01!K$6:K$30,12)</f>
        <v>0</v>
      </c>
      <c r="N82" s="15">
        <f>SUM(B82:M82)</f>
        <v>0</v>
      </c>
    </row>
    <row r="83" spans="1:14" x14ac:dyDescent="0.25">
      <c r="A83" s="9" t="s">
        <v>10</v>
      </c>
      <c r="B83" s="3">
        <f>COUNTIFS(FQ0835_p01!C$6:C$30,A83,FQ0835_p01!K$6:K$30,1)</f>
        <v>0</v>
      </c>
      <c r="C83" s="3">
        <f>COUNTIFS(FQ0835_p01!C$6:C$30,A83,FQ0835_p01!K$6:K$30,2)</f>
        <v>0</v>
      </c>
      <c r="D83" s="3">
        <f>COUNTIFS(FQ0835_p01!C$6:C$30,A83,FQ0835_p01!K$6:K$30,3)</f>
        <v>0</v>
      </c>
      <c r="E83" s="3">
        <f>COUNTIFS(FQ0835_p01!C$6:C$30,A83,FQ0835_p01!K$6:K$30,4)</f>
        <v>0</v>
      </c>
      <c r="F83" s="3">
        <f>COUNTIFS(FQ0835_p01!C$6:C$30,A83,FQ0835_p01!K$6:K$30,5)</f>
        <v>0</v>
      </c>
      <c r="G83" s="3">
        <f>COUNTIFS(FQ0835_p01!C$6:C$30,A83,FQ0835_p01!K$6:K$30,6)</f>
        <v>0</v>
      </c>
      <c r="H83" s="3">
        <f>COUNTIFS(FQ0835_p01!C$6:C$30,A83,FQ0835_p01!K$6:K$30,7)</f>
        <v>0</v>
      </c>
      <c r="I83" s="3">
        <f>COUNTIFS(FQ0835_p01!C$6:C$30,A83,FQ0835_p01!K$6:K$30,8)</f>
        <v>0</v>
      </c>
      <c r="J83" s="3">
        <f>COUNTIFS(FQ0835_p01!C$6:C$30,A83,FQ0835_p01!K$6:K$30,9)</f>
        <v>0</v>
      </c>
      <c r="K83" s="3">
        <f>COUNTIFS(FQ0835_p01!C$6:C$30,A83,FQ0835_p01!K$6:K$30,10)</f>
        <v>0</v>
      </c>
      <c r="L83" s="3">
        <f>COUNTIFS(FQ0835_p01!C$6:C$30,A83,FQ0835_p01!K$6:K$30,11)</f>
        <v>0</v>
      </c>
      <c r="M83" s="3">
        <f>COUNTIFS(FQ0835_p01!C$6:C$30,A83,FQ0835_p01!K$6:K$30,12)</f>
        <v>0</v>
      </c>
      <c r="N83" s="15">
        <f>SUM(B83:M83)</f>
        <v>0</v>
      </c>
    </row>
    <row r="84" spans="1:14" x14ac:dyDescent="0.25">
      <c r="A84" s="9" t="s">
        <v>34</v>
      </c>
      <c r="B84" s="3">
        <f>COUNTIFS(FQ0835_p01!C$6:C$30,A84,FQ0835_p01!K$6:K$30,1)</f>
        <v>0</v>
      </c>
      <c r="C84" s="3">
        <f>COUNTIFS(FQ0835_p01!C$6:C$30,A84,FQ0835_p01!K$6:K$30,2)</f>
        <v>0</v>
      </c>
      <c r="D84" s="3">
        <f>COUNTIFS(FQ0835_p01!C$6:C$30,A84,FQ0835_p01!K$6:K$30,3)</f>
        <v>0</v>
      </c>
      <c r="E84" s="3">
        <f>COUNTIFS(FQ0835_p01!C$6:C$30,A84,FQ0835_p01!K$6:K$30,4)</f>
        <v>0</v>
      </c>
      <c r="F84" s="3">
        <f>COUNTIFS(FQ0835_p01!C$6:C$30,A84,FQ0835_p01!K$6:K$30,5)</f>
        <v>0</v>
      </c>
      <c r="G84" s="3">
        <f>COUNTIFS(FQ0835_p01!C$6:C$30,A84,FQ0835_p01!K$6:K$30,6)</f>
        <v>0</v>
      </c>
      <c r="H84" s="3">
        <f>COUNTIFS(FQ0835_p01!C$6:C$30,A84,FQ0835_p01!K$6:K$30,7)</f>
        <v>0</v>
      </c>
      <c r="I84" s="3">
        <f>COUNTIFS(FQ0835_p01!C$6:C$30,A84,FQ0835_p01!K$6:K$30,8)</f>
        <v>0</v>
      </c>
      <c r="J84" s="3">
        <f>COUNTIFS(FQ0835_p01!C$6:C$30,A84,FQ0835_p01!K$6:K$30,9)</f>
        <v>0</v>
      </c>
      <c r="K84" s="3">
        <f>COUNTIFS(FQ0835_p01!C$6:C$30,A84,FQ0835_p01!K$6:K$30,10)</f>
        <v>0</v>
      </c>
      <c r="L84" s="3">
        <f>COUNTIFS(FQ0835_p01!C$6:C$30,A84,FQ0835_p01!K$6:K$30,11)</f>
        <v>0</v>
      </c>
      <c r="M84" s="3">
        <f>COUNTIFS(FQ0835_p01!C$6:C$30,A84,FQ0835_p01!K$6:K$30,12)</f>
        <v>0</v>
      </c>
      <c r="N84" s="15">
        <f t="shared" ref="N84:N87" si="22">SUM(B84:M84)</f>
        <v>0</v>
      </c>
    </row>
    <row r="85" spans="1:14" x14ac:dyDescent="0.25">
      <c r="A85" s="9" t="s">
        <v>32</v>
      </c>
      <c r="B85" s="3">
        <f>COUNTIFS(FQ0835_p01!C$6:C$30,A85,FQ0835_p01!K$6:K$30,1)</f>
        <v>0</v>
      </c>
      <c r="C85" s="3">
        <f>COUNTIFS(FQ0835_p01!C$6:C$30,A85,FQ0835_p01!K$6:K$30,2)</f>
        <v>0</v>
      </c>
      <c r="D85" s="3">
        <f>COUNTIFS(FQ0835_p01!C$6:C$30,A85,FQ0835_p01!K$6:K$30,3)</f>
        <v>0</v>
      </c>
      <c r="E85" s="3">
        <f>COUNTIFS(FQ0835_p01!C$6:C$30,A85,FQ0835_p01!K$6:K$30,4)</f>
        <v>0</v>
      </c>
      <c r="F85" s="3">
        <f>COUNTIFS(FQ0835_p01!C$6:C$30,A85,FQ0835_p01!K$6:K$30,5)</f>
        <v>0</v>
      </c>
      <c r="G85" s="3">
        <f>COUNTIFS(FQ0835_p01!C$6:C$30,A85,FQ0835_p01!K$6:K$30,6)</f>
        <v>0</v>
      </c>
      <c r="H85" s="3">
        <f>COUNTIFS(FQ0835_p01!C$6:C$30,A85,FQ0835_p01!K$6:K$30,7)</f>
        <v>0</v>
      </c>
      <c r="I85" s="3">
        <f>COUNTIFS(FQ0835_p01!C$6:C$30,A85,FQ0835_p01!K$6:K$30,8)</f>
        <v>0</v>
      </c>
      <c r="J85" s="3">
        <f>COUNTIFS(FQ0835_p01!C$6:C$30,A85,FQ0835_p01!K$6:K$30,9)</f>
        <v>0</v>
      </c>
      <c r="K85" s="3">
        <f>COUNTIFS(FQ0835_p01!C$6:C$30,A85,FQ0835_p01!K$6:K$30,10)</f>
        <v>0</v>
      </c>
      <c r="L85" s="3">
        <f>COUNTIFS(FQ0835_p01!C$6:C$30,A85,FQ0835_p01!K$6:K$30,11)</f>
        <v>0</v>
      </c>
      <c r="M85" s="3">
        <f>COUNTIFS(FQ0835_p01!C$6:C$30,A85,FQ0835_p01!K$6:K$30,12)</f>
        <v>0</v>
      </c>
      <c r="N85" s="15">
        <f t="shared" si="22"/>
        <v>0</v>
      </c>
    </row>
    <row r="86" spans="1:14" x14ac:dyDescent="0.25">
      <c r="A86" s="9" t="s">
        <v>33</v>
      </c>
      <c r="B86" s="3">
        <f>COUNTIFS(FQ0835_p01!C$6:C$30,A86,FQ0835_p01!K$6:K$30,1)</f>
        <v>0</v>
      </c>
      <c r="C86" s="3">
        <f>COUNTIFS(FQ0835_p01!C$6:C$30,A86,FQ0835_p01!K$6:K$30,2)</f>
        <v>0</v>
      </c>
      <c r="D86" s="3">
        <f>COUNTIFS(FQ0835_p01!C$6:C$30,A86,FQ0835_p01!K$6:K$30,3)</f>
        <v>0</v>
      </c>
      <c r="E86" s="3">
        <f>COUNTIFS(FQ0835_p01!C$6:C$30,A86,FQ0835_p01!K$6:K$30,4)</f>
        <v>0</v>
      </c>
      <c r="F86" s="3">
        <f>COUNTIFS(FQ0835_p01!C$6:C$30,A86,FQ0835_p01!K$6:K$30,5)</f>
        <v>0</v>
      </c>
      <c r="G86" s="3">
        <f>COUNTIFS(FQ0835_p01!C$6:C$30,A86,FQ0835_p01!K$6:K$30,6)</f>
        <v>0</v>
      </c>
      <c r="H86" s="3">
        <f>COUNTIFS(FQ0835_p01!C$6:C$30,A86,FQ0835_p01!K$6:K$30,7)</f>
        <v>0</v>
      </c>
      <c r="I86" s="3">
        <f>COUNTIFS(FQ0835_p01!C$6:C$30,A86,FQ0835_p01!K$6:K$30,8)</f>
        <v>0</v>
      </c>
      <c r="J86" s="3">
        <f>COUNTIFS(FQ0835_p01!C$6:C$30,A86,FQ0835_p01!K$6:K$30,9)</f>
        <v>0</v>
      </c>
      <c r="K86" s="3">
        <f>COUNTIFS(FQ0835_p01!C$6:C$30,A86,FQ0835_p01!K$6:K$30,10)</f>
        <v>0</v>
      </c>
      <c r="L86" s="3">
        <f>COUNTIFS(FQ0835_p01!C$6:C$30,A86,FQ0835_p01!K$6:K$30,11)</f>
        <v>0</v>
      </c>
      <c r="M86" s="3">
        <f>COUNTIFS(FQ0835_p01!C$6:C$30,A86,FQ0835_p01!K$6:K$30,12)</f>
        <v>0</v>
      </c>
      <c r="N86" s="15">
        <f t="shared" si="22"/>
        <v>0</v>
      </c>
    </row>
    <row r="87" spans="1:14" x14ac:dyDescent="0.25">
      <c r="A87" s="9" t="s">
        <v>35</v>
      </c>
      <c r="B87" s="3">
        <f>COUNTIFS(FQ0835_p01!C$6:C$30,A87,FQ0835_p01!K$6:K$30,1)</f>
        <v>0</v>
      </c>
      <c r="C87" s="3">
        <f>COUNTIFS(FQ0835_p01!C$6:C$30,A87,FQ0835_p01!K$6:K$30,2)</f>
        <v>0</v>
      </c>
      <c r="D87" s="3">
        <f>COUNTIFS(FQ0835_p01!C$6:C$30,A87,FQ0835_p01!K$6:K$30,3)</f>
        <v>0</v>
      </c>
      <c r="E87" s="3">
        <f>COUNTIFS(FQ0835_p01!C$6:C$30,A87,FQ0835_p01!K$6:K$30,4)</f>
        <v>0</v>
      </c>
      <c r="F87" s="3">
        <f>COUNTIFS(FQ0835_p01!C$6:C$30,A87,FQ0835_p01!K$6:K$30,5)</f>
        <v>0</v>
      </c>
      <c r="G87" s="3">
        <f>COUNTIFS(FQ0835_p01!C$6:C$30,A87,FQ0835_p01!K$6:K$30,6)</f>
        <v>0</v>
      </c>
      <c r="H87" s="3">
        <f>COUNTIFS(FQ0835_p01!C$6:C$30,A87,FQ0835_p01!K$6:K$30,7)</f>
        <v>0</v>
      </c>
      <c r="I87" s="3">
        <f>COUNTIFS(FQ0835_p01!C$6:C$30,A87,FQ0835_p01!K$6:K$30,8)</f>
        <v>0</v>
      </c>
      <c r="J87" s="3">
        <f>COUNTIFS(FQ0835_p01!C$6:C$30,A87,FQ0835_p01!K$6:K$30,9)</f>
        <v>0</v>
      </c>
      <c r="K87" s="3">
        <f>COUNTIFS(FQ0835_p01!C$6:C$30,A87,FQ0835_p01!K$6:K$30,10)</f>
        <v>0</v>
      </c>
      <c r="L87" s="3">
        <f>COUNTIFS(FQ0835_p01!C$6:C$30,A87,FQ0835_p01!K$6:K$30,11)</f>
        <v>0</v>
      </c>
      <c r="M87" s="3">
        <f>COUNTIFS(FQ0835_p01!C$6:C$30,A87,FQ0835_p01!K$6:K$30,12)</f>
        <v>0</v>
      </c>
      <c r="N87" s="15">
        <f t="shared" si="22"/>
        <v>0</v>
      </c>
    </row>
    <row r="88" spans="1:14" ht="15.75" thickBot="1" x14ac:dyDescent="0.3">
      <c r="A88" s="11" t="s">
        <v>36</v>
      </c>
      <c r="B88" s="3">
        <f>COUNTIFS(FQ0835_p01!C$6:C$30,A88,FQ0835_p01!K$6:K$30,1)</f>
        <v>0</v>
      </c>
      <c r="C88" s="3">
        <f>COUNTIFS(FQ0835_p01!C$6:C$30,A88,FQ0835_p01!K$6:K$30,2)</f>
        <v>0</v>
      </c>
      <c r="D88" s="3">
        <f>COUNTIFS(FQ0835_p01!C$6:C$30,A88,FQ0835_p01!K$6:K$30,3)</f>
        <v>0</v>
      </c>
      <c r="E88" s="3">
        <f>COUNTIFS(FQ0835_p01!C$6:C$30,A88,FQ0835_p01!K$6:K$30,4)</f>
        <v>0</v>
      </c>
      <c r="F88" s="3">
        <f>COUNTIFS(FQ0835_p01!C$6:C$30,A88,FQ0835_p01!K$6:K$30,5)</f>
        <v>0</v>
      </c>
      <c r="G88" s="3">
        <f>COUNTIFS(FQ0835_p01!C$6:C$30,A88,FQ0835_p01!K$6:K$30,6)</f>
        <v>0</v>
      </c>
      <c r="H88" s="3">
        <f>COUNTIFS(FQ0835_p01!C$6:C$30,A88,FQ0835_p01!K$6:K$30,7)</f>
        <v>0</v>
      </c>
      <c r="I88" s="3">
        <f>COUNTIFS(FQ0835_p01!C$6:C$30,A88,FQ0835_p01!K$6:K$30,8)</f>
        <v>0</v>
      </c>
      <c r="J88" s="3">
        <f>COUNTIFS(FQ0835_p01!C$6:C$30,A88,FQ0835_p01!K$6:K$30,9)</f>
        <v>0</v>
      </c>
      <c r="K88" s="3">
        <f>COUNTIFS(FQ0835_p01!C$6:C$30,A88,FQ0835_p01!K$6:K$30,10)</f>
        <v>0</v>
      </c>
      <c r="L88" s="3">
        <f>COUNTIFS(FQ0835_p01!C$6:C$30,A88,FQ0835_p01!K$6:K$30,11)</f>
        <v>0</v>
      </c>
      <c r="M88" s="3">
        <f>COUNTIFS(FQ0835_p01!C$6:C$30,A88,FQ0835_p01!K$6:K$30,12)</f>
        <v>0</v>
      </c>
      <c r="N88" s="15">
        <f>SUM(B88:M88)</f>
        <v>0</v>
      </c>
    </row>
    <row r="89" spans="1:14" x14ac:dyDescent="0.25">
      <c r="A89" s="17" t="s">
        <v>17</v>
      </c>
      <c r="B89" s="20">
        <f>SUM(B82:B88)</f>
        <v>0</v>
      </c>
      <c r="C89" s="20">
        <f t="shared" ref="C89:M89" si="23">SUM(C82:C88)</f>
        <v>0</v>
      </c>
      <c r="D89" s="20">
        <f t="shared" si="23"/>
        <v>0</v>
      </c>
      <c r="E89" s="20">
        <f t="shared" si="23"/>
        <v>0</v>
      </c>
      <c r="F89" s="20">
        <f t="shared" si="23"/>
        <v>0</v>
      </c>
      <c r="G89" s="20">
        <f t="shared" si="23"/>
        <v>0</v>
      </c>
      <c r="H89" s="20">
        <f t="shared" si="23"/>
        <v>0</v>
      </c>
      <c r="I89" s="20">
        <f t="shared" si="23"/>
        <v>0</v>
      </c>
      <c r="J89" s="20">
        <f t="shared" si="23"/>
        <v>0</v>
      </c>
      <c r="K89" s="20">
        <f t="shared" si="23"/>
        <v>0</v>
      </c>
      <c r="L89" s="20">
        <f t="shared" si="23"/>
        <v>0</v>
      </c>
      <c r="M89" s="20">
        <f t="shared" si="23"/>
        <v>0</v>
      </c>
      <c r="N89" s="21">
        <f>SUM(B89:M89)</f>
        <v>0</v>
      </c>
    </row>
    <row r="90" spans="1:14" x14ac:dyDescent="0.25">
      <c r="A90" s="18" t="s">
        <v>41</v>
      </c>
      <c r="B90" s="19">
        <f>COUNTIFS(FQ0835_p01!C$6:C$30,A90,FQ0835_p01!K$6:K$30,1)</f>
        <v>0</v>
      </c>
      <c r="C90" s="19">
        <f>COUNTIFS(FQ0835_p01!C$6:C$30,A90,FQ0835_p01!K$6:K$30,2)</f>
        <v>0</v>
      </c>
      <c r="D90" s="19">
        <f>COUNTIFS(FQ0835_p01!C$6:C$30,A90,FQ0835_p01!K$6:K$30,3)</f>
        <v>0</v>
      </c>
      <c r="E90" s="19">
        <f>COUNTIFS(FQ0835_p01!C$6:C$30,A90,FQ0835_p01!K$6:K$30,4)</f>
        <v>0</v>
      </c>
      <c r="F90" s="19">
        <f>COUNTIFS(FQ0835_p01!C$6:C$30,A90,FQ0835_p01!K$6:K$30,5)</f>
        <v>0</v>
      </c>
      <c r="G90" s="19">
        <f>COUNTIFS(FQ0835_p01!C$6:C$30,A90,FQ0835_p01!K$6:K$30,6)</f>
        <v>0</v>
      </c>
      <c r="H90" s="19">
        <f>COUNTIFS(FQ0835_p01!C$6:C$30,A90,FQ0835_p01!K$6:K$30,7)</f>
        <v>0</v>
      </c>
      <c r="I90" s="19">
        <f>COUNTIFS(FQ0835_p01!C$6:C$30,A90,FQ0835_p01!K$6:K$30,8)</f>
        <v>0</v>
      </c>
      <c r="J90" s="19">
        <f>COUNTIFS(FQ0835_p01!C$6:C$30,A90,FQ0835_p01!K$6:K$30,9)</f>
        <v>0</v>
      </c>
      <c r="K90" s="19">
        <f>COUNTIFS(FQ0835_p01!C$6:C$30,A90,FQ0835_p01!K$6:K$30,10)</f>
        <v>0</v>
      </c>
      <c r="L90" s="19">
        <f>COUNTIFS(FQ0835_p01!C$6:C$30,A90,FQ0835_p01!K$6:K$30,11)</f>
        <v>0</v>
      </c>
      <c r="M90" s="19">
        <f>COUNTIFS(FQ0835_p01!C$6:C$30,A90,FQ0835_p01!K$6:K$30,12)</f>
        <v>0</v>
      </c>
      <c r="N90" s="19">
        <f>SUM(B90:M90)</f>
        <v>0</v>
      </c>
    </row>
    <row r="91" spans="1:14" x14ac:dyDescent="0.25">
      <c r="A91" s="35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</row>
    <row r="92" spans="1:14" x14ac:dyDescent="0.25">
      <c r="A92" s="72" t="s">
        <v>56</v>
      </c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</row>
    <row r="93" spans="1:14" ht="15.75" thickBot="1" x14ac:dyDescent="0.3"/>
    <row r="94" spans="1:14" x14ac:dyDescent="0.25">
      <c r="A94" s="70" t="s">
        <v>4</v>
      </c>
      <c r="B94" s="73" t="s">
        <v>18</v>
      </c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4"/>
    </row>
    <row r="95" spans="1:14" x14ac:dyDescent="0.25">
      <c r="A95" s="71"/>
      <c r="B95" s="6" t="s">
        <v>19</v>
      </c>
      <c r="C95" s="6" t="s">
        <v>20</v>
      </c>
      <c r="D95" s="6" t="s">
        <v>21</v>
      </c>
      <c r="E95" s="6" t="s">
        <v>22</v>
      </c>
      <c r="F95" s="6" t="s">
        <v>23</v>
      </c>
      <c r="G95" s="6" t="s">
        <v>24</v>
      </c>
      <c r="H95" s="6" t="s">
        <v>25</v>
      </c>
      <c r="I95" s="6" t="s">
        <v>26</v>
      </c>
      <c r="J95" s="6" t="s">
        <v>27</v>
      </c>
      <c r="K95" s="6" t="s">
        <v>28</v>
      </c>
      <c r="L95" s="6" t="s">
        <v>29</v>
      </c>
      <c r="M95" s="6" t="s">
        <v>30</v>
      </c>
      <c r="N95" s="13" t="s">
        <v>17</v>
      </c>
    </row>
    <row r="96" spans="1:14" x14ac:dyDescent="0.25">
      <c r="A96" s="9" t="s">
        <v>31</v>
      </c>
      <c r="B96" s="3">
        <f>COUNTIFS(FQ0835_p01!C$6:C$30,A96,FQ0835_p01!K$6:K$30,1,FQ0835_p01!M$6:M$30,"Sim")</f>
        <v>0</v>
      </c>
      <c r="C96" s="3">
        <f>COUNTIFS(FQ0835_p01!C$6:C$30,A96,FQ0835_p01!K$6:K$30,2,FQ0835_p01!M$6:M$30,"Sim")</f>
        <v>0</v>
      </c>
      <c r="D96" s="3">
        <f>COUNTIFS(FQ0835_p01!C$6:C$30,A96,FQ0835_p01!K$6:K$30,3,FQ0835_p01!M$6:M$30,"Sim")</f>
        <v>0</v>
      </c>
      <c r="E96" s="3">
        <f>COUNTIFS(FQ0835_p01!C$6:C$30,A96,FQ0835_p01!K$6:K$30,4,FQ0835_p01!M$6:M$30,"Sim")</f>
        <v>0</v>
      </c>
      <c r="F96" s="3">
        <f>COUNTIFS(FQ0835_p01!C$6:C$30,A96,FQ0835_p01!K$6:K$30,5,FQ0835_p01!M$6:M$30,"Sim")</f>
        <v>0</v>
      </c>
      <c r="G96" s="3">
        <f>COUNTIFS(FQ0835_p01!C$6:C$30,A96,FQ0835_p01!K$6:K$30,6,FQ0835_p01!M$6:M$30,"Sim")</f>
        <v>0</v>
      </c>
      <c r="H96" s="3">
        <f>COUNTIFS(FQ0835_p01!C$6:C$30,A96,FQ0835_p01!K$6:K$30,7,FQ0835_p01!M$6:M$30,"Sim")</f>
        <v>0</v>
      </c>
      <c r="I96" s="3">
        <f>COUNTIFS(FQ0835_p01!C$6:C$30,A96,FQ0835_p01!K$6:K$30,8,FQ0835_p01!M$6:M$30,"Sim")</f>
        <v>0</v>
      </c>
      <c r="J96" s="3">
        <f>COUNTIFS(FQ0835_p01!C$6:C$30,A96,FQ0835_p01!K$6:K$30,9,FQ0835_p01!M$6:M$30,"Sim")</f>
        <v>0</v>
      </c>
      <c r="K96" s="3">
        <f>COUNTIFS(FQ0835_p01!C$6:C$30,A96,FQ0835_p01!K$6:K$30,10,FQ0835_p01!M$6:M$30,"Sim")</f>
        <v>0</v>
      </c>
      <c r="L96" s="3">
        <f>COUNTIFS(FQ0835_p01!C$6:C$30,A96,FQ0835_p01!K$6:K$30,11,FQ0835_p01!M$6:M$30,"Sim")</f>
        <v>0</v>
      </c>
      <c r="M96" s="3">
        <f>COUNTIFS(FQ0835_p01!C$6:C$30,A96,FQ0835_p01!K$6:K$30,12,FQ0835_p01!M$6:M$30,"Sim")</f>
        <v>0</v>
      </c>
      <c r="N96" s="15">
        <f>SUM(B96:M96)</f>
        <v>0</v>
      </c>
    </row>
    <row r="97" spans="1:14" x14ac:dyDescent="0.25">
      <c r="A97" s="9" t="s">
        <v>10</v>
      </c>
      <c r="B97" s="3">
        <f>COUNTIFS(FQ0835_p01!C$6:C$30,A97,FQ0835_p01!K$6:K$30,1,FQ0835_p01!M$6:M$30,"Sim")</f>
        <v>0</v>
      </c>
      <c r="C97" s="3">
        <f>COUNTIFS(FQ0835_p01!C$6:C$30,A97,FQ0835_p01!K$6:K$30,2,FQ0835_p01!M$6:M$30,"Sim")</f>
        <v>0</v>
      </c>
      <c r="D97" s="3">
        <f>COUNTIFS(FQ0835_p01!C$6:C$30,A97,FQ0835_p01!K$6:K$30,3,FQ0835_p01!M$6:M$30,"Sim")</f>
        <v>0</v>
      </c>
      <c r="E97" s="3">
        <f>COUNTIFS(FQ0835_p01!C$6:C$30,A97,FQ0835_p01!K$6:K$30,4,FQ0835_p01!M$6:M$30,"Sim")</f>
        <v>0</v>
      </c>
      <c r="F97" s="3">
        <f>COUNTIFS(FQ0835_p01!C$6:C$30,A97,FQ0835_p01!K$6:K$30,5,FQ0835_p01!M$6:M$30,"Sim")</f>
        <v>0</v>
      </c>
      <c r="G97" s="3">
        <f>COUNTIFS(FQ0835_p01!C$6:C$30,A97,FQ0835_p01!K$6:K$30,6,FQ0835_p01!M$6:M$30,"Sim")</f>
        <v>0</v>
      </c>
      <c r="H97" s="3">
        <f>COUNTIFS(FQ0835_p01!C$6:C$30,A97,FQ0835_p01!K$6:K$30,7,FQ0835_p01!M$6:M$30,"Sim")</f>
        <v>0</v>
      </c>
      <c r="I97" s="3">
        <f>COUNTIFS(FQ0835_p01!C$6:C$30,A97,FQ0835_p01!K$6:K$30,8,FQ0835_p01!M$6:M$30,"Sim")</f>
        <v>0</v>
      </c>
      <c r="J97" s="3">
        <f>COUNTIFS(FQ0835_p01!C$6:C$30,A97,FQ0835_p01!K$6:K$30,9,FQ0835_p01!M$6:M$30,"Sim")</f>
        <v>0</v>
      </c>
      <c r="K97" s="3">
        <f>COUNTIFS(FQ0835_p01!C$6:C$30,A97,FQ0835_p01!K$6:K$30,10,FQ0835_p01!M$6:M$30,"Sim")</f>
        <v>0</v>
      </c>
      <c r="L97" s="3">
        <f>COUNTIFS(FQ0835_p01!C$6:C$30,A97,FQ0835_p01!K$6:K$30,11,FQ0835_p01!M$6:M$30,"Sim")</f>
        <v>0</v>
      </c>
      <c r="M97" s="3">
        <f>COUNTIFS(FQ0835_p01!C$6:C$30,A97,FQ0835_p01!K$6:K$30,12,FQ0835_p01!M$6:M$30,"Sim")</f>
        <v>0</v>
      </c>
      <c r="N97" s="15">
        <f>SUM(B97:M97)</f>
        <v>0</v>
      </c>
    </row>
    <row r="98" spans="1:14" x14ac:dyDescent="0.25">
      <c r="A98" s="9" t="s">
        <v>34</v>
      </c>
      <c r="B98" s="3">
        <f>COUNTIFS(FQ0835_p01!C$6:C$30,A98,FQ0835_p01!K$6:K$30,1,FQ0835_p01!M$6:M$30,"Sim")</f>
        <v>0</v>
      </c>
      <c r="C98" s="3">
        <f>COUNTIFS(FQ0835_p01!C$6:C$30,A98,FQ0835_p01!K$6:K$30,2)</f>
        <v>0</v>
      </c>
      <c r="D98" s="3">
        <f>COUNTIFS(FQ0835_p01!C$6:C$30,A98,FQ0835_p01!K$6:K$30,3,FQ0835_p01!M$6:M$30,"Sim")</f>
        <v>0</v>
      </c>
      <c r="E98" s="3">
        <f>COUNTIFS(FQ0835_p01!C$6:C$30,A98,FQ0835_p01!K$6:K$30,4,FQ0835_p01!M$6:M$30,"Sim")</f>
        <v>0</v>
      </c>
      <c r="F98" s="3">
        <f>COUNTIFS(FQ0835_p01!C$6:C$30,A98,FQ0835_p01!K$6:K$30,5,FQ0835_p01!M$6:M$30,"Sim")</f>
        <v>0</v>
      </c>
      <c r="G98" s="3">
        <f>COUNTIFS(FQ0835_p01!C$6:C$30,A98,FQ0835_p01!K$6:K$30,6,FQ0835_p01!M$6:M$30,"Sim")</f>
        <v>0</v>
      </c>
      <c r="H98" s="3">
        <f>COUNTIFS(FQ0835_p01!C$6:C$30,A98,FQ0835_p01!K$6:K$30,7,FQ0835_p01!M$6:M$30,"Sim")</f>
        <v>0</v>
      </c>
      <c r="I98" s="3">
        <f>COUNTIFS(FQ0835_p01!C$6:C$30,A98,FQ0835_p01!K$6:K$30,8,FQ0835_p01!M$6:M$30,"Sim")</f>
        <v>0</v>
      </c>
      <c r="J98" s="3">
        <f>COUNTIFS(FQ0835_p01!C$6:C$30,A98,FQ0835_p01!K$6:K$30,9,FQ0835_p01!M$6:M$30,"Sim")</f>
        <v>0</v>
      </c>
      <c r="K98" s="3">
        <f>COUNTIFS(FQ0835_p01!C$6:C$30,A98,FQ0835_p01!K$6:K$30,10,FQ0835_p01!M$6:M$30,"Sim")</f>
        <v>0</v>
      </c>
      <c r="L98" s="3">
        <f>COUNTIFS(FQ0835_p01!C$6:C$30,A98,FQ0835_p01!K$6:K$30,11,FQ0835_p01!M$6:M$30,"Sim")</f>
        <v>0</v>
      </c>
      <c r="M98" s="3">
        <f>COUNTIFS(FQ0835_p01!C$6:C$30,A98,FQ0835_p01!K$6:K$30,12,FQ0835_p01!M$6:M$30,"Sim")</f>
        <v>0</v>
      </c>
      <c r="N98" s="15">
        <f t="shared" ref="N98:N101" si="24">SUM(B98:M98)</f>
        <v>0</v>
      </c>
    </row>
    <row r="99" spans="1:14" x14ac:dyDescent="0.25">
      <c r="A99" s="9" t="s">
        <v>32</v>
      </c>
      <c r="B99" s="3">
        <f>COUNTIFS(FQ0835_p01!C$6:C$30,A99,FQ0835_p01!K$6:K$30,1,FQ0835_p01!M$6:M$30,"Sim")</f>
        <v>0</v>
      </c>
      <c r="C99" s="3">
        <f>COUNTIFS(FQ0835_p01!C$6:C$30,A99,FQ0835_p01!K$6:K$30,2,FQ0835_p01!M$6:M$30,"Sim")</f>
        <v>0</v>
      </c>
      <c r="D99" s="3">
        <f>COUNTIFS(FQ0835_p01!C$6:C$30,A99,FQ0835_p01!K$6:K$30,3,FQ0835_p01!M$6:M$30,"Sim")</f>
        <v>0</v>
      </c>
      <c r="E99" s="3">
        <f>COUNTIFS(FQ0835_p01!C$6:C$30,A99,FQ0835_p01!K$6:K$30,4,FQ0835_p01!M$6:M$30,"Sim")</f>
        <v>0</v>
      </c>
      <c r="F99" s="3">
        <f>COUNTIFS(FQ0835_p01!C$6:C$30,A99,FQ0835_p01!K$6:K$30,5,FQ0835_p01!M$6:M$30,"Sim")</f>
        <v>0</v>
      </c>
      <c r="G99" s="3">
        <f>COUNTIFS(FQ0835_p01!C$6:C$30,A99,FQ0835_p01!K$6:K$30,6,FQ0835_p01!M$6:M$30,"Sim")</f>
        <v>0</v>
      </c>
      <c r="H99" s="3">
        <f>COUNTIFS(FQ0835_p01!C$6:C$30,A99,FQ0835_p01!K$6:K$30,7,FQ0835_p01!M$6:M$30,"Sim")</f>
        <v>0</v>
      </c>
      <c r="I99" s="3">
        <f>COUNTIFS(FQ0835_p01!C$6:C$30,A99,FQ0835_p01!K$6:K$30,8,FQ0835_p01!M$6:M$30,"Sim")</f>
        <v>0</v>
      </c>
      <c r="J99" s="3">
        <f>COUNTIFS(FQ0835_p01!C$6:C$30,A99,FQ0835_p01!K$6:K$30,9,FQ0835_p01!M$6:M$30,"Sim")</f>
        <v>0</v>
      </c>
      <c r="K99" s="3">
        <f>COUNTIFS(FQ0835_p01!C$6:C$30,A99,FQ0835_p01!K$6:K$30,10,FQ0835_p01!M$6:M$30,"Sim")</f>
        <v>0</v>
      </c>
      <c r="L99" s="3">
        <f>COUNTIFS(FQ0835_p01!C$6:C$30,A99,FQ0835_p01!K$6:K$30,11,FQ0835_p01!M$6:M$30,"Sim")</f>
        <v>0</v>
      </c>
      <c r="M99" s="3">
        <f>COUNTIFS(FQ0835_p01!C$6:C$30,A99,FQ0835_p01!K$6:K$30,12,FQ0835_p01!M$6:M$30,"Sim")</f>
        <v>0</v>
      </c>
      <c r="N99" s="15">
        <f t="shared" si="24"/>
        <v>0</v>
      </c>
    </row>
    <row r="100" spans="1:14" x14ac:dyDescent="0.25">
      <c r="A100" s="9" t="s">
        <v>33</v>
      </c>
      <c r="B100" s="3">
        <f>COUNTIFS(FQ0835_p01!C$6:C$30,A100,FQ0835_p01!K$6:K$30,1,FQ0835_p01!M$6:M$30,"Sim")</f>
        <v>0</v>
      </c>
      <c r="C100" s="3">
        <f>COUNTIFS(FQ0835_p01!C$6:C$30,A100,FQ0835_p01!K$6:K$30,2,FQ0835_p01!M$6:M$30,"Sim")</f>
        <v>0</v>
      </c>
      <c r="D100" s="3">
        <f>COUNTIFS(FQ0835_p01!C$6:C$30,A100,FQ0835_p01!K$6:K$30,3,FQ0835_p01!M$6:M$30,"Sim")</f>
        <v>0</v>
      </c>
      <c r="E100" s="3">
        <f>COUNTIFS(FQ0835_p01!C$6:C$30,A100,FQ0835_p01!K$6:K$30,4,FQ0835_p01!M$6:M$30,"Sim")</f>
        <v>0</v>
      </c>
      <c r="F100" s="3">
        <f>COUNTIFS(FQ0835_p01!C$6:C$30,A100,FQ0835_p01!K$6:K$30,5,FQ0835_p01!M$6:M$30,"Sim")</f>
        <v>0</v>
      </c>
      <c r="G100" s="3">
        <f>COUNTIFS(FQ0835_p01!C$6:C$30,A100,FQ0835_p01!K$6:K$30,6,FQ0835_p01!M$6:M$30,"Sim")</f>
        <v>0</v>
      </c>
      <c r="H100" s="3">
        <f>COUNTIFS(FQ0835_p01!C$6:C$30,A100,FQ0835_p01!K$6:K$30,7,FQ0835_p01!M$6:M$30,"Sim")</f>
        <v>0</v>
      </c>
      <c r="I100" s="3">
        <f>COUNTIFS(FQ0835_p01!C$6:C$30,A100,FQ0835_p01!K$6:K$30,8,FQ0835_p01!M$6:M$30,"Sim")</f>
        <v>0</v>
      </c>
      <c r="J100" s="3">
        <f>COUNTIFS(FQ0835_p01!C$6:C$30,A100,FQ0835_p01!K$6:K$30,9,FQ0835_p01!M$6:M$30,"Sim")</f>
        <v>0</v>
      </c>
      <c r="K100" s="3">
        <f>COUNTIFS(FQ0835_p01!C$6:C$30,A100,FQ0835_p01!K$6:K$30,10,FQ0835_p01!M$6:M$30,"Sim")</f>
        <v>0</v>
      </c>
      <c r="L100" s="3">
        <f>COUNTIFS(FQ0835_p01!C$6:C$30,A100,FQ0835_p01!K$6:K$30,11,FQ0835_p01!M$6:M$30,"Sim")</f>
        <v>0</v>
      </c>
      <c r="M100" s="3">
        <f>COUNTIFS(FQ0835_p01!C$6:C$30,A100,FQ0835_p01!K$6:K$30,12,FQ0835_p01!M$6:M$30,"Sim")</f>
        <v>0</v>
      </c>
      <c r="N100" s="15">
        <f t="shared" si="24"/>
        <v>0</v>
      </c>
    </row>
    <row r="101" spans="1:14" x14ac:dyDescent="0.25">
      <c r="A101" s="9" t="s">
        <v>35</v>
      </c>
      <c r="B101" s="3">
        <f>COUNTIFS(FQ0835_p01!C$6:C$30,A101,FQ0835_p01!K$6:K$30,1,FQ0835_p01!M$6:M$30,"Sim")</f>
        <v>0</v>
      </c>
      <c r="C101" s="3">
        <f>COUNTIFS(FQ0835_p01!C$6:C$30,A101,FQ0835_p01!K$6:K$30,2,FQ0835_p01!M$6:M$30,"Sim")</f>
        <v>0</v>
      </c>
      <c r="D101" s="3">
        <f>COUNTIFS(FQ0835_p01!C$6:C$30,A101,FQ0835_p01!K$6:K$30,3,FQ0835_p01!M$6:M$30,"Sim")</f>
        <v>0</v>
      </c>
      <c r="E101" s="3">
        <f>COUNTIFS(FQ0835_p01!C$6:C$30,A101,FQ0835_p01!K$6:K$30,4,FQ0835_p01!M$6:M$30,"Sim")</f>
        <v>0</v>
      </c>
      <c r="F101" s="3">
        <f>COUNTIFS(FQ0835_p01!C$6:C$30,A101,FQ0835_p01!K$6:K$30,5,FQ0835_p01!M$6:M$30,"Sim")</f>
        <v>0</v>
      </c>
      <c r="G101" s="3">
        <f>COUNTIFS(FQ0835_p01!C$6:C$30,A101,FQ0835_p01!K$6:K$30,6,FQ0835_p01!M$6:M$30,"Sim")</f>
        <v>0</v>
      </c>
      <c r="H101" s="3">
        <f>COUNTIFS(FQ0835_p01!C$6:C$30,A101,FQ0835_p01!K$6:K$30,7,FQ0835_p01!M$6:M$30,"Sim")</f>
        <v>0</v>
      </c>
      <c r="I101" s="3">
        <f>COUNTIFS(FQ0835_p01!C$6:C$30,A101,FQ0835_p01!K$6:K$30,8,FQ0835_p01!M$6:M$30,"Sim")</f>
        <v>0</v>
      </c>
      <c r="J101" s="3">
        <f>COUNTIFS(FQ0835_p01!C$6:C$30,A101,FQ0835_p01!K$6:K$30,9,FQ0835_p01!M$6:M$30,"Sim")</f>
        <v>0</v>
      </c>
      <c r="K101" s="3">
        <f>COUNTIFS(FQ0835_p01!C$6:C$30,A101,FQ0835_p01!K$6:K$30,10,FQ0835_p01!M$6:M$30,"Sim")</f>
        <v>0</v>
      </c>
      <c r="L101" s="3">
        <f>COUNTIFS(FQ0835_p01!C$6:C$30,A101,FQ0835_p01!K$6:K$30,11,FQ0835_p01!M$6:M$30,"Sim")</f>
        <v>0</v>
      </c>
      <c r="M101" s="3">
        <f>COUNTIFS(FQ0835_p01!C$6:C$30,A101,FQ0835_p01!K$6:K$30,12,FQ0835_p01!M$6:M$30,"Sim")</f>
        <v>0</v>
      </c>
      <c r="N101" s="15">
        <f t="shared" si="24"/>
        <v>0</v>
      </c>
    </row>
    <row r="102" spans="1:14" ht="15.75" thickBot="1" x14ac:dyDescent="0.3">
      <c r="A102" s="11" t="s">
        <v>36</v>
      </c>
      <c r="B102" s="3">
        <f>COUNTIFS(FQ0835_p01!C$6:C$30,A102,FQ0835_p01!K$6:K$30,1)</f>
        <v>0</v>
      </c>
      <c r="C102" s="3">
        <f>COUNTIFS(FQ0835_p01!C$6:C$30,A102,FQ0835_p01!K$6:K$30,2,FQ0835_p01!M$6:M$30,"Sim")</f>
        <v>0</v>
      </c>
      <c r="D102" s="3">
        <f>COUNTIFS(FQ0835_p01!C$6:C$30,A102,FQ0835_p01!K$6:K$30,3,FQ0835_p01!M$6:M$30,"Sim")</f>
        <v>0</v>
      </c>
      <c r="E102" s="3">
        <f>COUNTIFS(FQ0835_p01!C$6:C$30,A102,FQ0835_p01!K$6:K$30,4,FQ0835_p01!M$6:M$30,"Sim")</f>
        <v>0</v>
      </c>
      <c r="F102" s="3">
        <f>COUNTIFS(FQ0835_p01!C$6:C$30,A102,FQ0835_p01!K$6:K$30,5,FQ0835_p01!M$6:M$30,"Sim")</f>
        <v>0</v>
      </c>
      <c r="G102" s="3">
        <f>COUNTIFS(FQ0835_p01!C$6:C$30,A102,FQ0835_p01!K$6:K$30,6,FQ0835_p01!M$6:M$30,"Sim")</f>
        <v>0</v>
      </c>
      <c r="H102" s="3">
        <f>COUNTIFS(FQ0835_p01!C$6:C$30,A102,FQ0835_p01!K$6:K$30,7,FQ0835_p01!M$6:M$30,"Sim")</f>
        <v>0</v>
      </c>
      <c r="I102" s="3">
        <f>COUNTIFS(FQ0835_p01!C$6:C$30,A102,FQ0835_p01!K$6:K$30,8,FQ0835_p01!M$6:M$30,"Sim")</f>
        <v>0</v>
      </c>
      <c r="J102" s="3">
        <f>COUNTIFS(FQ0835_p01!C$6:C$30,A102,FQ0835_p01!K$6:K$30,9,FQ0835_p01!M$6:M$30,"Sim")</f>
        <v>0</v>
      </c>
      <c r="K102" s="3">
        <f>COUNTIFS(FQ0835_p01!C$6:C$30,A102,FQ0835_p01!K$6:K$30,10,FQ0835_p01!M$6:M$30,"Sim")</f>
        <v>0</v>
      </c>
      <c r="L102" s="3">
        <f>COUNTIFS(FQ0835_p01!C$6:C$30,A102,FQ0835_p01!K$6:K$30,11,FQ0835_p01!M$6:M$30,"Sim")</f>
        <v>0</v>
      </c>
      <c r="M102" s="3">
        <f>COUNTIFS(FQ0835_p01!C$6:C$30,A102,FQ0835_p01!K$6:K$30,12,FQ0835_p01!M$6:M$30,"Sim")</f>
        <v>0</v>
      </c>
      <c r="N102" s="15">
        <f>SUM(B102:M102)</f>
        <v>0</v>
      </c>
    </row>
    <row r="103" spans="1:14" x14ac:dyDescent="0.25">
      <c r="A103" s="17" t="s">
        <v>17</v>
      </c>
      <c r="B103" s="20">
        <f>SUM(B96:B102)</f>
        <v>0</v>
      </c>
      <c r="C103" s="20">
        <f t="shared" ref="C103:M103" si="25">SUM(C96:C102)</f>
        <v>0</v>
      </c>
      <c r="D103" s="20">
        <f t="shared" si="25"/>
        <v>0</v>
      </c>
      <c r="E103" s="20">
        <f t="shared" si="25"/>
        <v>0</v>
      </c>
      <c r="F103" s="20">
        <f t="shared" si="25"/>
        <v>0</v>
      </c>
      <c r="G103" s="20">
        <f t="shared" si="25"/>
        <v>0</v>
      </c>
      <c r="H103" s="20">
        <f t="shared" si="25"/>
        <v>0</v>
      </c>
      <c r="I103" s="20">
        <f t="shared" si="25"/>
        <v>0</v>
      </c>
      <c r="J103" s="20">
        <f t="shared" si="25"/>
        <v>0</v>
      </c>
      <c r="K103" s="20">
        <f t="shared" si="25"/>
        <v>0</v>
      </c>
      <c r="L103" s="20">
        <f t="shared" si="25"/>
        <v>0</v>
      </c>
      <c r="M103" s="20">
        <f t="shared" si="25"/>
        <v>0</v>
      </c>
      <c r="N103" s="21">
        <f>SUM(B103:M103)</f>
        <v>0</v>
      </c>
    </row>
    <row r="104" spans="1:14" x14ac:dyDescent="0.25">
      <c r="A104" s="18" t="s">
        <v>41</v>
      </c>
      <c r="B104" s="19">
        <f>COUNTIFS(FQ0835_p01!C$6:C$30,A104,FQ0835_p01!K$6:K$30,1)</f>
        <v>0</v>
      </c>
      <c r="C104" s="19">
        <f>COUNTIFS(FQ0835_p01!C$6:C$30,A104,FQ0835_p01!K$6:K$30,2)</f>
        <v>0</v>
      </c>
      <c r="D104" s="19">
        <f>COUNTIFS(FQ0835_p01!C$6:C$30,A104,FQ0835_p01!K$6:K$30,3)</f>
        <v>0</v>
      </c>
      <c r="E104" s="19">
        <f>COUNTIFS(FQ0835_p01!C$6:C$30,A104,FQ0835_p01!K$6:K$30,4)</f>
        <v>0</v>
      </c>
      <c r="F104" s="19">
        <f>COUNTIFS(FQ0835_p01!C$6:C$30,A104,FQ0835_p01!K$6:K$30,5)</f>
        <v>0</v>
      </c>
      <c r="G104" s="19">
        <f>COUNTIFS(FQ0835_p01!C$6:C$30,A104,FQ0835_p01!K$6:K$30,6)</f>
        <v>0</v>
      </c>
      <c r="H104" s="19">
        <f>COUNTIFS(FQ0835_p01!C$6:C$30,A104,FQ0835_p01!K$6:K$30,7)</f>
        <v>0</v>
      </c>
      <c r="I104" s="19">
        <f>COUNTIFS(FQ0835_p01!C$6:C$30,A104,FQ0835_p01!K$6:K$30,8)</f>
        <v>0</v>
      </c>
      <c r="J104" s="19">
        <f>COUNTIFS(FQ0835_p01!C$6:C$30,A104,FQ0835_p01!K$6:K$30,9)</f>
        <v>0</v>
      </c>
      <c r="K104" s="19">
        <f>COUNTIFS(FQ0835_p01!C$6:C$30,A104,FQ0835_p01!K$6:K$30,10)</f>
        <v>0</v>
      </c>
      <c r="L104" s="19">
        <f>COUNTIFS(FQ0835_p01!C$6:C$30,A104,FQ0835_p01!K$6:K$30,11)</f>
        <v>0</v>
      </c>
      <c r="M104" s="19">
        <f>COUNTIFS(FQ0835_p01!C$6:C$30,A104,FQ0835_p01!K$6:K$30,12)</f>
        <v>0</v>
      </c>
      <c r="N104" s="19">
        <f>SUM(B104:M104)</f>
        <v>0</v>
      </c>
    </row>
    <row r="105" spans="1:14" x14ac:dyDescent="0.25">
      <c r="A105" s="35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</row>
    <row r="106" spans="1:14" s="16" customFormat="1" ht="15.75" thickBot="1" x14ac:dyDescent="0.3">
      <c r="A106" s="76" t="s">
        <v>55</v>
      </c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</row>
    <row r="107" spans="1:14" s="16" customFormat="1" x14ac:dyDescent="0.25">
      <c r="A107" s="77" t="s">
        <v>13</v>
      </c>
      <c r="B107" s="79" t="s">
        <v>18</v>
      </c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80"/>
    </row>
    <row r="108" spans="1:14" s="16" customFormat="1" x14ac:dyDescent="0.25">
      <c r="A108" s="78"/>
      <c r="B108" s="22" t="s">
        <v>19</v>
      </c>
      <c r="C108" s="22" t="s">
        <v>20</v>
      </c>
      <c r="D108" s="22" t="s">
        <v>21</v>
      </c>
      <c r="E108" s="22" t="s">
        <v>22</v>
      </c>
      <c r="F108" s="22" t="s">
        <v>23</v>
      </c>
      <c r="G108" s="22" t="s">
        <v>24</v>
      </c>
      <c r="H108" s="22" t="s">
        <v>25</v>
      </c>
      <c r="I108" s="22" t="s">
        <v>26</v>
      </c>
      <c r="J108" s="22" t="s">
        <v>27</v>
      </c>
      <c r="K108" s="22" t="s">
        <v>28</v>
      </c>
      <c r="L108" s="22" t="s">
        <v>29</v>
      </c>
      <c r="M108" s="22" t="s">
        <v>30</v>
      </c>
      <c r="N108" s="13" t="s">
        <v>17</v>
      </c>
    </row>
    <row r="109" spans="1:14" s="16" customFormat="1" x14ac:dyDescent="0.25">
      <c r="A109" s="23" t="s">
        <v>39</v>
      </c>
      <c r="B109" s="24">
        <f>B11</f>
        <v>0</v>
      </c>
      <c r="C109" s="24">
        <f t="shared" ref="C109:M109" si="26">C11</f>
        <v>0</v>
      </c>
      <c r="D109" s="24">
        <f t="shared" si="26"/>
        <v>0</v>
      </c>
      <c r="E109" s="24">
        <f t="shared" si="26"/>
        <v>0</v>
      </c>
      <c r="F109" s="24">
        <f t="shared" si="26"/>
        <v>0</v>
      </c>
      <c r="G109" s="24">
        <f t="shared" si="26"/>
        <v>0</v>
      </c>
      <c r="H109" s="24">
        <f t="shared" si="26"/>
        <v>0</v>
      </c>
      <c r="I109" s="24">
        <f t="shared" si="26"/>
        <v>0</v>
      </c>
      <c r="J109" s="24">
        <f t="shared" si="26"/>
        <v>0</v>
      </c>
      <c r="K109" s="24">
        <f t="shared" si="26"/>
        <v>0</v>
      </c>
      <c r="L109" s="24">
        <f t="shared" si="26"/>
        <v>0</v>
      </c>
      <c r="M109" s="24">
        <f t="shared" si="26"/>
        <v>0</v>
      </c>
      <c r="N109" s="13">
        <f>SUM(B109:M109)</f>
        <v>0</v>
      </c>
    </row>
    <row r="110" spans="1:14" s="16" customFormat="1" x14ac:dyDescent="0.25">
      <c r="A110" s="44" t="s">
        <v>54</v>
      </c>
      <c r="B110" s="43">
        <f>IFERROR(B28,"-")</f>
        <v>0</v>
      </c>
      <c r="C110" s="43">
        <f t="shared" ref="C110:M110" si="27">IFERROR(C28,"-")</f>
        <v>0</v>
      </c>
      <c r="D110" s="43">
        <f t="shared" si="27"/>
        <v>0</v>
      </c>
      <c r="E110" s="43">
        <f t="shared" si="27"/>
        <v>0</v>
      </c>
      <c r="F110" s="43">
        <f t="shared" si="27"/>
        <v>0</v>
      </c>
      <c r="G110" s="43">
        <f t="shared" si="27"/>
        <v>0</v>
      </c>
      <c r="H110" s="43">
        <f t="shared" si="27"/>
        <v>0</v>
      </c>
      <c r="I110" s="43">
        <f t="shared" si="27"/>
        <v>0</v>
      </c>
      <c r="J110" s="43">
        <f t="shared" si="27"/>
        <v>0</v>
      </c>
      <c r="K110" s="43">
        <f t="shared" si="27"/>
        <v>0</v>
      </c>
      <c r="L110" s="43">
        <f>IFERROR(L28,"-")</f>
        <v>0</v>
      </c>
      <c r="M110" s="43">
        <f t="shared" si="27"/>
        <v>0</v>
      </c>
      <c r="N110" s="13">
        <f>SUM(B110:M110)</f>
        <v>0</v>
      </c>
    </row>
    <row r="111" spans="1:14" s="16" customFormat="1" x14ac:dyDescent="0.25">
      <c r="A111" s="69" t="s">
        <v>57</v>
      </c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</row>
  </sheetData>
  <sheetProtection algorithmName="SHA-512" hashValue="KqDcf8GIFlHilbLLIwDBdbgOte/2hReHaTh7PSVhHSyCjgjLuxVzJKCsQ8VoRYl42s6M4vnsdcls+1FdDqZ4/w==" saltValue="sSwpmnnFkgcnmdWqoF27SQ==" spinCount="100000" sheet="1" objects="1" scenarios="1"/>
  <mergeCells count="31">
    <mergeCell ref="A92:N92"/>
    <mergeCell ref="A94:A95"/>
    <mergeCell ref="B94:N94"/>
    <mergeCell ref="A66:N66"/>
    <mergeCell ref="A68:A69"/>
    <mergeCell ref="B68:N68"/>
    <mergeCell ref="A56:A57"/>
    <mergeCell ref="B56:N56"/>
    <mergeCell ref="A18:F18"/>
    <mergeCell ref="A20:A21"/>
    <mergeCell ref="B20:N20"/>
    <mergeCell ref="A42:F42"/>
    <mergeCell ref="A44:A45"/>
    <mergeCell ref="B44:N44"/>
    <mergeCell ref="A54:N54"/>
    <mergeCell ref="A1:N1"/>
    <mergeCell ref="A2:N2"/>
    <mergeCell ref="A111:N111"/>
    <mergeCell ref="A4:H4"/>
    <mergeCell ref="A8:A9"/>
    <mergeCell ref="A6:F6"/>
    <mergeCell ref="B8:N8"/>
    <mergeCell ref="A78:N78"/>
    <mergeCell ref="A80:A81"/>
    <mergeCell ref="B80:N80"/>
    <mergeCell ref="A106:N106"/>
    <mergeCell ref="A107:A108"/>
    <mergeCell ref="B107:N107"/>
    <mergeCell ref="A30:F30"/>
    <mergeCell ref="A32:A33"/>
    <mergeCell ref="B32:N32"/>
  </mergeCells>
  <pageMargins left="0.11811023622047245" right="0.11811023622047245" top="0.78740157480314965" bottom="0.78740157480314965" header="0.31496062992125984" footer="0.31496062992125984"/>
  <pageSetup paperSize="9" scale="29" orientation="landscape" r:id="rId1"/>
  <headerFooter>
    <oddHeader>&amp;R&amp;P/&amp;N</oddHeader>
    <oddFooter>&amp;L&amp;"Arial,Normal"&amp;10FQ-08.35 (anexo à IT-08.01.04) - RA - revisão 05 de 02/01/24 - Página 2/2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FQ0835_p01</vt:lpstr>
      <vt:lpstr>FQ0835_p02</vt:lpstr>
      <vt:lpstr>FQ0835_p01!Area_de_impressao</vt:lpstr>
      <vt:lpstr>FQ0835_p02!Area_de_impressao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Leite</dc:creator>
  <cp:lastModifiedBy>SGQ</cp:lastModifiedBy>
  <cp:lastPrinted>2023-12-14T19:08:02Z</cp:lastPrinted>
  <dcterms:created xsi:type="dcterms:W3CDTF">2020-08-13T17:27:59Z</dcterms:created>
  <dcterms:modified xsi:type="dcterms:W3CDTF">2023-12-14T19:08:28Z</dcterms:modified>
</cp:coreProperties>
</file>