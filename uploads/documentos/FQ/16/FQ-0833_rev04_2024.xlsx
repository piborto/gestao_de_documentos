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showInkAnnotation="0"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\\192.168.89.2\qualidadera-21\Novos Documentos RA-133\Aprovados\2024\I 05 06 24\"/>
    </mc:Choice>
  </mc:AlternateContent>
  <xr:revisionPtr revIDLastSave="0" documentId="13_ncr:1_{4F54D580-A60B-4E3C-AC71-E248FA381CC4}" xr6:coauthVersionLast="47" xr6:coauthVersionMax="47" xr10:uidLastSave="{00000000-0000-0000-0000-000000000000}"/>
  <bookViews>
    <workbookView xWindow="-120" yWindow="-120" windowWidth="29040" windowHeight="15720" firstSheet="3" activeTab="12" xr2:uid="{00000000-000D-0000-FFFF-FFFF00000000}"/>
  </bookViews>
  <sheets>
    <sheet name="Folha 1_13" sheetId="1" r:id="rId1"/>
    <sheet name="Folha 2_13 " sheetId="18" r:id="rId2"/>
    <sheet name="Folha 3_13" sheetId="8" r:id="rId3"/>
    <sheet name="Folha 4_13" sheetId="9" r:id="rId4"/>
    <sheet name="Folha 5_13" sheetId="17" r:id="rId5"/>
    <sheet name="Folha 6_13" sheetId="5" r:id="rId6"/>
    <sheet name="Folha 7_13" sheetId="10" r:id="rId7"/>
    <sheet name="Folha 8_13" sheetId="6" r:id="rId8"/>
    <sheet name="Folha 9_13" sheetId="11" r:id="rId9"/>
    <sheet name="Folha 10_13" sheetId="12" r:id="rId10"/>
    <sheet name="Folha 11_13" sheetId="13" r:id="rId11"/>
    <sheet name="Folha 12_13" sheetId="14" r:id="rId12"/>
    <sheet name="Folha 13_13" sheetId="15" r:id="rId13"/>
  </sheets>
  <definedNames>
    <definedName name="_xlnm.Print_Area" localSheetId="0">'Folha 1_13'!$A$1:$O$24</definedName>
    <definedName name="_xlnm.Print_Area" localSheetId="10">'Folha 11_13'!$A$1:$O$24</definedName>
    <definedName name="_xlnm.Print_Area" localSheetId="11">'Folha 12_13'!$A$1:$O$24</definedName>
    <definedName name="_xlnm.Print_Area" localSheetId="12">'Folha 13_13'!$A$1:$O$36</definedName>
    <definedName name="_xlnm.Print_Area" localSheetId="1">'Folha 2_13 '!$A$1:$O$24</definedName>
    <definedName name="_xlnm.Print_Area" localSheetId="2">'Folha 3_13'!$A$1:$O$24</definedName>
    <definedName name="_xlnm.Print_Area" localSheetId="3">'Folha 4_13'!$A$1:$O$24</definedName>
    <definedName name="_xlnm.Print_Area" localSheetId="5">'Folha 6_13'!$A$1:$O$24</definedName>
    <definedName name="_xlnm.Print_Area" localSheetId="6">'Folha 7_13'!$A$1:$O$24</definedName>
    <definedName name="_xlnm.Print_Area" localSheetId="7">'Folha 8_13'!$A$1:$O$24</definedName>
    <definedName name="_xlnm.Print_Area" localSheetId="8">'Folha 9_13'!$A$1:$O$24</definedName>
  </definedNames>
  <calcPr calcId="191029"/>
</workbook>
</file>

<file path=xl/calcChain.xml><?xml version="1.0" encoding="utf-8"?>
<calcChain xmlns="http://schemas.openxmlformats.org/spreadsheetml/2006/main">
  <c r="B14" i="18" l="1"/>
  <c r="B15" i="18"/>
  <c r="B16" i="18"/>
  <c r="B17" i="18"/>
  <c r="B18" i="18"/>
  <c r="B19" i="18"/>
  <c r="B20" i="18"/>
  <c r="B21" i="18"/>
  <c r="B22" i="18"/>
  <c r="B23" i="18"/>
  <c r="A14" i="18"/>
  <c r="A15" i="18"/>
  <c r="A16" i="18"/>
  <c r="A17" i="18"/>
  <c r="A18" i="18"/>
  <c r="A19" i="18"/>
  <c r="A20" i="18"/>
  <c r="A21" i="18"/>
  <c r="A22" i="18"/>
  <c r="A23" i="18"/>
  <c r="B8" i="18"/>
  <c r="B9" i="18"/>
  <c r="B10" i="18"/>
  <c r="B7" i="18"/>
  <c r="A10" i="18"/>
  <c r="A8" i="18"/>
  <c r="A9" i="18"/>
  <c r="A7" i="18"/>
  <c r="B13" i="18"/>
  <c r="A13" i="18"/>
  <c r="A19" i="11"/>
  <c r="B19" i="11"/>
  <c r="J19" i="11"/>
  <c r="A20" i="11"/>
  <c r="B20" i="11"/>
  <c r="J20" i="11"/>
  <c r="A21" i="11"/>
  <c r="B21" i="11"/>
  <c r="J21" i="11"/>
  <c r="A31" i="15" l="1"/>
  <c r="B31" i="15"/>
  <c r="N31" i="15"/>
  <c r="A32" i="15"/>
  <c r="B32" i="15"/>
  <c r="N32" i="15"/>
  <c r="A33" i="15"/>
  <c r="B33" i="15"/>
  <c r="N33" i="15"/>
  <c r="B29" i="15"/>
  <c r="N29" i="15"/>
  <c r="B30" i="15"/>
  <c r="N30" i="15"/>
  <c r="D10" i="15"/>
  <c r="E10" i="15"/>
  <c r="F10" i="15"/>
  <c r="G10" i="15"/>
  <c r="H10" i="15"/>
  <c r="I10" i="15"/>
  <c r="J10" i="15"/>
  <c r="C10" i="15"/>
  <c r="A19" i="14"/>
  <c r="B19" i="14"/>
  <c r="M19" i="14"/>
  <c r="M31" i="15" s="1"/>
  <c r="A20" i="14"/>
  <c r="B20" i="14"/>
  <c r="M20" i="14"/>
  <c r="M32" i="15" s="1"/>
  <c r="A21" i="14"/>
  <c r="B21" i="14"/>
  <c r="M21" i="14"/>
  <c r="M33" i="15" s="1"/>
  <c r="A19" i="13" l="1"/>
  <c r="B19" i="13"/>
  <c r="L19" i="13"/>
  <c r="L19" i="14" s="1"/>
  <c r="L31" i="15" s="1"/>
  <c r="A20" i="13"/>
  <c r="B20" i="13"/>
  <c r="L20" i="13"/>
  <c r="L20" i="14" s="1"/>
  <c r="L32" i="15" s="1"/>
  <c r="A21" i="13"/>
  <c r="B21" i="13"/>
  <c r="L21" i="13"/>
  <c r="L21" i="14" s="1"/>
  <c r="L33" i="15" s="1"/>
  <c r="A19" i="12"/>
  <c r="B19" i="12"/>
  <c r="J19" i="12"/>
  <c r="J19" i="13" s="1"/>
  <c r="J19" i="14" s="1"/>
  <c r="J31" i="15" s="1"/>
  <c r="K19" i="12"/>
  <c r="K19" i="13" s="1"/>
  <c r="K19" i="14" s="1"/>
  <c r="K31" i="15" s="1"/>
  <c r="A20" i="12"/>
  <c r="B20" i="12"/>
  <c r="J20" i="12"/>
  <c r="J20" i="13" s="1"/>
  <c r="J20" i="14" s="1"/>
  <c r="J32" i="15" s="1"/>
  <c r="K20" i="12"/>
  <c r="K20" i="13" s="1"/>
  <c r="K20" i="14" s="1"/>
  <c r="K32" i="15" s="1"/>
  <c r="A21" i="12"/>
  <c r="B21" i="12"/>
  <c r="I21" i="12"/>
  <c r="I21" i="13" s="1"/>
  <c r="I21" i="14" s="1"/>
  <c r="I33" i="15" s="1"/>
  <c r="J21" i="12"/>
  <c r="J21" i="13" s="1"/>
  <c r="J21" i="14" s="1"/>
  <c r="J33" i="15" s="1"/>
  <c r="K21" i="12"/>
  <c r="K21" i="13" s="1"/>
  <c r="K21" i="14" s="1"/>
  <c r="K33" i="15" s="1"/>
  <c r="A19" i="6"/>
  <c r="B19" i="6"/>
  <c r="I19" i="6"/>
  <c r="I19" i="11" s="1"/>
  <c r="I19" i="12" s="1"/>
  <c r="I19" i="13" s="1"/>
  <c r="I19" i="14" s="1"/>
  <c r="I31" i="15" s="1"/>
  <c r="A20" i="6"/>
  <c r="B20" i="6"/>
  <c r="I20" i="6"/>
  <c r="I20" i="11" s="1"/>
  <c r="I20" i="12" s="1"/>
  <c r="I20" i="13" s="1"/>
  <c r="I20" i="14" s="1"/>
  <c r="I32" i="15" s="1"/>
  <c r="A21" i="6"/>
  <c r="B21" i="6"/>
  <c r="I21" i="6"/>
  <c r="I21" i="11" s="1"/>
  <c r="A19" i="10"/>
  <c r="B19" i="10"/>
  <c r="H19" i="10"/>
  <c r="H19" i="6" s="1"/>
  <c r="H19" i="11" s="1"/>
  <c r="H19" i="12" s="1"/>
  <c r="H19" i="13" s="1"/>
  <c r="H19" i="14" s="1"/>
  <c r="H31" i="15" s="1"/>
  <c r="A20" i="10"/>
  <c r="B20" i="10"/>
  <c r="H20" i="10"/>
  <c r="H20" i="6" s="1"/>
  <c r="H20" i="11" s="1"/>
  <c r="H20" i="12" s="1"/>
  <c r="H20" i="13" s="1"/>
  <c r="H20" i="14" s="1"/>
  <c r="H32" i="15" s="1"/>
  <c r="A21" i="10"/>
  <c r="B21" i="10"/>
  <c r="H21" i="10"/>
  <c r="H21" i="6" s="1"/>
  <c r="H21" i="11" s="1"/>
  <c r="H21" i="12" s="1"/>
  <c r="H21" i="13" s="1"/>
  <c r="H21" i="14" s="1"/>
  <c r="H33" i="15" s="1"/>
  <c r="A19" i="5"/>
  <c r="B19" i="5"/>
  <c r="G19" i="5"/>
  <c r="G19" i="10" s="1"/>
  <c r="A20" i="5"/>
  <c r="B20" i="5"/>
  <c r="G20" i="5"/>
  <c r="G20" i="10" s="1"/>
  <c r="G20" i="6" s="1"/>
  <c r="G20" i="11" s="1"/>
  <c r="G20" i="12" s="1"/>
  <c r="G20" i="13" s="1"/>
  <c r="G20" i="14" s="1"/>
  <c r="G32" i="15" s="1"/>
  <c r="A21" i="5"/>
  <c r="B21" i="5"/>
  <c r="G21" i="5"/>
  <c r="G21" i="10" s="1"/>
  <c r="G21" i="6" s="1"/>
  <c r="G21" i="11" s="1"/>
  <c r="G21" i="12" s="1"/>
  <c r="G21" i="13" s="1"/>
  <c r="G21" i="14" s="1"/>
  <c r="G33" i="15" s="1"/>
  <c r="G19" i="6" l="1"/>
  <c r="A19" i="17"/>
  <c r="B19" i="17"/>
  <c r="F19" i="17"/>
  <c r="F19" i="5" s="1"/>
  <c r="F19" i="10" s="1"/>
  <c r="F19" i="6" s="1"/>
  <c r="F19" i="11" s="1"/>
  <c r="F19" i="12" s="1"/>
  <c r="F19" i="13" s="1"/>
  <c r="F19" i="14" s="1"/>
  <c r="F31" i="15" s="1"/>
  <c r="A20" i="17"/>
  <c r="B20" i="17"/>
  <c r="F20" i="17"/>
  <c r="F20" i="5" s="1"/>
  <c r="F20" i="10" s="1"/>
  <c r="F20" i="6" s="1"/>
  <c r="F20" i="11" s="1"/>
  <c r="F20" i="12" s="1"/>
  <c r="F20" i="13" s="1"/>
  <c r="F20" i="14" s="1"/>
  <c r="F32" i="15" s="1"/>
  <c r="A21" i="17"/>
  <c r="B21" i="17"/>
  <c r="F21" i="17"/>
  <c r="F21" i="5" s="1"/>
  <c r="F21" i="10" s="1"/>
  <c r="F21" i="6" s="1"/>
  <c r="F21" i="11" s="1"/>
  <c r="F21" i="12" s="1"/>
  <c r="F21" i="13" s="1"/>
  <c r="F21" i="14" s="1"/>
  <c r="F33" i="15" s="1"/>
  <c r="A21" i="8"/>
  <c r="B21" i="8"/>
  <c r="C21" i="8"/>
  <c r="D21" i="8"/>
  <c r="O21" i="8" s="1"/>
  <c r="A21" i="9"/>
  <c r="B21" i="9"/>
  <c r="E21" i="9"/>
  <c r="E21" i="17" s="1"/>
  <c r="E21" i="5" s="1"/>
  <c r="E21" i="10" s="1"/>
  <c r="E21" i="6" s="1"/>
  <c r="E21" i="11" s="1"/>
  <c r="E21" i="12" s="1"/>
  <c r="E21" i="13" s="1"/>
  <c r="E21" i="14" s="1"/>
  <c r="E33" i="15" s="1"/>
  <c r="A19" i="9"/>
  <c r="B19" i="9"/>
  <c r="E19" i="9"/>
  <c r="E19" i="17" s="1"/>
  <c r="E19" i="5" s="1"/>
  <c r="E19" i="10" s="1"/>
  <c r="E19" i="6" s="1"/>
  <c r="E19" i="11" s="1"/>
  <c r="E19" i="12" s="1"/>
  <c r="E19" i="13" s="1"/>
  <c r="E19" i="14" s="1"/>
  <c r="E31" i="15" s="1"/>
  <c r="A20" i="9"/>
  <c r="B20" i="9"/>
  <c r="E20" i="9"/>
  <c r="E20" i="17" s="1"/>
  <c r="E20" i="5" s="1"/>
  <c r="E20" i="10" s="1"/>
  <c r="E20" i="6" s="1"/>
  <c r="E20" i="11" s="1"/>
  <c r="E20" i="12" s="1"/>
  <c r="E20" i="13" s="1"/>
  <c r="E20" i="14" s="1"/>
  <c r="E32" i="15" s="1"/>
  <c r="D13" i="8"/>
  <c r="D14" i="8"/>
  <c r="D15" i="8"/>
  <c r="D16" i="8"/>
  <c r="D17" i="8"/>
  <c r="D18" i="8"/>
  <c r="D19" i="8"/>
  <c r="D19" i="9" s="1"/>
  <c r="D19" i="17" s="1"/>
  <c r="D19" i="5" s="1"/>
  <c r="D19" i="10" s="1"/>
  <c r="D19" i="6" s="1"/>
  <c r="D19" i="11" s="1"/>
  <c r="D19" i="12" s="1"/>
  <c r="D19" i="13" s="1"/>
  <c r="D19" i="14" s="1"/>
  <c r="D31" i="15" s="1"/>
  <c r="D20" i="8"/>
  <c r="D20" i="9" s="1"/>
  <c r="D20" i="17" s="1"/>
  <c r="D20" i="5" s="1"/>
  <c r="D20" i="10" s="1"/>
  <c r="D20" i="6" s="1"/>
  <c r="D20" i="11" s="1"/>
  <c r="D20" i="12" s="1"/>
  <c r="D20" i="13" s="1"/>
  <c r="D20" i="14" s="1"/>
  <c r="D32" i="15" s="1"/>
  <c r="D22" i="8"/>
  <c r="D21" i="9" s="1"/>
  <c r="D21" i="17" s="1"/>
  <c r="D21" i="5" s="1"/>
  <c r="D21" i="10" s="1"/>
  <c r="D21" i="6" s="1"/>
  <c r="D21" i="11" s="1"/>
  <c r="D21" i="12" s="1"/>
  <c r="D21" i="13" s="1"/>
  <c r="D21" i="14" s="1"/>
  <c r="D33" i="15" s="1"/>
  <c r="D23" i="8"/>
  <c r="C14" i="8"/>
  <c r="C15" i="8"/>
  <c r="C16" i="8"/>
  <c r="C17" i="8"/>
  <c r="C18" i="8"/>
  <c r="C19" i="8"/>
  <c r="C19" i="9" s="1"/>
  <c r="C19" i="17" s="1"/>
  <c r="C19" i="5" s="1"/>
  <c r="C20" i="8"/>
  <c r="C20" i="9" s="1"/>
  <c r="C20" i="17" s="1"/>
  <c r="C22" i="8"/>
  <c r="C21" i="9" s="1"/>
  <c r="O21" i="9" s="1"/>
  <c r="C23" i="8"/>
  <c r="C13" i="8"/>
  <c r="B19" i="8"/>
  <c r="B20" i="8"/>
  <c r="A19" i="8"/>
  <c r="A20" i="8"/>
  <c r="C21" i="17" l="1"/>
  <c r="C21" i="5" s="1"/>
  <c r="C20" i="5"/>
  <c r="O20" i="17"/>
  <c r="C19" i="10"/>
  <c r="O19" i="5"/>
  <c r="O19" i="17"/>
  <c r="C21" i="10"/>
  <c r="O21" i="5"/>
  <c r="O19" i="9"/>
  <c r="O21" i="17"/>
  <c r="O20" i="8"/>
  <c r="G19" i="11"/>
  <c r="O20" i="9"/>
  <c r="O19" i="8"/>
  <c r="C13" i="18"/>
  <c r="O13" i="18" s="1"/>
  <c r="C14" i="18"/>
  <c r="O14" i="18" s="1"/>
  <c r="C15" i="18"/>
  <c r="O15" i="18" s="1"/>
  <c r="C16" i="18"/>
  <c r="O16" i="18" s="1"/>
  <c r="C17" i="18"/>
  <c r="O17" i="18" s="1"/>
  <c r="C18" i="18"/>
  <c r="O18" i="18" s="1"/>
  <c r="C19" i="18"/>
  <c r="O19" i="18" s="1"/>
  <c r="C20" i="18"/>
  <c r="O20" i="18" s="1"/>
  <c r="C21" i="18"/>
  <c r="O21" i="18" s="1"/>
  <c r="C22" i="18"/>
  <c r="O22" i="18" s="1"/>
  <c r="C23" i="18"/>
  <c r="O23" i="18" s="1"/>
  <c r="O19" i="1"/>
  <c r="O20" i="1"/>
  <c r="O21" i="1"/>
  <c r="C21" i="6" l="1"/>
  <c r="O21" i="10"/>
  <c r="C19" i="6"/>
  <c r="O19" i="10"/>
  <c r="C20" i="10"/>
  <c r="O20" i="5"/>
  <c r="G19" i="12"/>
  <c r="O13" i="11"/>
  <c r="C20" i="6" l="1"/>
  <c r="O20" i="10"/>
  <c r="C19" i="11"/>
  <c r="O19" i="6"/>
  <c r="C21" i="11"/>
  <c r="O21" i="6"/>
  <c r="G19" i="13"/>
  <c r="C7" i="15"/>
  <c r="D7" i="15"/>
  <c r="E7" i="15"/>
  <c r="F7" i="15"/>
  <c r="G7" i="15"/>
  <c r="H7" i="15"/>
  <c r="I7" i="15"/>
  <c r="J7" i="15"/>
  <c r="C8" i="15"/>
  <c r="D8" i="15"/>
  <c r="E8" i="15"/>
  <c r="F8" i="15"/>
  <c r="G8" i="15"/>
  <c r="H8" i="15"/>
  <c r="I8" i="15"/>
  <c r="J8" i="15"/>
  <c r="C9" i="15"/>
  <c r="D9" i="15"/>
  <c r="E9" i="15"/>
  <c r="F9" i="15"/>
  <c r="G9" i="15"/>
  <c r="H9" i="15"/>
  <c r="I9" i="15"/>
  <c r="J9" i="15"/>
  <c r="N26" i="15"/>
  <c r="N27" i="15"/>
  <c r="N28" i="15"/>
  <c r="N34" i="15"/>
  <c r="N35" i="15"/>
  <c r="A25" i="15"/>
  <c r="B25" i="15"/>
  <c r="A26" i="15"/>
  <c r="B26" i="15"/>
  <c r="A27" i="15"/>
  <c r="B27" i="15"/>
  <c r="A28" i="15"/>
  <c r="B28" i="15"/>
  <c r="A29" i="15"/>
  <c r="A30" i="15"/>
  <c r="A34" i="15"/>
  <c r="B34" i="15"/>
  <c r="A35" i="15"/>
  <c r="B35" i="15"/>
  <c r="O14" i="14"/>
  <c r="O26" i="15" s="1"/>
  <c r="O15" i="14"/>
  <c r="O27" i="15" s="1"/>
  <c r="O16" i="14"/>
  <c r="O28" i="15" s="1"/>
  <c r="O17" i="14"/>
  <c r="O29" i="15" s="1"/>
  <c r="O13" i="14"/>
  <c r="M14" i="14"/>
  <c r="M26" i="15" s="1"/>
  <c r="M15" i="14"/>
  <c r="M27" i="15" s="1"/>
  <c r="M16" i="14"/>
  <c r="M28" i="15" s="1"/>
  <c r="M17" i="14"/>
  <c r="M29" i="15" s="1"/>
  <c r="M18" i="14"/>
  <c r="M30" i="15" s="1"/>
  <c r="M22" i="14"/>
  <c r="M34" i="15" s="1"/>
  <c r="M23" i="14"/>
  <c r="M35" i="15" s="1"/>
  <c r="A13" i="14"/>
  <c r="B13" i="14"/>
  <c r="A14" i="14"/>
  <c r="B14" i="14"/>
  <c r="A15" i="14"/>
  <c r="B15" i="14"/>
  <c r="A16" i="14"/>
  <c r="B16" i="14"/>
  <c r="A17" i="14"/>
  <c r="B17" i="14"/>
  <c r="A18" i="14"/>
  <c r="B18" i="14"/>
  <c r="A22" i="14"/>
  <c r="B22" i="14"/>
  <c r="A23" i="14"/>
  <c r="B23" i="14"/>
  <c r="O13" i="13"/>
  <c r="O14" i="13"/>
  <c r="O15" i="13"/>
  <c r="O16" i="13"/>
  <c r="O17" i="13"/>
  <c r="L14" i="13"/>
  <c r="L14" i="14" s="1"/>
  <c r="L26" i="15" s="1"/>
  <c r="L15" i="13"/>
  <c r="L15" i="14" s="1"/>
  <c r="L27" i="15" s="1"/>
  <c r="L16" i="13"/>
  <c r="L16" i="14" s="1"/>
  <c r="L28" i="15" s="1"/>
  <c r="L17" i="13"/>
  <c r="L17" i="14" s="1"/>
  <c r="L29" i="15" s="1"/>
  <c r="L18" i="13"/>
  <c r="L18" i="14" s="1"/>
  <c r="L30" i="15" s="1"/>
  <c r="L22" i="13"/>
  <c r="L22" i="14" s="1"/>
  <c r="L34" i="15" s="1"/>
  <c r="L23" i="13"/>
  <c r="L23" i="14" s="1"/>
  <c r="L35" i="15" s="1"/>
  <c r="A13" i="13"/>
  <c r="B13" i="13"/>
  <c r="A14" i="13"/>
  <c r="B14" i="13"/>
  <c r="A15" i="13"/>
  <c r="B15" i="13"/>
  <c r="A16" i="13"/>
  <c r="B16" i="13"/>
  <c r="A17" i="13"/>
  <c r="B17" i="13"/>
  <c r="A18" i="13"/>
  <c r="B18" i="13"/>
  <c r="A22" i="13"/>
  <c r="B22" i="13"/>
  <c r="A23" i="13"/>
  <c r="B23" i="13"/>
  <c r="O13" i="12"/>
  <c r="O14" i="12"/>
  <c r="O15" i="12"/>
  <c r="O16" i="12"/>
  <c r="O17" i="12"/>
  <c r="K14" i="12"/>
  <c r="K14" i="13" s="1"/>
  <c r="K14" i="14" s="1"/>
  <c r="K26" i="15" s="1"/>
  <c r="K15" i="12"/>
  <c r="K15" i="13" s="1"/>
  <c r="K15" i="14" s="1"/>
  <c r="K27" i="15" s="1"/>
  <c r="K16" i="12"/>
  <c r="K16" i="13" s="1"/>
  <c r="K16" i="14" s="1"/>
  <c r="K28" i="15" s="1"/>
  <c r="K17" i="12"/>
  <c r="K17" i="13" s="1"/>
  <c r="K17" i="14" s="1"/>
  <c r="K29" i="15" s="1"/>
  <c r="K18" i="12"/>
  <c r="K18" i="13" s="1"/>
  <c r="K18" i="14" s="1"/>
  <c r="K30" i="15" s="1"/>
  <c r="K22" i="12"/>
  <c r="K22" i="13" s="1"/>
  <c r="K22" i="14" s="1"/>
  <c r="K34" i="15" s="1"/>
  <c r="K23" i="12"/>
  <c r="K23" i="13" s="1"/>
  <c r="K23" i="14" s="1"/>
  <c r="K35" i="15" s="1"/>
  <c r="A13" i="12"/>
  <c r="B13" i="12"/>
  <c r="A14" i="12"/>
  <c r="B14" i="12"/>
  <c r="A15" i="12"/>
  <c r="B15" i="12"/>
  <c r="A16" i="12"/>
  <c r="B16" i="12"/>
  <c r="A17" i="12"/>
  <c r="B17" i="12"/>
  <c r="A18" i="12"/>
  <c r="B18" i="12"/>
  <c r="A22" i="12"/>
  <c r="B22" i="12"/>
  <c r="A23" i="12"/>
  <c r="B23" i="12"/>
  <c r="O14" i="11"/>
  <c r="O15" i="11"/>
  <c r="O16" i="11"/>
  <c r="O17" i="11"/>
  <c r="O13" i="6"/>
  <c r="J14" i="11"/>
  <c r="J14" i="12" s="1"/>
  <c r="J14" i="13" s="1"/>
  <c r="J14" i="14" s="1"/>
  <c r="J26" i="15" s="1"/>
  <c r="J15" i="11"/>
  <c r="J15" i="12" s="1"/>
  <c r="J15" i="13" s="1"/>
  <c r="J15" i="14" s="1"/>
  <c r="J27" i="15" s="1"/>
  <c r="J16" i="11"/>
  <c r="J16" i="12" s="1"/>
  <c r="J16" i="13" s="1"/>
  <c r="J16" i="14" s="1"/>
  <c r="J28" i="15" s="1"/>
  <c r="J17" i="11"/>
  <c r="J17" i="12" s="1"/>
  <c r="J17" i="13" s="1"/>
  <c r="J17" i="14" s="1"/>
  <c r="J29" i="15" s="1"/>
  <c r="J18" i="11"/>
  <c r="J18" i="12" s="1"/>
  <c r="J18" i="13" s="1"/>
  <c r="J18" i="14" s="1"/>
  <c r="J30" i="15" s="1"/>
  <c r="J22" i="11"/>
  <c r="J22" i="12" s="1"/>
  <c r="J22" i="13" s="1"/>
  <c r="J22" i="14" s="1"/>
  <c r="J34" i="15" s="1"/>
  <c r="J23" i="11"/>
  <c r="J23" i="12" s="1"/>
  <c r="J23" i="13" s="1"/>
  <c r="J23" i="14" s="1"/>
  <c r="J35" i="15" s="1"/>
  <c r="A13" i="11"/>
  <c r="B13" i="11"/>
  <c r="A14" i="11"/>
  <c r="B14" i="11"/>
  <c r="A15" i="11"/>
  <c r="B15" i="11"/>
  <c r="A16" i="11"/>
  <c r="B16" i="11"/>
  <c r="A17" i="11"/>
  <c r="B17" i="11"/>
  <c r="A18" i="11"/>
  <c r="B18" i="11"/>
  <c r="A22" i="11"/>
  <c r="B22" i="11"/>
  <c r="A23" i="11"/>
  <c r="B23" i="11"/>
  <c r="O14" i="6"/>
  <c r="O15" i="6"/>
  <c r="O16" i="6"/>
  <c r="O17" i="6"/>
  <c r="I14" i="6"/>
  <c r="I14" i="11" s="1"/>
  <c r="I14" i="12" s="1"/>
  <c r="I14" i="13" s="1"/>
  <c r="I14" i="14" s="1"/>
  <c r="I26" i="15" s="1"/>
  <c r="I15" i="6"/>
  <c r="I15" i="11" s="1"/>
  <c r="I15" i="12" s="1"/>
  <c r="I15" i="13" s="1"/>
  <c r="I15" i="14" s="1"/>
  <c r="I27" i="15" s="1"/>
  <c r="I16" i="6"/>
  <c r="I16" i="11" s="1"/>
  <c r="I16" i="12" s="1"/>
  <c r="I16" i="13" s="1"/>
  <c r="I16" i="14" s="1"/>
  <c r="I28" i="15" s="1"/>
  <c r="I17" i="6"/>
  <c r="I17" i="11" s="1"/>
  <c r="I17" i="12" s="1"/>
  <c r="I17" i="13" s="1"/>
  <c r="I17" i="14" s="1"/>
  <c r="I29" i="15" s="1"/>
  <c r="I18" i="6"/>
  <c r="I18" i="11" s="1"/>
  <c r="I18" i="12" s="1"/>
  <c r="I18" i="13" s="1"/>
  <c r="I18" i="14" s="1"/>
  <c r="I30" i="15" s="1"/>
  <c r="I22" i="6"/>
  <c r="I22" i="11" s="1"/>
  <c r="I22" i="12" s="1"/>
  <c r="I22" i="13" s="1"/>
  <c r="I22" i="14" s="1"/>
  <c r="I34" i="15" s="1"/>
  <c r="I23" i="6"/>
  <c r="I23" i="11" s="1"/>
  <c r="I23" i="12" s="1"/>
  <c r="I23" i="13" s="1"/>
  <c r="I23" i="14" s="1"/>
  <c r="I35" i="15" s="1"/>
  <c r="A13" i="6"/>
  <c r="B13" i="6"/>
  <c r="A14" i="6"/>
  <c r="B14" i="6"/>
  <c r="A15" i="6"/>
  <c r="B15" i="6"/>
  <c r="A16" i="6"/>
  <c r="B16" i="6"/>
  <c r="A17" i="6"/>
  <c r="B17" i="6"/>
  <c r="A18" i="6"/>
  <c r="B18" i="6"/>
  <c r="A22" i="6"/>
  <c r="B22" i="6"/>
  <c r="A23" i="6"/>
  <c r="B23" i="6"/>
  <c r="O14" i="10"/>
  <c r="O15" i="10"/>
  <c r="O16" i="10"/>
  <c r="O17" i="10"/>
  <c r="O13" i="10"/>
  <c r="H14" i="10"/>
  <c r="H14" i="6" s="1"/>
  <c r="H14" i="11" s="1"/>
  <c r="H14" i="12" s="1"/>
  <c r="H14" i="13" s="1"/>
  <c r="H14" i="14" s="1"/>
  <c r="H26" i="15" s="1"/>
  <c r="H15" i="10"/>
  <c r="H15" i="6" s="1"/>
  <c r="H15" i="11" s="1"/>
  <c r="H15" i="12" s="1"/>
  <c r="H15" i="13" s="1"/>
  <c r="H15" i="14" s="1"/>
  <c r="H27" i="15" s="1"/>
  <c r="H16" i="10"/>
  <c r="H16" i="6" s="1"/>
  <c r="H16" i="11" s="1"/>
  <c r="H16" i="12" s="1"/>
  <c r="H16" i="13" s="1"/>
  <c r="H16" i="14" s="1"/>
  <c r="H28" i="15" s="1"/>
  <c r="H17" i="10"/>
  <c r="H17" i="6" s="1"/>
  <c r="H17" i="11" s="1"/>
  <c r="H17" i="12" s="1"/>
  <c r="H17" i="13" s="1"/>
  <c r="H17" i="14" s="1"/>
  <c r="H29" i="15" s="1"/>
  <c r="H18" i="10"/>
  <c r="H18" i="6" s="1"/>
  <c r="H18" i="11" s="1"/>
  <c r="H18" i="12" s="1"/>
  <c r="H18" i="13" s="1"/>
  <c r="H18" i="14" s="1"/>
  <c r="H30" i="15" s="1"/>
  <c r="H22" i="10"/>
  <c r="H22" i="6" s="1"/>
  <c r="H22" i="11" s="1"/>
  <c r="H22" i="12" s="1"/>
  <c r="H22" i="13" s="1"/>
  <c r="H22" i="14" s="1"/>
  <c r="H34" i="15" s="1"/>
  <c r="H23" i="10"/>
  <c r="H23" i="6" s="1"/>
  <c r="H23" i="11" s="1"/>
  <c r="H23" i="12" s="1"/>
  <c r="H23" i="13" s="1"/>
  <c r="H23" i="14" s="1"/>
  <c r="H35" i="15" s="1"/>
  <c r="A13" i="10"/>
  <c r="B13" i="10"/>
  <c r="A14" i="10"/>
  <c r="B14" i="10"/>
  <c r="A15" i="10"/>
  <c r="B15" i="10"/>
  <c r="A16" i="10"/>
  <c r="B16" i="10"/>
  <c r="A17" i="10"/>
  <c r="B17" i="10"/>
  <c r="A18" i="10"/>
  <c r="B18" i="10"/>
  <c r="A22" i="10"/>
  <c r="B22" i="10"/>
  <c r="A23" i="10"/>
  <c r="B23" i="10"/>
  <c r="O14" i="5"/>
  <c r="O15" i="5"/>
  <c r="O16" i="5"/>
  <c r="O17" i="5"/>
  <c r="O13" i="5"/>
  <c r="G14" i="5"/>
  <c r="G14" i="10" s="1"/>
  <c r="G14" i="6" s="1"/>
  <c r="G14" i="11" s="1"/>
  <c r="G14" i="12" s="1"/>
  <c r="G14" i="13" s="1"/>
  <c r="G14" i="14" s="1"/>
  <c r="G26" i="15" s="1"/>
  <c r="G15" i="5"/>
  <c r="G15" i="10" s="1"/>
  <c r="G15" i="6" s="1"/>
  <c r="G15" i="11" s="1"/>
  <c r="G15" i="12" s="1"/>
  <c r="G15" i="13" s="1"/>
  <c r="G15" i="14" s="1"/>
  <c r="G27" i="15" s="1"/>
  <c r="G16" i="5"/>
  <c r="G16" i="10" s="1"/>
  <c r="G16" i="6" s="1"/>
  <c r="G16" i="11" s="1"/>
  <c r="G16" i="12" s="1"/>
  <c r="G16" i="13" s="1"/>
  <c r="G16" i="14" s="1"/>
  <c r="G28" i="15" s="1"/>
  <c r="G17" i="5"/>
  <c r="G17" i="10" s="1"/>
  <c r="G17" i="6" s="1"/>
  <c r="G17" i="11" s="1"/>
  <c r="G17" i="12" s="1"/>
  <c r="G17" i="13" s="1"/>
  <c r="G17" i="14" s="1"/>
  <c r="G29" i="15" s="1"/>
  <c r="G18" i="5"/>
  <c r="G18" i="10" s="1"/>
  <c r="G18" i="6" s="1"/>
  <c r="G18" i="11" s="1"/>
  <c r="G18" i="12" s="1"/>
  <c r="G18" i="13" s="1"/>
  <c r="G18" i="14" s="1"/>
  <c r="G30" i="15" s="1"/>
  <c r="G22" i="5"/>
  <c r="G22" i="10" s="1"/>
  <c r="G22" i="6" s="1"/>
  <c r="G22" i="11" s="1"/>
  <c r="G22" i="12" s="1"/>
  <c r="G22" i="13" s="1"/>
  <c r="G22" i="14" s="1"/>
  <c r="G34" i="15" s="1"/>
  <c r="G23" i="5"/>
  <c r="G23" i="10" s="1"/>
  <c r="G23" i="6" s="1"/>
  <c r="G23" i="11" s="1"/>
  <c r="G23" i="12" s="1"/>
  <c r="G23" i="13" s="1"/>
  <c r="G23" i="14" s="1"/>
  <c r="G35" i="15" s="1"/>
  <c r="A13" i="5"/>
  <c r="B13" i="5"/>
  <c r="A14" i="5"/>
  <c r="B14" i="5"/>
  <c r="A15" i="5"/>
  <c r="B15" i="5"/>
  <c r="A16" i="5"/>
  <c r="B16" i="5"/>
  <c r="A17" i="5"/>
  <c r="B17" i="5"/>
  <c r="A18" i="5"/>
  <c r="B18" i="5"/>
  <c r="A22" i="5"/>
  <c r="B22" i="5"/>
  <c r="A23" i="5"/>
  <c r="B23" i="5"/>
  <c r="O14" i="17"/>
  <c r="O15" i="17"/>
  <c r="O16" i="17"/>
  <c r="O17" i="17"/>
  <c r="O13" i="17"/>
  <c r="F14" i="17"/>
  <c r="F14" i="5" s="1"/>
  <c r="F14" i="10" s="1"/>
  <c r="F14" i="6" s="1"/>
  <c r="F14" i="11" s="1"/>
  <c r="F14" i="12" s="1"/>
  <c r="F14" i="13" s="1"/>
  <c r="F14" i="14" s="1"/>
  <c r="F26" i="15" s="1"/>
  <c r="F15" i="17"/>
  <c r="F15" i="5" s="1"/>
  <c r="F15" i="10" s="1"/>
  <c r="F15" i="6" s="1"/>
  <c r="F15" i="11" s="1"/>
  <c r="F15" i="12" s="1"/>
  <c r="F15" i="13" s="1"/>
  <c r="F15" i="14" s="1"/>
  <c r="F27" i="15" s="1"/>
  <c r="F16" i="17"/>
  <c r="F16" i="5" s="1"/>
  <c r="F16" i="10" s="1"/>
  <c r="F16" i="6" s="1"/>
  <c r="F16" i="11" s="1"/>
  <c r="F16" i="12" s="1"/>
  <c r="F16" i="13" s="1"/>
  <c r="F16" i="14" s="1"/>
  <c r="F28" i="15" s="1"/>
  <c r="F17" i="17"/>
  <c r="F17" i="5" s="1"/>
  <c r="F17" i="10" s="1"/>
  <c r="F17" i="6" s="1"/>
  <c r="F17" i="11" s="1"/>
  <c r="F17" i="12" s="1"/>
  <c r="F17" i="13" s="1"/>
  <c r="F17" i="14" s="1"/>
  <c r="F29" i="15" s="1"/>
  <c r="F18" i="17"/>
  <c r="F18" i="5" s="1"/>
  <c r="F18" i="10" s="1"/>
  <c r="F18" i="6" s="1"/>
  <c r="F18" i="11" s="1"/>
  <c r="F18" i="12" s="1"/>
  <c r="F22" i="17"/>
  <c r="F22" i="5" s="1"/>
  <c r="F22" i="10" s="1"/>
  <c r="F22" i="6" s="1"/>
  <c r="F22" i="11" s="1"/>
  <c r="F22" i="12" s="1"/>
  <c r="F22" i="13" s="1"/>
  <c r="F22" i="14" s="1"/>
  <c r="F34" i="15" s="1"/>
  <c r="F23" i="17"/>
  <c r="F23" i="5" s="1"/>
  <c r="F23" i="10" s="1"/>
  <c r="F23" i="6" s="1"/>
  <c r="F23" i="11" s="1"/>
  <c r="F23" i="12" s="1"/>
  <c r="F23" i="13" s="1"/>
  <c r="F23" i="14" s="1"/>
  <c r="F35" i="15" s="1"/>
  <c r="A13" i="17"/>
  <c r="B13" i="17"/>
  <c r="A14" i="17"/>
  <c r="B14" i="17"/>
  <c r="A15" i="17"/>
  <c r="B15" i="17"/>
  <c r="A16" i="17"/>
  <c r="B16" i="17"/>
  <c r="A17" i="17"/>
  <c r="B17" i="17"/>
  <c r="A18" i="17"/>
  <c r="B18" i="17"/>
  <c r="A22" i="17"/>
  <c r="B22" i="17"/>
  <c r="A23" i="17"/>
  <c r="B23" i="17"/>
  <c r="O17" i="9"/>
  <c r="O14" i="9"/>
  <c r="O15" i="9"/>
  <c r="O16" i="9"/>
  <c r="O13" i="9"/>
  <c r="O14" i="8"/>
  <c r="O15" i="8"/>
  <c r="O16" i="8"/>
  <c r="O17" i="8"/>
  <c r="O13" i="8"/>
  <c r="A3" i="15"/>
  <c r="A3" i="14"/>
  <c r="A3" i="13"/>
  <c r="A3" i="12"/>
  <c r="A3" i="11"/>
  <c r="A3" i="6"/>
  <c r="A3" i="10"/>
  <c r="A3" i="5"/>
  <c r="A3" i="17"/>
  <c r="A3" i="9"/>
  <c r="O14" i="1"/>
  <c r="O15" i="1"/>
  <c r="O16" i="1"/>
  <c r="O17" i="1"/>
  <c r="O18" i="1"/>
  <c r="O22" i="1"/>
  <c r="O23" i="1"/>
  <c r="O13" i="1"/>
  <c r="E14" i="9"/>
  <c r="E14" i="17" s="1"/>
  <c r="E14" i="5" s="1"/>
  <c r="E14" i="10" s="1"/>
  <c r="E14" i="6" s="1"/>
  <c r="E14" i="11" s="1"/>
  <c r="E14" i="12" s="1"/>
  <c r="E14" i="13" s="1"/>
  <c r="E14" i="14" s="1"/>
  <c r="E26" i="15" s="1"/>
  <c r="E15" i="9"/>
  <c r="E15" i="17" s="1"/>
  <c r="E15" i="5" s="1"/>
  <c r="E15" i="10" s="1"/>
  <c r="E15" i="6" s="1"/>
  <c r="E15" i="11" s="1"/>
  <c r="E15" i="12" s="1"/>
  <c r="E15" i="13" s="1"/>
  <c r="E15" i="14" s="1"/>
  <c r="E27" i="15" s="1"/>
  <c r="E16" i="9"/>
  <c r="E16" i="17" s="1"/>
  <c r="E16" i="5" s="1"/>
  <c r="E16" i="10" s="1"/>
  <c r="E16" i="6" s="1"/>
  <c r="E16" i="11" s="1"/>
  <c r="E16" i="12" s="1"/>
  <c r="E16" i="13" s="1"/>
  <c r="E16" i="14" s="1"/>
  <c r="E28" i="15" s="1"/>
  <c r="E17" i="9"/>
  <c r="E17" i="17" s="1"/>
  <c r="E17" i="5" s="1"/>
  <c r="E17" i="10" s="1"/>
  <c r="E17" i="6" s="1"/>
  <c r="E17" i="11" s="1"/>
  <c r="E17" i="12" s="1"/>
  <c r="E17" i="13" s="1"/>
  <c r="E17" i="14" s="1"/>
  <c r="E29" i="15" s="1"/>
  <c r="E18" i="9"/>
  <c r="E18" i="17" s="1"/>
  <c r="E18" i="5" s="1"/>
  <c r="E18" i="10" s="1"/>
  <c r="E18" i="6" s="1"/>
  <c r="E18" i="11" s="1"/>
  <c r="E18" i="12" s="1"/>
  <c r="E18" i="13" s="1"/>
  <c r="E18" i="14" s="1"/>
  <c r="E30" i="15" s="1"/>
  <c r="E22" i="9"/>
  <c r="E22" i="17" s="1"/>
  <c r="E22" i="5" s="1"/>
  <c r="E22" i="10" s="1"/>
  <c r="E22" i="6" s="1"/>
  <c r="E22" i="11" s="1"/>
  <c r="E22" i="12" s="1"/>
  <c r="E22" i="13" s="1"/>
  <c r="E22" i="14" s="1"/>
  <c r="E34" i="15" s="1"/>
  <c r="E23" i="9"/>
  <c r="E23" i="17" s="1"/>
  <c r="E23" i="5" s="1"/>
  <c r="E23" i="10" s="1"/>
  <c r="E23" i="6" s="1"/>
  <c r="E23" i="11" s="1"/>
  <c r="E23" i="12" s="1"/>
  <c r="E23" i="13" s="1"/>
  <c r="E23" i="14" s="1"/>
  <c r="E35" i="15" s="1"/>
  <c r="A13" i="9"/>
  <c r="B13" i="9"/>
  <c r="A14" i="9"/>
  <c r="B14" i="9"/>
  <c r="A15" i="9"/>
  <c r="B15" i="9"/>
  <c r="A16" i="9"/>
  <c r="B16" i="9"/>
  <c r="A17" i="9"/>
  <c r="B17" i="9"/>
  <c r="A18" i="9"/>
  <c r="B18" i="9"/>
  <c r="A22" i="9"/>
  <c r="B22" i="9"/>
  <c r="A23" i="9"/>
  <c r="B23" i="9"/>
  <c r="A13" i="8"/>
  <c r="B13" i="8"/>
  <c r="A14" i="8"/>
  <c r="B14" i="8"/>
  <c r="A15" i="8"/>
  <c r="B15" i="8"/>
  <c r="A16" i="8"/>
  <c r="B16" i="8"/>
  <c r="A17" i="8"/>
  <c r="B17" i="8"/>
  <c r="A18" i="8"/>
  <c r="B18" i="8"/>
  <c r="A22" i="8"/>
  <c r="B22" i="8"/>
  <c r="A23" i="8"/>
  <c r="B23" i="8"/>
  <c r="C21" i="12" l="1"/>
  <c r="O21" i="11"/>
  <c r="C19" i="12"/>
  <c r="O19" i="11"/>
  <c r="C20" i="11"/>
  <c r="O20" i="6"/>
  <c r="G19" i="14"/>
  <c r="F18" i="13"/>
  <c r="F18" i="14" s="1"/>
  <c r="F30" i="15" s="1"/>
  <c r="A3" i="8"/>
  <c r="A7" i="15"/>
  <c r="B7" i="15"/>
  <c r="A8" i="15"/>
  <c r="B8" i="15"/>
  <c r="A9" i="15"/>
  <c r="B9" i="15"/>
  <c r="A10" i="15"/>
  <c r="B10" i="15"/>
  <c r="A7" i="14"/>
  <c r="B7" i="14"/>
  <c r="A8" i="14"/>
  <c r="B8" i="14"/>
  <c r="A9" i="14"/>
  <c r="B9" i="14"/>
  <c r="A10" i="14"/>
  <c r="B10" i="14"/>
  <c r="A7" i="13"/>
  <c r="B7" i="13"/>
  <c r="A8" i="13"/>
  <c r="B8" i="13"/>
  <c r="A9" i="13"/>
  <c r="B9" i="13"/>
  <c r="A10" i="13"/>
  <c r="B10" i="13"/>
  <c r="A7" i="12"/>
  <c r="B7" i="12"/>
  <c r="A8" i="12"/>
  <c r="B8" i="12"/>
  <c r="A9" i="12"/>
  <c r="B9" i="12"/>
  <c r="A10" i="12"/>
  <c r="B10" i="12"/>
  <c r="A7" i="11"/>
  <c r="B7" i="11"/>
  <c r="A8" i="11"/>
  <c r="B8" i="11"/>
  <c r="A9" i="11"/>
  <c r="B9" i="11"/>
  <c r="A10" i="11"/>
  <c r="B10" i="11"/>
  <c r="A7" i="6"/>
  <c r="B7" i="6"/>
  <c r="A8" i="6"/>
  <c r="B8" i="6"/>
  <c r="A9" i="6"/>
  <c r="B9" i="6"/>
  <c r="A10" i="6"/>
  <c r="B10" i="6"/>
  <c r="A7" i="10"/>
  <c r="B7" i="10"/>
  <c r="A8" i="10"/>
  <c r="B8" i="10"/>
  <c r="A9" i="10"/>
  <c r="B9" i="10"/>
  <c r="A10" i="10"/>
  <c r="B10" i="10"/>
  <c r="A7" i="5"/>
  <c r="B7" i="5"/>
  <c r="A8" i="5"/>
  <c r="B8" i="5"/>
  <c r="A9" i="5"/>
  <c r="B9" i="5"/>
  <c r="A10" i="5"/>
  <c r="B10" i="5"/>
  <c r="A7" i="17"/>
  <c r="B7" i="17"/>
  <c r="A8" i="17"/>
  <c r="B8" i="17"/>
  <c r="A9" i="17"/>
  <c r="B9" i="17"/>
  <c r="A10" i="17"/>
  <c r="B10" i="17"/>
  <c r="A7" i="9"/>
  <c r="B7" i="9"/>
  <c r="A8" i="9"/>
  <c r="B8" i="9"/>
  <c r="A9" i="9"/>
  <c r="B9" i="9"/>
  <c r="A10" i="9"/>
  <c r="B10" i="9"/>
  <c r="A7" i="8"/>
  <c r="B7" i="8"/>
  <c r="A8" i="8"/>
  <c r="B8" i="8"/>
  <c r="A9" i="8"/>
  <c r="B9" i="8"/>
  <c r="A10" i="8"/>
  <c r="B10" i="8"/>
  <c r="C20" i="12" l="1"/>
  <c r="O20" i="11"/>
  <c r="C19" i="13"/>
  <c r="O19" i="12"/>
  <c r="C21" i="13"/>
  <c r="O21" i="12"/>
  <c r="G31" i="15"/>
  <c r="D14" i="9"/>
  <c r="D14" i="17" s="1"/>
  <c r="D14" i="5" s="1"/>
  <c r="D14" i="10" s="1"/>
  <c r="D14" i="6" s="1"/>
  <c r="D14" i="11" s="1"/>
  <c r="D14" i="12" s="1"/>
  <c r="D14" i="13" s="1"/>
  <c r="D14" i="14" s="1"/>
  <c r="D26" i="15" s="1"/>
  <c r="D15" i="9"/>
  <c r="D15" i="17" s="1"/>
  <c r="D15" i="5" s="1"/>
  <c r="D15" i="10" s="1"/>
  <c r="D15" i="6" s="1"/>
  <c r="D15" i="11" s="1"/>
  <c r="D15" i="12" s="1"/>
  <c r="D15" i="13" s="1"/>
  <c r="D15" i="14" s="1"/>
  <c r="D27" i="15" s="1"/>
  <c r="D16" i="9"/>
  <c r="D16" i="17" s="1"/>
  <c r="D16" i="5" s="1"/>
  <c r="D16" i="10" s="1"/>
  <c r="D16" i="6" s="1"/>
  <c r="D16" i="11" s="1"/>
  <c r="D16" i="12" s="1"/>
  <c r="D16" i="13" s="1"/>
  <c r="D16" i="14" s="1"/>
  <c r="D28" i="15" s="1"/>
  <c r="D17" i="9"/>
  <c r="D17" i="17" s="1"/>
  <c r="D17" i="5" s="1"/>
  <c r="D17" i="10" s="1"/>
  <c r="D17" i="6" s="1"/>
  <c r="D17" i="11" s="1"/>
  <c r="D17" i="12" s="1"/>
  <c r="D17" i="13" s="1"/>
  <c r="D17" i="14" s="1"/>
  <c r="D29" i="15" s="1"/>
  <c r="D18" i="9"/>
  <c r="D18" i="17" s="1"/>
  <c r="D18" i="5" s="1"/>
  <c r="D18" i="10" s="1"/>
  <c r="D18" i="6" s="1"/>
  <c r="D18" i="11" s="1"/>
  <c r="D18" i="12" s="1"/>
  <c r="D18" i="13" s="1"/>
  <c r="D18" i="14" s="1"/>
  <c r="D30" i="15" s="1"/>
  <c r="D22" i="9"/>
  <c r="D22" i="17" s="1"/>
  <c r="D22" i="5" s="1"/>
  <c r="D22" i="10" s="1"/>
  <c r="D23" i="9"/>
  <c r="D23" i="17" s="1"/>
  <c r="D23" i="5" s="1"/>
  <c r="D23" i="10" s="1"/>
  <c r="D23" i="6" s="1"/>
  <c r="D23" i="11" s="1"/>
  <c r="D23" i="12" s="1"/>
  <c r="D23" i="13" s="1"/>
  <c r="D23" i="14" s="1"/>
  <c r="D35" i="15" s="1"/>
  <c r="C14" i="9"/>
  <c r="C14" i="17" s="1"/>
  <c r="C14" i="5" s="1"/>
  <c r="C14" i="10" s="1"/>
  <c r="C14" i="6" s="1"/>
  <c r="C14" i="11" s="1"/>
  <c r="C14" i="12" s="1"/>
  <c r="C14" i="13" s="1"/>
  <c r="C14" i="14" s="1"/>
  <c r="C26" i="15" s="1"/>
  <c r="C15" i="9"/>
  <c r="C15" i="17" s="1"/>
  <c r="C15" i="5" s="1"/>
  <c r="C15" i="10" s="1"/>
  <c r="C15" i="6" s="1"/>
  <c r="C15" i="11" s="1"/>
  <c r="C15" i="12" s="1"/>
  <c r="C15" i="13" s="1"/>
  <c r="C15" i="14" s="1"/>
  <c r="C27" i="15" s="1"/>
  <c r="C16" i="9"/>
  <c r="C16" i="17" s="1"/>
  <c r="C16" i="5" s="1"/>
  <c r="C16" i="10" s="1"/>
  <c r="C16" i="6" s="1"/>
  <c r="C16" i="11" s="1"/>
  <c r="C16" i="12" s="1"/>
  <c r="C16" i="13" s="1"/>
  <c r="C16" i="14" s="1"/>
  <c r="C28" i="15" s="1"/>
  <c r="C17" i="9"/>
  <c r="C17" i="17" s="1"/>
  <c r="C17" i="5" s="1"/>
  <c r="C17" i="10" s="1"/>
  <c r="C17" i="6" s="1"/>
  <c r="C17" i="11" s="1"/>
  <c r="C17" i="12" s="1"/>
  <c r="C17" i="13" s="1"/>
  <c r="C17" i="14" s="1"/>
  <c r="C29" i="15" s="1"/>
  <c r="C21" i="14" l="1"/>
  <c r="O21" i="13"/>
  <c r="C19" i="14"/>
  <c r="O19" i="13"/>
  <c r="C20" i="13"/>
  <c r="O20" i="12"/>
  <c r="D22" i="6"/>
  <c r="D22" i="11" s="1"/>
  <c r="D22" i="12" s="1"/>
  <c r="D22" i="13" s="1"/>
  <c r="D22" i="14" s="1"/>
  <c r="D34" i="15" s="1"/>
  <c r="G13" i="5"/>
  <c r="G13" i="10" s="1"/>
  <c r="G13" i="6" s="1"/>
  <c r="G13" i="11" s="1"/>
  <c r="G13" i="12" s="1"/>
  <c r="G13" i="13" s="1"/>
  <c r="G13" i="14" s="1"/>
  <c r="G25" i="15" s="1"/>
  <c r="F13" i="17"/>
  <c r="F13" i="5" s="1"/>
  <c r="F13" i="10" s="1"/>
  <c r="F13" i="6" s="1"/>
  <c r="F13" i="11" s="1"/>
  <c r="F13" i="12" s="1"/>
  <c r="F13" i="13" s="1"/>
  <c r="F13" i="14" s="1"/>
  <c r="F25" i="15" s="1"/>
  <c r="C31" i="15" l="1"/>
  <c r="O19" i="14"/>
  <c r="O31" i="15" s="1"/>
  <c r="C20" i="14"/>
  <c r="O20" i="13"/>
  <c r="C33" i="15"/>
  <c r="O21" i="14"/>
  <c r="O33" i="15" s="1"/>
  <c r="O18" i="8"/>
  <c r="C18" i="9"/>
  <c r="O23" i="8"/>
  <c r="C23" i="9"/>
  <c r="C22" i="9"/>
  <c r="O22" i="8"/>
  <c r="E13" i="9"/>
  <c r="E13" i="17" s="1"/>
  <c r="E13" i="5" s="1"/>
  <c r="E13" i="10" s="1"/>
  <c r="E13" i="6" s="1"/>
  <c r="E13" i="11" s="1"/>
  <c r="E13" i="12" s="1"/>
  <c r="E13" i="13" s="1"/>
  <c r="E13" i="14" s="1"/>
  <c r="E25" i="15" s="1"/>
  <c r="C32" i="15" l="1"/>
  <c r="O20" i="14"/>
  <c r="O32" i="15" s="1"/>
  <c r="C23" i="17"/>
  <c r="O23" i="9"/>
  <c r="C18" i="17"/>
  <c r="O18" i="9"/>
  <c r="C22" i="17"/>
  <c r="O22" i="9"/>
  <c r="L13" i="13"/>
  <c r="L13" i="14" s="1"/>
  <c r="L25" i="15" s="1"/>
  <c r="K13" i="12"/>
  <c r="K13" i="13" s="1"/>
  <c r="K13" i="14" s="1"/>
  <c r="K25" i="15" s="1"/>
  <c r="J13" i="11"/>
  <c r="J13" i="12" s="1"/>
  <c r="J13" i="13" s="1"/>
  <c r="J13" i="14" s="1"/>
  <c r="J25" i="15" s="1"/>
  <c r="I13" i="6"/>
  <c r="I13" i="11" s="1"/>
  <c r="I13" i="12" s="1"/>
  <c r="I13" i="13" s="1"/>
  <c r="I13" i="14" s="1"/>
  <c r="I25" i="15" s="1"/>
  <c r="H13" i="10"/>
  <c r="H13" i="6" s="1"/>
  <c r="H13" i="11" s="1"/>
  <c r="H13" i="12" s="1"/>
  <c r="H13" i="13" s="1"/>
  <c r="H13" i="14" s="1"/>
  <c r="H25" i="15" s="1"/>
  <c r="D13" i="9"/>
  <c r="C13" i="9"/>
  <c r="C13" i="17" s="1"/>
  <c r="C13" i="5" s="1"/>
  <c r="C13" i="10" s="1"/>
  <c r="C13" i="6" s="1"/>
  <c r="C13" i="11" s="1"/>
  <c r="C13" i="12" s="1"/>
  <c r="C13" i="13" s="1"/>
  <c r="C13" i="14" s="1"/>
  <c r="C25" i="15" s="1"/>
  <c r="M13" i="14"/>
  <c r="M25" i="15" s="1"/>
  <c r="N25" i="15"/>
  <c r="O22" i="17" l="1"/>
  <c r="C22" i="5"/>
  <c r="C18" i="5"/>
  <c r="O18" i="17"/>
  <c r="C23" i="5"/>
  <c r="O23" i="17"/>
  <c r="D13" i="17"/>
  <c r="D13" i="5" s="1"/>
  <c r="D13" i="10" s="1"/>
  <c r="D13" i="6" s="1"/>
  <c r="D13" i="11" s="1"/>
  <c r="D13" i="12" s="1"/>
  <c r="D13" i="13" s="1"/>
  <c r="D13" i="14" s="1"/>
  <c r="D25" i="15" s="1"/>
  <c r="O25" i="15"/>
  <c r="C22" i="10" l="1"/>
  <c r="O22" i="5"/>
  <c r="C23" i="10"/>
  <c r="O23" i="5"/>
  <c r="C18" i="10"/>
  <c r="O18" i="5"/>
  <c r="O18" i="10" l="1"/>
  <c r="C18" i="6"/>
  <c r="O23" i="10"/>
  <c r="C23" i="6"/>
  <c r="C22" i="6"/>
  <c r="O22" i="10"/>
  <c r="O23" i="6" l="1"/>
  <c r="C23" i="11"/>
  <c r="O18" i="6"/>
  <c r="C18" i="11"/>
  <c r="O22" i="6"/>
  <c r="C22" i="11"/>
  <c r="O22" i="11" l="1"/>
  <c r="C22" i="12"/>
  <c r="C18" i="12"/>
  <c r="O18" i="11"/>
  <c r="C23" i="12"/>
  <c r="O23" i="11"/>
  <c r="O22" i="12" l="1"/>
  <c r="C22" i="13"/>
  <c r="O23" i="12"/>
  <c r="C23" i="13"/>
  <c r="C18" i="13"/>
  <c r="O18" i="12"/>
  <c r="O23" i="13" l="1"/>
  <c r="C23" i="14"/>
  <c r="C22" i="14"/>
  <c r="O22" i="13"/>
  <c r="C18" i="14"/>
  <c r="C30" i="15" s="1"/>
  <c r="O18" i="13"/>
  <c r="O23" i="14" l="1"/>
  <c r="O35" i="15" s="1"/>
  <c r="C35" i="15"/>
  <c r="O18" i="14"/>
  <c r="O30" i="15" s="1"/>
  <c r="O22" i="14"/>
  <c r="O34" i="15" s="1"/>
  <c r="C34" i="15"/>
</calcChain>
</file>

<file path=xl/sharedStrings.xml><?xml version="1.0" encoding="utf-8"?>
<sst xmlns="http://schemas.openxmlformats.org/spreadsheetml/2006/main" count="1268" uniqueCount="112">
  <si>
    <t>Item</t>
  </si>
  <si>
    <t>Nº</t>
  </si>
  <si>
    <t>INDICADORES DO SISTEMA DE GESTÃO DA QUALIDADE</t>
  </si>
  <si>
    <t>ITAL</t>
  </si>
  <si>
    <t>TL</t>
  </si>
  <si>
    <t>CE</t>
  </si>
  <si>
    <t>CQ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</si>
  <si>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</si>
  <si>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</si>
  <si>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</si>
  <si>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</si>
  <si>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</si>
  <si>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</si>
  <si>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</si>
  <si>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</si>
  <si>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</si>
  <si>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</si>
  <si>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</si>
  <si>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</si>
  <si>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</si>
  <si>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FH</t>
  </si>
  <si>
    <t>DG</t>
  </si>
  <si>
    <t>1. INDICADORES POR UNIDADE</t>
  </si>
  <si>
    <t>2. INDICADORES MENSAIS E/OU RESULTADOS GERAIS</t>
  </si>
  <si>
    <t>ANO:</t>
  </si>
  <si>
    <t>Atualizado em:</t>
  </si>
  <si>
    <t>TC</t>
  </si>
  <si>
    <t>CH</t>
  </si>
  <si>
    <t>Observações</t>
  </si>
  <si>
    <r>
      <t xml:space="preserve">Mês: </t>
    </r>
    <r>
      <rPr>
        <b/>
        <sz val="10"/>
        <color rgb="FF00B0F0"/>
        <rFont val="Arial"/>
        <family val="2"/>
      </rPr>
      <t>JANEIRO</t>
    </r>
  </si>
  <si>
    <r>
      <t xml:space="preserve">Mês: </t>
    </r>
    <r>
      <rPr>
        <b/>
        <sz val="10"/>
        <color rgb="FF00B0F0"/>
        <rFont val="Arial"/>
        <family val="2"/>
      </rPr>
      <t>FEVEREIRO</t>
    </r>
  </si>
  <si>
    <r>
      <t xml:space="preserve">Mês: </t>
    </r>
    <r>
      <rPr>
        <b/>
        <sz val="10"/>
        <color rgb="FF00B0F0"/>
        <rFont val="Arial"/>
        <family val="2"/>
      </rPr>
      <t>MARÇO</t>
    </r>
  </si>
  <si>
    <r>
      <t xml:space="preserve">Mês: </t>
    </r>
    <r>
      <rPr>
        <b/>
        <sz val="10"/>
        <color rgb="FF00B0F0"/>
        <rFont val="Arial"/>
        <family val="2"/>
      </rPr>
      <t>ABRIL</t>
    </r>
  </si>
  <si>
    <r>
      <t xml:space="preserve">Mês: </t>
    </r>
    <r>
      <rPr>
        <b/>
        <sz val="10"/>
        <color rgb="FF00B0F0"/>
        <rFont val="Arial"/>
        <family val="2"/>
      </rPr>
      <t>MAIO</t>
    </r>
  </si>
  <si>
    <r>
      <t xml:space="preserve">Mês: </t>
    </r>
    <r>
      <rPr>
        <b/>
        <sz val="10"/>
        <color rgb="FF00B0F0"/>
        <rFont val="Arial"/>
        <family val="2"/>
      </rPr>
      <t>JUNHO</t>
    </r>
  </si>
  <si>
    <r>
      <t xml:space="preserve">Mês: </t>
    </r>
    <r>
      <rPr>
        <b/>
        <sz val="10"/>
        <color rgb="FF00B0F0"/>
        <rFont val="Arial"/>
        <family val="2"/>
      </rPr>
      <t>JULHO</t>
    </r>
  </si>
  <si>
    <r>
      <t xml:space="preserve">Mês: </t>
    </r>
    <r>
      <rPr>
        <b/>
        <sz val="10"/>
        <color rgb="FF00B0F0"/>
        <rFont val="Arial"/>
        <family val="2"/>
      </rPr>
      <t>AGOSTO</t>
    </r>
  </si>
  <si>
    <r>
      <t xml:space="preserve">Mês: </t>
    </r>
    <r>
      <rPr>
        <b/>
        <sz val="10"/>
        <color rgb="FF00B0F0"/>
        <rFont val="Arial"/>
        <family val="2"/>
      </rPr>
      <t>SETEMBRO</t>
    </r>
  </si>
  <si>
    <r>
      <t xml:space="preserve">Mês: </t>
    </r>
    <r>
      <rPr>
        <b/>
        <sz val="10"/>
        <color rgb="FF00B0F0"/>
        <rFont val="Arial"/>
        <family val="2"/>
      </rPr>
      <t>OUTUBRO</t>
    </r>
  </si>
  <si>
    <r>
      <t xml:space="preserve">Mês: </t>
    </r>
    <r>
      <rPr>
        <b/>
        <sz val="10"/>
        <color rgb="FF00B0F0"/>
        <rFont val="Arial"/>
        <family val="2"/>
      </rPr>
      <t>NOVEMBRO</t>
    </r>
  </si>
  <si>
    <r>
      <t xml:space="preserve">Mês: </t>
    </r>
    <r>
      <rPr>
        <b/>
        <sz val="10"/>
        <color rgb="FF00B0F0"/>
        <rFont val="Arial"/>
        <family val="2"/>
      </rPr>
      <t>DEZEMBRO</t>
    </r>
  </si>
  <si>
    <t>RESULTADO CONSOLIDADO DO ANO</t>
  </si>
  <si>
    <t>I46</t>
  </si>
  <si>
    <t>SAC solucionadas (%)</t>
  </si>
  <si>
    <t>I47</t>
  </si>
  <si>
    <t>SAP solucionadas (%)</t>
  </si>
  <si>
    <t>I48</t>
  </si>
  <si>
    <t>NCBI solucionadas (%)</t>
  </si>
  <si>
    <t>I12</t>
  </si>
  <si>
    <t xml:space="preserve">Cumprimento às exigências fiscais municipais, federais e estaduais (número de falhas) </t>
  </si>
  <si>
    <t>I49</t>
  </si>
  <si>
    <t>Ensaios acreditados na ABNT NBR ISO/IEC 17025. (Nº)</t>
  </si>
  <si>
    <t>I50</t>
  </si>
  <si>
    <t>I51</t>
  </si>
  <si>
    <t>Certificação do Sistema de Gestão da Qualidade - NBR ISO 9001 (Nº)</t>
  </si>
  <si>
    <t>I53</t>
  </si>
  <si>
    <t>Qualificação de fornecedores (%)</t>
  </si>
  <si>
    <t>I60</t>
  </si>
  <si>
    <t>Consumo de água (m3)</t>
  </si>
  <si>
    <t>I61</t>
  </si>
  <si>
    <t>Consumo de energia elétrica (kWh)</t>
  </si>
  <si>
    <t>I62</t>
  </si>
  <si>
    <t>Ações de conscientização - meio ambiente por ano (Nº)</t>
  </si>
  <si>
    <t>I63</t>
  </si>
  <si>
    <t>Denúncias procedentes registradas pela CIC (Ética)</t>
  </si>
  <si>
    <t>1. INDICADORES POR UNIDADE - COLETA MENSAL</t>
  </si>
  <si>
    <t>1.1 INDICADORES POR UNIDADE - COLETA ANUAL</t>
  </si>
  <si>
    <t>2. INDICADORES ITAL - MENSAIS E/OU RESULTADOS GERAIS</t>
  </si>
  <si>
    <t>Número de gestores</t>
  </si>
  <si>
    <t>------</t>
  </si>
  <si>
    <t>1. INDICADORES/DADOS POR UNIDADE - COLETA MENSAL</t>
  </si>
  <si>
    <t>Habilitação do Ital junto à Reblas - Anvisa</t>
  </si>
  <si>
    <t>D95</t>
  </si>
  <si>
    <t>Inflação ano</t>
  </si>
  <si>
    <t>D78</t>
  </si>
  <si>
    <t>Número de não conformidades registradas em auditoria de terceria parte (NBR ISO 9001)</t>
  </si>
  <si>
    <t>2. INDICADORES/DADOS ITAL - MENSAIS E/OU RESULTADOS GERAIS</t>
  </si>
  <si>
    <t>I43</t>
  </si>
  <si>
    <t>I56</t>
  </si>
  <si>
    <t>A</t>
  </si>
  <si>
    <t>B</t>
  </si>
  <si>
    <t>C</t>
  </si>
  <si>
    <t>D</t>
  </si>
  <si>
    <t>E</t>
  </si>
  <si>
    <t>Comunicação (%)</t>
  </si>
  <si>
    <t>Qualidade de Vida no Trabalho (%)</t>
  </si>
  <si>
    <t>Liderança (%)</t>
  </si>
  <si>
    <t>Sistema de Reconhecimento e Recompensa (%)</t>
  </si>
  <si>
    <t>I44</t>
  </si>
  <si>
    <t>Resultado de avaliações de Segurança do Trabalho (%)</t>
  </si>
  <si>
    <t>I45</t>
  </si>
  <si>
    <t>Melhorias implantadas por ano (Nº)</t>
  </si>
  <si>
    <t>Resultado de avaliações de 5S (%)</t>
  </si>
  <si>
    <t>I15</t>
  </si>
  <si>
    <t>Satisfação de clientes externos (%)</t>
  </si>
  <si>
    <t>Favorabilidade na pesquisa de clima organizacional (por domínio)</t>
  </si>
  <si>
    <t>Desenvolvimento de potenciais (%)</t>
  </si>
  <si>
    <t>------------</t>
  </si>
  <si>
    <t>FQ-08.33 (anexo à IT-08.01.04) - RA - revisão 04 de 05/06/24 - Página 1/13</t>
  </si>
  <si>
    <t>FQ-08.33 (anexo à IT-08.01.04) - RA - revisão 04 de 05/06/24 - Página 2/13</t>
  </si>
  <si>
    <t>FQ-08.33 (anexo à IT-08.01.04) - RA - revisão 04 de 05/06/24 - Página 3/13</t>
  </si>
  <si>
    <t>FQ-08.33 (anexo à IT-08.01.04) - RA - revisão 04 de 05/06/24 - Página 4/13</t>
  </si>
  <si>
    <t>FQ-08.33 (anexo à IT-08.01.04) - RA - revisão 04 de 05/06/24 - Página 5/13</t>
  </si>
  <si>
    <t>FQ-08.33 (anexo à IT-08.01.04) - RA - revisão 04 de 05/06/24 - Página 6/13</t>
  </si>
  <si>
    <t>-----------------------------------------------------------------</t>
  </si>
  <si>
    <t>FQ-08.33 (anexo à IT-08.01.04) - RA - revisão 04 de 05/06/24 - Página 13/13</t>
  </si>
  <si>
    <t xml:space="preserve">FQ-08.33 (anexo à IT-08.01.04) - RA - revisão 04 de 05/06/24 - Página 12/13	</t>
  </si>
  <si>
    <t xml:space="preserve">FQ-08.33 (anexo à IT-08.01.04) - RA - revisão 04 de 05/06/24 - Página 11/13	</t>
  </si>
  <si>
    <t xml:space="preserve">FQ-08.33 (anexo à IT-08.01.04) - RA - revisão 04 de 05/06/24 - Página 10/13	</t>
  </si>
  <si>
    <t xml:space="preserve">FQ-08.33 (anexo à IT-08.01.04) - RA - revisão 04 de 05/06/24 - Página 9/13	</t>
  </si>
  <si>
    <t xml:space="preserve">FQ-08.33 (anexo à IT-08.01.04) - RA - revisão 04 de 05/06/24 - Página 8/13	</t>
  </si>
  <si>
    <t xml:space="preserve">FQ-08.33 (anexo à IT-08.01.04) - RA - revisão 04 de 05/06/24 - Página 7/13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</si>
</sst>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0"/>
      <color rgb="FF00B0F0"/>
      <name val="Arial"/>
      <family val="2"/>
    </font>
    <font>
      <b/>
      <sz val="1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0" borderId="1" xfId="0" applyFont="1" applyBorder="1" applyAlignment="1" applyProtection="1">
      <alignment horizontal="center"/>
      <protection locked="0"/>
    </xf>
    <xf numFmtId="0" fontId="8" fillId="0" borderId="1" xfId="0" quotePrefix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5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4" fillId="2" borderId="11" xfId="0" applyFont="1" applyFill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 applyProtection="1">
      <alignment vertical="center" wrapText="1"/>
      <protection locked="0"/>
    </xf>
    <xf numFmtId="0" fontId="5" fillId="0" borderId="1" xfId="0" quotePrefix="1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1" xfId="0" applyFont="1" applyBorder="1" applyAlignment="1">
      <alignment horizontal="left" vertical="center"/>
    </xf>
    <xf numFmtId="0" fontId="2" fillId="0" borderId="1" xfId="0" quotePrefix="1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4" fillId="2" borderId="9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0" fontId="5" fillId="0" borderId="0" xfId="0" applyFont="1" applyAlignment="1">
      <alignment horizontal="left"/>
    </xf>
    <xf numFmtId="0" fontId="1" fillId="0" borderId="1" xfId="0" quotePrefix="1" applyFont="1" applyBorder="1" applyAlignment="1" applyProtection="1">
      <alignment horizontal="center"/>
      <protection locked="0"/>
    </xf>
    <xf numFmtId="0" fontId="4" fillId="3" borderId="1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/>
    </xf>
    <xf numFmtId="0" fontId="3" fillId="0" borderId="5" xfId="0" applyFont="1" applyBorder="1" applyAlignment="1" applyProtection="1">
      <alignment horizontal="left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0" fontId="3" fillId="0" borderId="6" xfId="0" applyFont="1" applyBorder="1" applyAlignment="1" applyProtection="1">
      <alignment horizontal="left" vertical="center"/>
      <protection locked="0"/>
    </xf>
    <xf numFmtId="0" fontId="7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>
    <tabColor theme="3"/>
  </sheetPr>
  <dimension ref="A1:O24"/>
  <sheetViews>
    <sheetView view="pageBreakPreview" zoomScaleNormal="100" zoomScaleSheetLayoutView="100" workbookViewId="0">
      <selection activeCell="L20" sqref="L20"/>
    </sheetView>
  </sheetViews>
  <sheetFormatPr defaultRowHeight="15" x14ac:dyDescent="0.25"/>
  <cols>
    <col min="1" max="1" width="6.28515625" style="10" customWidth="1"/>
    <col min="2" max="2" width="44.140625" style="11" customWidth="1"/>
    <col min="3" max="3" width="10.5703125" style="11" customWidth="1"/>
    <col min="4" max="15" width="9.140625" style="11" customWidth="1"/>
  </cols>
  <sheetData>
    <row r="1" spans="1:15" ht="24" customHeight="1" thickBot="1" x14ac:dyDescent="0.3">
      <c r="A1" s="22" t="s">
        <v>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4"/>
    </row>
    <row r="3" spans="1:15" ht="18.75" customHeight="1" x14ac:dyDescent="0.25">
      <c r="A3" s="25" t="s">
        <v>24</v>
      </c>
      <c r="B3" s="25"/>
      <c r="C3" s="25"/>
      <c r="D3" s="25"/>
      <c r="E3" s="25"/>
      <c r="F3" s="26" t="s">
        <v>29</v>
      </c>
      <c r="G3" s="26"/>
      <c r="H3" s="26"/>
      <c r="I3" s="25" t="s">
        <v>25</v>
      </c>
      <c r="J3" s="25"/>
      <c r="K3" s="25"/>
      <c r="L3" s="25"/>
      <c r="M3" s="25"/>
      <c r="N3" s="25"/>
      <c r="O3" s="25"/>
    </row>
    <row r="4" spans="1:15" ht="18.7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18.75" customHeight="1" x14ac:dyDescent="0.25">
      <c r="A5" s="34" t="s">
        <v>70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</row>
    <row r="6" spans="1:15" ht="14.25" customHeight="1" x14ac:dyDescent="0.25">
      <c r="A6" s="18" t="s">
        <v>1</v>
      </c>
      <c r="B6" s="18" t="s">
        <v>0</v>
      </c>
      <c r="C6" s="18" t="s">
        <v>26</v>
      </c>
      <c r="D6" s="18" t="s">
        <v>27</v>
      </c>
      <c r="E6" s="18" t="s">
        <v>4</v>
      </c>
      <c r="F6" s="18" t="s">
        <v>20</v>
      </c>
      <c r="G6" s="18" t="s">
        <v>6</v>
      </c>
      <c r="H6" s="18" t="s">
        <v>5</v>
      </c>
      <c r="I6" s="18" t="s">
        <v>21</v>
      </c>
      <c r="J6" s="18" t="s">
        <v>3</v>
      </c>
      <c r="K6" s="29" t="s">
        <v>28</v>
      </c>
      <c r="L6" s="30"/>
      <c r="M6" s="30"/>
      <c r="N6" s="30"/>
      <c r="O6" s="31"/>
    </row>
    <row r="7" spans="1:15" ht="23.25" customHeight="1" x14ac:dyDescent="0.25">
      <c r="A7" s="5" t="s">
        <v>42</v>
      </c>
      <c r="B7" s="6" t="s">
        <v>43</v>
      </c>
      <c r="C7" s="14"/>
      <c r="D7" s="14"/>
      <c r="E7" s="14"/>
      <c r="F7" s="14"/>
      <c r="G7" s="14"/>
      <c r="H7" s="14"/>
      <c r="I7" s="14"/>
      <c r="J7" s="15"/>
      <c r="K7" s="33" t="s">
        <v>104</v>
      </c>
      <c r="L7" s="28"/>
      <c r="M7" s="28"/>
      <c r="N7" s="28"/>
      <c r="O7" s="28"/>
    </row>
    <row r="8" spans="1:15" ht="23.25" customHeight="1" x14ac:dyDescent="0.25">
      <c r="A8" s="5" t="s">
        <v>44</v>
      </c>
      <c r="B8" s="6" t="s">
        <v>45</v>
      </c>
      <c r="C8" s="14"/>
      <c r="D8" s="14"/>
      <c r="E8" s="14"/>
      <c r="F8" s="14"/>
      <c r="G8" s="14"/>
      <c r="H8" s="14"/>
      <c r="I8" s="14"/>
      <c r="J8" s="15"/>
      <c r="K8" s="27" t="s">
        <v>104</v>
      </c>
      <c r="L8" s="28"/>
      <c r="M8" s="28"/>
      <c r="N8" s="28"/>
      <c r="O8" s="28"/>
    </row>
    <row r="9" spans="1:15" ht="23.25" customHeight="1" x14ac:dyDescent="0.25">
      <c r="A9" s="5" t="s">
        <v>46</v>
      </c>
      <c r="B9" s="6" t="s">
        <v>47</v>
      </c>
      <c r="C9" s="14"/>
      <c r="D9" s="14"/>
      <c r="E9" s="14"/>
      <c r="F9" s="14"/>
      <c r="G9" s="14"/>
      <c r="H9" s="14"/>
      <c r="I9" s="14"/>
      <c r="J9" s="15"/>
      <c r="K9" s="27" t="s">
        <v>104</v>
      </c>
      <c r="L9" s="28"/>
      <c r="M9" s="28"/>
      <c r="N9" s="28"/>
      <c r="O9" s="28"/>
    </row>
    <row r="10" spans="1:15" ht="23.25" customHeight="1" x14ac:dyDescent="0.25">
      <c r="A10" s="8" t="s">
        <v>69</v>
      </c>
      <c r="B10" s="6" t="s">
        <v>68</v>
      </c>
      <c r="C10" s="2"/>
      <c r="D10" s="2"/>
      <c r="E10" s="2"/>
      <c r="F10" s="2"/>
      <c r="G10" s="2"/>
      <c r="H10" s="2"/>
      <c r="I10" s="2"/>
      <c r="J10" s="2"/>
      <c r="K10" s="27" t="s">
        <v>104</v>
      </c>
      <c r="L10" s="28"/>
      <c r="M10" s="28"/>
      <c r="N10" s="28"/>
      <c r="O10" s="28"/>
    </row>
    <row r="11" spans="1:15" x14ac:dyDescent="0.25">
      <c r="A11" s="35" t="s">
        <v>76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</row>
    <row r="12" spans="1:15" x14ac:dyDescent="0.25">
      <c r="A12" s="4" t="s">
        <v>1</v>
      </c>
      <c r="B12" s="4" t="s">
        <v>0</v>
      </c>
      <c r="C12" s="4" t="s">
        <v>7</v>
      </c>
      <c r="D12" s="4" t="s">
        <v>8</v>
      </c>
      <c r="E12" s="4" t="s">
        <v>9</v>
      </c>
      <c r="F12" s="4" t="s">
        <v>10</v>
      </c>
      <c r="G12" s="4" t="s">
        <v>11</v>
      </c>
      <c r="H12" s="4" t="s">
        <v>12</v>
      </c>
      <c r="I12" s="4" t="s">
        <v>13</v>
      </c>
      <c r="J12" s="4" t="s">
        <v>14</v>
      </c>
      <c r="K12" s="4" t="s">
        <v>15</v>
      </c>
      <c r="L12" s="4" t="s">
        <v>16</v>
      </c>
      <c r="M12" s="4" t="s">
        <v>17</v>
      </c>
      <c r="N12" s="4" t="s">
        <v>18</v>
      </c>
      <c r="O12" s="4" t="s">
        <v>19</v>
      </c>
    </row>
    <row r="13" spans="1:15" ht="25.5" x14ac:dyDescent="0.25">
      <c r="A13" s="5" t="s">
        <v>48</v>
      </c>
      <c r="B13" s="6" t="s">
        <v>49</v>
      </c>
      <c r="C13" s="12"/>
      <c r="D13" s="8" t="s">
        <v>97</v>
      </c>
      <c r="E13" s="8" t="s">
        <v>97</v>
      </c>
      <c r="F13" s="8" t="s">
        <v>97</v>
      </c>
      <c r="G13" s="8" t="s">
        <v>97</v>
      </c>
      <c r="H13" s="8" t="s">
        <v>97</v>
      </c>
      <c r="I13" s="8" t="s">
        <v>97</v>
      </c>
      <c r="J13" s="8" t="s">
        <v>97</v>
      </c>
      <c r="K13" s="8" t="s">
        <v>97</v>
      </c>
      <c r="L13" s="8" t="s">
        <v>97</v>
      </c>
      <c r="M13" s="8" t="s">
        <v>97</v>
      </c>
      <c r="N13" s="8" t="s">
        <v>97</v>
      </c>
      <c r="O13" s="8">
        <f>C13</f>
        <v>0</v>
      </c>
    </row>
    <row r="14" spans="1:15" ht="25.5" x14ac:dyDescent="0.25">
      <c r="A14" s="5" t="s">
        <v>50</v>
      </c>
      <c r="B14" s="6" t="s">
        <v>51</v>
      </c>
      <c r="C14" s="12"/>
      <c r="D14" s="8" t="s">
        <v>97</v>
      </c>
      <c r="E14" s="8" t="s">
        <v>97</v>
      </c>
      <c r="F14" s="8" t="s">
        <v>97</v>
      </c>
      <c r="G14" s="8" t="s">
        <v>97</v>
      </c>
      <c r="H14" s="8" t="s">
        <v>97</v>
      </c>
      <c r="I14" s="8" t="s">
        <v>97</v>
      </c>
      <c r="J14" s="8" t="s">
        <v>97</v>
      </c>
      <c r="K14" s="8" t="s">
        <v>97</v>
      </c>
      <c r="L14" s="8" t="s">
        <v>97</v>
      </c>
      <c r="M14" s="8" t="s">
        <v>97</v>
      </c>
      <c r="N14" s="8" t="s">
        <v>97</v>
      </c>
      <c r="O14" s="8">
        <f t="shared" ref="O14:O23" si="0">C14</f>
        <v>0</v>
      </c>
    </row>
    <row r="15" spans="1:15" x14ac:dyDescent="0.25">
      <c r="A15" s="5" t="s">
        <v>52</v>
      </c>
      <c r="B15" s="6" t="s">
        <v>71</v>
      </c>
      <c r="C15" s="12"/>
      <c r="D15" s="8" t="s">
        <v>97</v>
      </c>
      <c r="E15" s="8" t="s">
        <v>97</v>
      </c>
      <c r="F15" s="8" t="s">
        <v>97</v>
      </c>
      <c r="G15" s="8" t="s">
        <v>97</v>
      </c>
      <c r="H15" s="8" t="s">
        <v>97</v>
      </c>
      <c r="I15" s="8" t="s">
        <v>97</v>
      </c>
      <c r="J15" s="8" t="s">
        <v>97</v>
      </c>
      <c r="K15" s="8" t="s">
        <v>97</v>
      </c>
      <c r="L15" s="8" t="s">
        <v>97</v>
      </c>
      <c r="M15" s="8" t="s">
        <v>97</v>
      </c>
      <c r="N15" s="8" t="s">
        <v>97</v>
      </c>
      <c r="O15" s="8">
        <f t="shared" si="0"/>
        <v>0</v>
      </c>
    </row>
    <row r="16" spans="1:15" ht="25.5" x14ac:dyDescent="0.25">
      <c r="A16" s="5" t="s">
        <v>53</v>
      </c>
      <c r="B16" s="6" t="s">
        <v>54</v>
      </c>
      <c r="C16" s="12"/>
      <c r="D16" s="8" t="s">
        <v>97</v>
      </c>
      <c r="E16" s="8" t="s">
        <v>97</v>
      </c>
      <c r="F16" s="8" t="s">
        <v>97</v>
      </c>
      <c r="G16" s="8" t="s">
        <v>97</v>
      </c>
      <c r="H16" s="8" t="s">
        <v>97</v>
      </c>
      <c r="I16" s="8" t="s">
        <v>97</v>
      </c>
      <c r="J16" s="8" t="s">
        <v>97</v>
      </c>
      <c r="K16" s="8" t="s">
        <v>97</v>
      </c>
      <c r="L16" s="8" t="s">
        <v>97</v>
      </c>
      <c r="M16" s="8" t="s">
        <v>97</v>
      </c>
      <c r="N16" s="8" t="s">
        <v>97</v>
      </c>
      <c r="O16" s="8">
        <f t="shared" si="0"/>
        <v>0</v>
      </c>
    </row>
    <row r="17" spans="1:15" x14ac:dyDescent="0.25">
      <c r="A17" s="5" t="s">
        <v>55</v>
      </c>
      <c r="B17" s="6" t="s">
        <v>56</v>
      </c>
      <c r="C17" s="12"/>
      <c r="D17" s="8" t="s">
        <v>97</v>
      </c>
      <c r="E17" s="8" t="s">
        <v>97</v>
      </c>
      <c r="F17" s="8" t="s">
        <v>97</v>
      </c>
      <c r="G17" s="8" t="s">
        <v>97</v>
      </c>
      <c r="H17" s="8" t="s">
        <v>97</v>
      </c>
      <c r="I17" s="8" t="s">
        <v>97</v>
      </c>
      <c r="J17" s="8" t="s">
        <v>97</v>
      </c>
      <c r="K17" s="8" t="s">
        <v>97</v>
      </c>
      <c r="L17" s="8" t="s">
        <v>97</v>
      </c>
      <c r="M17" s="8" t="s">
        <v>97</v>
      </c>
      <c r="N17" s="8" t="s">
        <v>97</v>
      </c>
      <c r="O17" s="8">
        <f t="shared" si="0"/>
        <v>0</v>
      </c>
    </row>
    <row r="18" spans="1:15" x14ac:dyDescent="0.25">
      <c r="A18" s="5" t="s">
        <v>57</v>
      </c>
      <c r="B18" s="6" t="s">
        <v>58</v>
      </c>
      <c r="C18" s="12"/>
      <c r="D18" s="8" t="s">
        <v>97</v>
      </c>
      <c r="E18" s="8" t="s">
        <v>97</v>
      </c>
      <c r="F18" s="8" t="s">
        <v>97</v>
      </c>
      <c r="G18" s="8" t="s">
        <v>97</v>
      </c>
      <c r="H18" s="8" t="s">
        <v>97</v>
      </c>
      <c r="I18" s="8" t="s">
        <v>97</v>
      </c>
      <c r="J18" s="8" t="s">
        <v>97</v>
      </c>
      <c r="K18" s="8" t="s">
        <v>97</v>
      </c>
      <c r="L18" s="8" t="s">
        <v>97</v>
      </c>
      <c r="M18" s="8" t="s">
        <v>97</v>
      </c>
      <c r="N18" s="8" t="s">
        <v>97</v>
      </c>
      <c r="O18" s="8">
        <f t="shared" si="0"/>
        <v>0</v>
      </c>
    </row>
    <row r="19" spans="1:15" x14ac:dyDescent="0.25">
      <c r="A19" s="5" t="s">
        <v>59</v>
      </c>
      <c r="B19" s="6" t="s">
        <v>60</v>
      </c>
      <c r="C19" s="12"/>
      <c r="D19" s="8" t="s">
        <v>97</v>
      </c>
      <c r="E19" s="8" t="s">
        <v>97</v>
      </c>
      <c r="F19" s="8" t="s">
        <v>97</v>
      </c>
      <c r="G19" s="8" t="s">
        <v>97</v>
      </c>
      <c r="H19" s="8" t="s">
        <v>97</v>
      </c>
      <c r="I19" s="8" t="s">
        <v>97</v>
      </c>
      <c r="J19" s="8" t="s">
        <v>97</v>
      </c>
      <c r="K19" s="8" t="s">
        <v>97</v>
      </c>
      <c r="L19" s="8" t="s">
        <v>97</v>
      </c>
      <c r="M19" s="8" t="s">
        <v>97</v>
      </c>
      <c r="N19" s="8" t="s">
        <v>97</v>
      </c>
      <c r="O19" s="8">
        <f t="shared" ref="O19:O21" si="1">C19</f>
        <v>0</v>
      </c>
    </row>
    <row r="20" spans="1:15" ht="25.5" x14ac:dyDescent="0.25">
      <c r="A20" s="5" t="s">
        <v>61</v>
      </c>
      <c r="B20" s="6" t="s">
        <v>62</v>
      </c>
      <c r="C20" s="12"/>
      <c r="D20" s="8" t="s">
        <v>97</v>
      </c>
      <c r="E20" s="8" t="s">
        <v>97</v>
      </c>
      <c r="F20" s="8" t="s">
        <v>97</v>
      </c>
      <c r="G20" s="8" t="s">
        <v>97</v>
      </c>
      <c r="H20" s="8" t="s">
        <v>97</v>
      </c>
      <c r="I20" s="8" t="s">
        <v>97</v>
      </c>
      <c r="J20" s="8" t="s">
        <v>97</v>
      </c>
      <c r="K20" s="8" t="s">
        <v>97</v>
      </c>
      <c r="L20" s="8" t="s">
        <v>97</v>
      </c>
      <c r="M20" s="8" t="s">
        <v>97</v>
      </c>
      <c r="N20" s="8" t="s">
        <v>97</v>
      </c>
      <c r="O20" s="8">
        <f t="shared" si="1"/>
        <v>0</v>
      </c>
    </row>
    <row r="21" spans="1:15" ht="25.5" x14ac:dyDescent="0.25">
      <c r="A21" s="9" t="s">
        <v>63</v>
      </c>
      <c r="B21" s="6" t="s">
        <v>64</v>
      </c>
      <c r="C21" s="12"/>
      <c r="D21" s="8" t="s">
        <v>97</v>
      </c>
      <c r="E21" s="8" t="s">
        <v>97</v>
      </c>
      <c r="F21" s="8" t="s">
        <v>97</v>
      </c>
      <c r="G21" s="8" t="s">
        <v>97</v>
      </c>
      <c r="H21" s="8" t="s">
        <v>97</v>
      </c>
      <c r="I21" s="8" t="s">
        <v>97</v>
      </c>
      <c r="J21" s="8" t="s">
        <v>97</v>
      </c>
      <c r="K21" s="8" t="s">
        <v>97</v>
      </c>
      <c r="L21" s="8" t="s">
        <v>97</v>
      </c>
      <c r="M21" s="8" t="s">
        <v>97</v>
      </c>
      <c r="N21" s="8" t="s">
        <v>97</v>
      </c>
      <c r="O21" s="8">
        <f t="shared" si="1"/>
        <v>0</v>
      </c>
    </row>
    <row r="22" spans="1:15" x14ac:dyDescent="0.25">
      <c r="A22" s="9" t="s">
        <v>72</v>
      </c>
      <c r="B22" s="6" t="s">
        <v>73</v>
      </c>
      <c r="C22" s="12"/>
      <c r="D22" s="8" t="s">
        <v>97</v>
      </c>
      <c r="E22" s="8" t="s">
        <v>97</v>
      </c>
      <c r="F22" s="8" t="s">
        <v>97</v>
      </c>
      <c r="G22" s="8" t="s">
        <v>97</v>
      </c>
      <c r="H22" s="8" t="s">
        <v>97</v>
      </c>
      <c r="I22" s="8" t="s">
        <v>97</v>
      </c>
      <c r="J22" s="8" t="s">
        <v>97</v>
      </c>
      <c r="K22" s="8" t="s">
        <v>97</v>
      </c>
      <c r="L22" s="8" t="s">
        <v>97</v>
      </c>
      <c r="M22" s="8" t="s">
        <v>97</v>
      </c>
      <c r="N22" s="8" t="s">
        <v>97</v>
      </c>
      <c r="O22" s="8">
        <f t="shared" si="0"/>
        <v>0</v>
      </c>
    </row>
    <row r="23" spans="1:15" ht="25.5" x14ac:dyDescent="0.25">
      <c r="A23" s="9" t="s">
        <v>74</v>
      </c>
      <c r="B23" s="6" t="s">
        <v>75</v>
      </c>
      <c r="C23" s="12"/>
      <c r="D23" s="8" t="s">
        <v>97</v>
      </c>
      <c r="E23" s="8" t="s">
        <v>97</v>
      </c>
      <c r="F23" s="8" t="s">
        <v>97</v>
      </c>
      <c r="G23" s="8" t="s">
        <v>97</v>
      </c>
      <c r="H23" s="8" t="s">
        <v>97</v>
      </c>
      <c r="I23" s="8" t="s">
        <v>97</v>
      </c>
      <c r="J23" s="8" t="s">
        <v>97</v>
      </c>
      <c r="K23" s="8" t="s">
        <v>97</v>
      </c>
      <c r="L23" s="8" t="s">
        <v>97</v>
      </c>
      <c r="M23" s="8" t="s">
        <v>97</v>
      </c>
      <c r="N23" s="8" t="s">
        <v>97</v>
      </c>
      <c r="O23" s="8">
        <f t="shared" si="0"/>
        <v>0</v>
      </c>
    </row>
    <row r="24" spans="1:15" x14ac:dyDescent="0.25">
      <c r="A24" s="32" t="s">
        <v>98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</row>
  </sheetData>
  <sheetProtection algorithmName="SHA-512" hashValue="jNCspgdDK9axkfdTcQLuK+BhHW9S3Z5V///m1XbLnN2YcJKcCX3r3GJRK7l9OfZB8SRhxwCbXN+5fmBEv4iLyw==" saltValue="0RVZffEzCT9c2GgwGr52Dw==" spinCount="100000" sheet="1" formatCells="0" formatColumns="0" formatRows="0" autoFilter="0"/>
  <mergeCells count="12">
    <mergeCell ref="A24:O24"/>
    <mergeCell ref="K7:O7"/>
    <mergeCell ref="K8:O8"/>
    <mergeCell ref="K9:O9"/>
    <mergeCell ref="A5:O5"/>
    <mergeCell ref="A11:O11"/>
    <mergeCell ref="A1:O1"/>
    <mergeCell ref="A3:E3"/>
    <mergeCell ref="F3:H3"/>
    <mergeCell ref="I3:O3"/>
    <mergeCell ref="K10:O10"/>
    <mergeCell ref="K6:O6"/>
  </mergeCells>
  <pageMargins left="0.51181102362204722" right="0.51181102362204722" top="0.78740157480314965" bottom="0.78740157480314965" header="0.31496062992125984" footer="0.31496062992125984"/>
  <pageSetup paperSize="9" scale="7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>
    <tabColor theme="3"/>
  </sheetPr>
  <dimension ref="A1:O24"/>
  <sheetViews>
    <sheetView view="pageBreakPreview" zoomScaleNormal="100" zoomScaleSheetLayoutView="100" workbookViewId="0">
      <selection activeCell="L20" sqref="L20"/>
    </sheetView>
  </sheetViews>
  <sheetFormatPr defaultRowHeight="15" x14ac:dyDescent="0.25"/>
  <cols>
    <col min="1" max="1" width="6.28515625" style="10" customWidth="1"/>
    <col min="2" max="2" width="65" style="11" customWidth="1"/>
    <col min="3" max="3" width="10.5703125" style="11" customWidth="1"/>
    <col min="4" max="15" width="9.140625" style="11" customWidth="1"/>
  </cols>
  <sheetData>
    <row r="1" spans="1:15" ht="24" customHeight="1" thickBot="1" x14ac:dyDescent="0.3">
      <c r="A1" s="22" t="s">
        <v>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4"/>
    </row>
    <row r="3" spans="1:15" ht="18.75" customHeight="1" x14ac:dyDescent="0.25">
      <c r="A3" s="25" t="s">
        <v>24</v>
      </c>
      <c r="B3" s="25"/>
      <c r="C3" s="25"/>
      <c r="D3" s="25"/>
      <c r="E3" s="25"/>
      <c r="F3" s="26" t="s">
        <v>30</v>
      </c>
      <c r="G3" s="26"/>
      <c r="H3" s="26"/>
      <c r="I3" s="25" t="s">
        <v>25</v>
      </c>
      <c r="J3" s="25"/>
      <c r="K3" s="25"/>
      <c r="L3" s="25"/>
      <c r="M3" s="25"/>
      <c r="N3" s="25"/>
      <c r="O3" s="25"/>
    </row>
    <row r="4" spans="1:15" ht="18.7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18.75" customHeight="1" x14ac:dyDescent="0.25">
      <c r="A5" s="34" t="s">
        <v>70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</row>
    <row r="6" spans="1:15" ht="14.25" customHeight="1" x14ac:dyDescent="0.25">
      <c r="A6" s="18" t="s">
        <v>1</v>
      </c>
      <c r="B6" s="18" t="s">
        <v>0</v>
      </c>
      <c r="C6" s="18" t="s">
        <v>26</v>
      </c>
      <c r="D6" s="18" t="s">
        <v>27</v>
      </c>
      <c r="E6" s="18" t="s">
        <v>4</v>
      </c>
      <c r="F6" s="18" t="s">
        <v>20</v>
      </c>
      <c r="G6" s="18" t="s">
        <v>6</v>
      </c>
      <c r="H6" s="18" t="s">
        <v>5</v>
      </c>
      <c r="I6" s="18" t="s">
        <v>21</v>
      </c>
      <c r="J6" s="18" t="s">
        <v>3</v>
      </c>
      <c r="K6" s="29" t="s">
        <v>28</v>
      </c>
      <c r="L6" s="30"/>
      <c r="M6" s="30"/>
      <c r="N6" s="30"/>
      <c r="O6" s="31"/>
    </row>
    <row r="7" spans="1:15" ht="23.25" customHeight="1" x14ac:dyDescent="0.25">
      <c r="A7" s="5" t="str">
        <f>'Folha 1_13'!A7</f>
        <v>I46</v>
      </c>
      <c r="B7" s="6" t="str">
        <f>'Folha 1_13'!B7</f>
        <v>SAC solucionadas (%)</v>
      </c>
      <c r="C7" s="14"/>
      <c r="D7" s="14"/>
      <c r="E7" s="14"/>
      <c r="F7" s="14"/>
      <c r="G7" s="14"/>
      <c r="H7" s="14"/>
      <c r="I7" s="14"/>
      <c r="J7" s="15"/>
      <c r="K7" s="33" t="s">
        <v>104</v>
      </c>
      <c r="L7" s="28"/>
      <c r="M7" s="28"/>
      <c r="N7" s="28"/>
      <c r="O7" s="28"/>
    </row>
    <row r="8" spans="1:15" ht="23.25" customHeight="1" x14ac:dyDescent="0.25">
      <c r="A8" s="5" t="str">
        <f>'Folha 1_13'!A8</f>
        <v>I47</v>
      </c>
      <c r="B8" s="6" t="str">
        <f>'Folha 1_13'!B8</f>
        <v>SAP solucionadas (%)</v>
      </c>
      <c r="C8" s="14"/>
      <c r="D8" s="14"/>
      <c r="E8" s="14"/>
      <c r="F8" s="14"/>
      <c r="G8" s="14"/>
      <c r="H8" s="14"/>
      <c r="I8" s="14"/>
      <c r="J8" s="15"/>
      <c r="K8" s="33" t="s">
        <v>104</v>
      </c>
      <c r="L8" s="28"/>
      <c r="M8" s="28"/>
      <c r="N8" s="28"/>
      <c r="O8" s="28"/>
    </row>
    <row r="9" spans="1:15" ht="23.25" customHeight="1" x14ac:dyDescent="0.25">
      <c r="A9" s="5" t="str">
        <f>'Folha 1_13'!A9</f>
        <v>I48</v>
      </c>
      <c r="B9" s="6" t="str">
        <f>'Folha 1_13'!B9</f>
        <v>NCBI solucionadas (%)</v>
      </c>
      <c r="C9" s="14"/>
      <c r="D9" s="14"/>
      <c r="E9" s="14"/>
      <c r="F9" s="14"/>
      <c r="G9" s="14"/>
      <c r="H9" s="14"/>
      <c r="I9" s="14"/>
      <c r="J9" s="15"/>
      <c r="K9" s="33" t="s">
        <v>104</v>
      </c>
      <c r="L9" s="28"/>
      <c r="M9" s="28"/>
      <c r="N9" s="28"/>
      <c r="O9" s="28"/>
    </row>
    <row r="10" spans="1:15" ht="23.25" customHeight="1" x14ac:dyDescent="0.25">
      <c r="A10" s="8" t="str">
        <f>'Folha 1_13'!A10</f>
        <v>------</v>
      </c>
      <c r="B10" s="6" t="str">
        <f>'Folha 1_13'!B10</f>
        <v>Número de gestores</v>
      </c>
      <c r="C10" s="2"/>
      <c r="D10" s="2"/>
      <c r="E10" s="2"/>
      <c r="F10" s="2"/>
      <c r="G10" s="2"/>
      <c r="H10" s="2"/>
      <c r="I10" s="2"/>
      <c r="J10" s="2"/>
      <c r="K10" s="33" t="s">
        <v>104</v>
      </c>
      <c r="L10" s="28"/>
      <c r="M10" s="28"/>
      <c r="N10" s="28"/>
      <c r="O10" s="28"/>
    </row>
    <row r="11" spans="1:15" x14ac:dyDescent="0.25">
      <c r="A11" s="35" t="s">
        <v>76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</row>
    <row r="12" spans="1:15" x14ac:dyDescent="0.25">
      <c r="A12" s="4" t="s">
        <v>1</v>
      </c>
      <c r="B12" s="4" t="s">
        <v>0</v>
      </c>
      <c r="C12" s="4" t="s">
        <v>7</v>
      </c>
      <c r="D12" s="4" t="s">
        <v>8</v>
      </c>
      <c r="E12" s="4" t="s">
        <v>9</v>
      </c>
      <c r="F12" s="4" t="s">
        <v>10</v>
      </c>
      <c r="G12" s="4" t="s">
        <v>11</v>
      </c>
      <c r="H12" s="4" t="s">
        <v>12</v>
      </c>
      <c r="I12" s="4" t="s">
        <v>13</v>
      </c>
      <c r="J12" s="4" t="s">
        <v>14</v>
      </c>
      <c r="K12" s="4" t="s">
        <v>15</v>
      </c>
      <c r="L12" s="4" t="s">
        <v>16</v>
      </c>
      <c r="M12" s="4" t="s">
        <v>17</v>
      </c>
      <c r="N12" s="4" t="s">
        <v>18</v>
      </c>
      <c r="O12" s="4" t="s">
        <v>19</v>
      </c>
    </row>
    <row r="13" spans="1:15" ht="25.5" x14ac:dyDescent="0.25">
      <c r="A13" s="5" t="str">
        <f>'Folha 1_13'!A13</f>
        <v>I12</v>
      </c>
      <c r="B13" s="6" t="str">
        <f>'Folha 1_13'!B13</f>
        <v xml:space="preserve">Cumprimento às exigências fiscais municipais, federais e estaduais (número de falhas) </v>
      </c>
      <c r="C13" s="7">
        <f>'Folha 1_13'!C13</f>
        <v>0</v>
      </c>
      <c r="D13" s="21"/>
      <c r="E13" s="8" t="s">
        <v>97</v>
      </c>
      <c r="F13" s="8" t="s">
        <v>97</v>
      </c>
      <c r="G13" s="8" t="s">
        <v>97</v>
      </c>
      <c r="H13" s="8" t="s">
        <v>97</v>
      </c>
      <c r="I13" s="8" t="s">
        <v>97</v>
      </c>
      <c r="J13" s="8" t="s">
        <v>97</v>
      </c>
      <c r="K13" s="8" t="s">
        <v>97</v>
      </c>
      <c r="L13" s="8" t="s">
        <v>97</v>
      </c>
      <c r="M13" s="8" t="s">
        <v>97</v>
      </c>
      <c r="N13" s="8" t="s">
        <v>97</v>
      </c>
      <c r="O13" s="8">
        <f>C13</f>
        <v>0</v>
      </c>
    </row>
    <row r="14" spans="1:15" x14ac:dyDescent="0.25">
      <c r="A14" s="5" t="str">
        <f>'Folha 1_13'!A14</f>
        <v>I49</v>
      </c>
      <c r="B14" s="6" t="str">
        <f>'Folha 1_13'!B14</f>
        <v>Ensaios acreditados na ABNT NBR ISO/IEC 17025. (Nº)</v>
      </c>
      <c r="C14" s="7">
        <f>'Folha 1_13'!C14</f>
        <v>0</v>
      </c>
      <c r="D14" s="12"/>
      <c r="E14" s="8" t="s">
        <v>97</v>
      </c>
      <c r="F14" s="8" t="s">
        <v>97</v>
      </c>
      <c r="G14" s="8" t="s">
        <v>97</v>
      </c>
      <c r="H14" s="8" t="s">
        <v>97</v>
      </c>
      <c r="I14" s="8" t="s">
        <v>97</v>
      </c>
      <c r="J14" s="8" t="s">
        <v>97</v>
      </c>
      <c r="K14" s="8" t="s">
        <v>97</v>
      </c>
      <c r="L14" s="8" t="s">
        <v>97</v>
      </c>
      <c r="M14" s="8" t="s">
        <v>97</v>
      </c>
      <c r="N14" s="8" t="s">
        <v>97</v>
      </c>
      <c r="O14" s="8">
        <f t="shared" ref="O14:O17" si="0">C14</f>
        <v>0</v>
      </c>
    </row>
    <row r="15" spans="1:15" x14ac:dyDescent="0.25">
      <c r="A15" s="5" t="str">
        <f>'Folha 1_13'!A15</f>
        <v>I50</v>
      </c>
      <c r="B15" s="6" t="str">
        <f>'Folha 1_13'!B15</f>
        <v>Habilitação do Ital junto à Reblas - Anvisa</v>
      </c>
      <c r="C15" s="7">
        <f>'Folha 1_13'!C15</f>
        <v>0</v>
      </c>
      <c r="D15" s="21"/>
      <c r="E15" s="8" t="s">
        <v>97</v>
      </c>
      <c r="F15" s="8" t="s">
        <v>97</v>
      </c>
      <c r="G15" s="8" t="s">
        <v>97</v>
      </c>
      <c r="H15" s="8" t="s">
        <v>97</v>
      </c>
      <c r="I15" s="8" t="s">
        <v>97</v>
      </c>
      <c r="J15" s="8" t="s">
        <v>97</v>
      </c>
      <c r="K15" s="8" t="s">
        <v>97</v>
      </c>
      <c r="L15" s="8" t="s">
        <v>97</v>
      </c>
      <c r="M15" s="8" t="s">
        <v>97</v>
      </c>
      <c r="N15" s="8" t="s">
        <v>97</v>
      </c>
      <c r="O15" s="8">
        <f t="shared" si="0"/>
        <v>0</v>
      </c>
    </row>
    <row r="16" spans="1:15" x14ac:dyDescent="0.25">
      <c r="A16" s="5" t="str">
        <f>'Folha 1_13'!A16</f>
        <v>I51</v>
      </c>
      <c r="B16" s="6" t="str">
        <f>'Folha 1_13'!B16</f>
        <v>Certificação do Sistema de Gestão da Qualidade - NBR ISO 9001 (Nº)</v>
      </c>
      <c r="C16" s="7">
        <f>'Folha 1_13'!C16</f>
        <v>0</v>
      </c>
      <c r="D16" s="12"/>
      <c r="E16" s="8" t="s">
        <v>97</v>
      </c>
      <c r="F16" s="8" t="s">
        <v>97</v>
      </c>
      <c r="G16" s="8" t="s">
        <v>97</v>
      </c>
      <c r="H16" s="8" t="s">
        <v>97</v>
      </c>
      <c r="I16" s="8" t="s">
        <v>97</v>
      </c>
      <c r="J16" s="8" t="s">
        <v>97</v>
      </c>
      <c r="K16" s="8" t="s">
        <v>97</v>
      </c>
      <c r="L16" s="8" t="s">
        <v>97</v>
      </c>
      <c r="M16" s="8" t="s">
        <v>97</v>
      </c>
      <c r="N16" s="8" t="s">
        <v>97</v>
      </c>
      <c r="O16" s="8">
        <f t="shared" si="0"/>
        <v>0</v>
      </c>
    </row>
    <row r="17" spans="1:15" x14ac:dyDescent="0.25">
      <c r="A17" s="5" t="str">
        <f>'Folha 1_13'!A17</f>
        <v>I53</v>
      </c>
      <c r="B17" s="6" t="str">
        <f>'Folha 1_13'!B17</f>
        <v>Qualificação de fornecedores (%)</v>
      </c>
      <c r="C17" s="7">
        <f>'Folha 1_13'!C17</f>
        <v>0</v>
      </c>
      <c r="D17" s="12"/>
      <c r="E17" s="8" t="s">
        <v>97</v>
      </c>
      <c r="F17" s="8" t="s">
        <v>97</v>
      </c>
      <c r="G17" s="8" t="s">
        <v>97</v>
      </c>
      <c r="H17" s="8" t="s">
        <v>97</v>
      </c>
      <c r="I17" s="8" t="s">
        <v>97</v>
      </c>
      <c r="J17" s="8" t="s">
        <v>97</v>
      </c>
      <c r="K17" s="8" t="s">
        <v>97</v>
      </c>
      <c r="L17" s="8" t="s">
        <v>97</v>
      </c>
      <c r="M17" s="8" t="s">
        <v>97</v>
      </c>
      <c r="N17" s="8" t="s">
        <v>97</v>
      </c>
      <c r="O17" s="8">
        <f t="shared" si="0"/>
        <v>0</v>
      </c>
    </row>
    <row r="18" spans="1:15" x14ac:dyDescent="0.25">
      <c r="A18" s="5" t="str">
        <f>'Folha 1_13'!A18</f>
        <v>I60</v>
      </c>
      <c r="B18" s="6" t="str">
        <f>'Folha 1_13'!B18</f>
        <v>Consumo de água (m3)</v>
      </c>
      <c r="C18" s="7">
        <f>'Folha 1_13'!C18</f>
        <v>0</v>
      </c>
      <c r="D18" s="21"/>
      <c r="E18" s="8" t="s">
        <v>97</v>
      </c>
      <c r="F18" s="8" t="s">
        <v>97</v>
      </c>
      <c r="G18" s="8" t="s">
        <v>97</v>
      </c>
      <c r="H18" s="8" t="s">
        <v>97</v>
      </c>
      <c r="I18" s="8" t="s">
        <v>97</v>
      </c>
      <c r="J18" s="8" t="s">
        <v>97</v>
      </c>
      <c r="K18" s="8" t="s">
        <v>97</v>
      </c>
      <c r="L18" s="8" t="s">
        <v>97</v>
      </c>
      <c r="M18" s="8" t="s">
        <v>97</v>
      </c>
      <c r="N18" s="8" t="s">
        <v>97</v>
      </c>
      <c r="O18" s="8">
        <f>SUM(C18:D18)</f>
        <v>0</v>
      </c>
    </row>
    <row r="19" spans="1:15" x14ac:dyDescent="0.25">
      <c r="A19" s="5" t="str">
        <f>'Folha 1_13'!A19</f>
        <v>I61</v>
      </c>
      <c r="B19" s="6" t="str">
        <f>'Folha 1_13'!B19</f>
        <v>Consumo de energia elétrica (kWh)</v>
      </c>
      <c r="C19" s="7">
        <f>'Folha 1_13'!C19</f>
        <v>0</v>
      </c>
      <c r="D19" s="21"/>
      <c r="E19" s="8" t="s">
        <v>97</v>
      </c>
      <c r="F19" s="8" t="s">
        <v>97</v>
      </c>
      <c r="G19" s="8" t="s">
        <v>97</v>
      </c>
      <c r="H19" s="8" t="s">
        <v>97</v>
      </c>
      <c r="I19" s="8" t="s">
        <v>97</v>
      </c>
      <c r="J19" s="8" t="s">
        <v>97</v>
      </c>
      <c r="K19" s="8" t="s">
        <v>97</v>
      </c>
      <c r="L19" s="8" t="s">
        <v>97</v>
      </c>
      <c r="M19" s="8" t="s">
        <v>97</v>
      </c>
      <c r="N19" s="8" t="s">
        <v>97</v>
      </c>
      <c r="O19" s="8">
        <f t="shared" ref="O19:O23" si="1">SUM(C19:D19)</f>
        <v>0</v>
      </c>
    </row>
    <row r="20" spans="1:15" x14ac:dyDescent="0.25">
      <c r="A20" s="5" t="str">
        <f>'Folha 1_13'!A20</f>
        <v>I62</v>
      </c>
      <c r="B20" s="6" t="str">
        <f>'Folha 1_13'!B20</f>
        <v>Ações de conscientização - meio ambiente por ano (Nº)</v>
      </c>
      <c r="C20" s="7">
        <f>'Folha 1_13'!C20</f>
        <v>0</v>
      </c>
      <c r="D20" s="21"/>
      <c r="E20" s="8" t="s">
        <v>97</v>
      </c>
      <c r="F20" s="8" t="s">
        <v>97</v>
      </c>
      <c r="G20" s="8" t="s">
        <v>97</v>
      </c>
      <c r="H20" s="8" t="s">
        <v>97</v>
      </c>
      <c r="I20" s="8" t="s">
        <v>97</v>
      </c>
      <c r="J20" s="8" t="s">
        <v>97</v>
      </c>
      <c r="K20" s="8" t="s">
        <v>97</v>
      </c>
      <c r="L20" s="8" t="s">
        <v>97</v>
      </c>
      <c r="M20" s="8" t="s">
        <v>97</v>
      </c>
      <c r="N20" s="8" t="s">
        <v>97</v>
      </c>
      <c r="O20" s="8">
        <f t="shared" si="1"/>
        <v>0</v>
      </c>
    </row>
    <row r="21" spans="1:15" x14ac:dyDescent="0.25">
      <c r="A21" s="5" t="str">
        <f>'Folha 1_13'!A21</f>
        <v>I63</v>
      </c>
      <c r="B21" s="6" t="str">
        <f>'Folha 1_13'!B21</f>
        <v>Denúncias procedentes registradas pela CIC (Ética)</v>
      </c>
      <c r="C21" s="7">
        <f>'Folha 1_13'!C21</f>
        <v>0</v>
      </c>
      <c r="D21" s="21"/>
      <c r="E21" s="8" t="s">
        <v>97</v>
      </c>
      <c r="F21" s="8" t="s">
        <v>97</v>
      </c>
      <c r="G21" s="8" t="s">
        <v>97</v>
      </c>
      <c r="H21" s="8" t="s">
        <v>97</v>
      </c>
      <c r="I21" s="8" t="s">
        <v>97</v>
      </c>
      <c r="J21" s="8" t="s">
        <v>97</v>
      </c>
      <c r="K21" s="8" t="s">
        <v>97</v>
      </c>
      <c r="L21" s="8" t="s">
        <v>97</v>
      </c>
      <c r="M21" s="8" t="s">
        <v>97</v>
      </c>
      <c r="N21" s="8" t="s">
        <v>97</v>
      </c>
      <c r="O21" s="8">
        <f t="shared" si="1"/>
        <v>0</v>
      </c>
    </row>
    <row r="22" spans="1:15" x14ac:dyDescent="0.25">
      <c r="A22" s="5" t="str">
        <f>'Folha 1_13'!A22</f>
        <v>D95</v>
      </c>
      <c r="B22" s="6" t="str">
        <f>'Folha 1_13'!B22</f>
        <v>Inflação ano</v>
      </c>
      <c r="C22" s="7">
        <f>'Folha 1_13'!C22</f>
        <v>0</v>
      </c>
      <c r="D22" s="21"/>
      <c r="E22" s="8" t="s">
        <v>97</v>
      </c>
      <c r="F22" s="8" t="s">
        <v>97</v>
      </c>
      <c r="G22" s="8" t="s">
        <v>97</v>
      </c>
      <c r="H22" s="8" t="s">
        <v>97</v>
      </c>
      <c r="I22" s="8" t="s">
        <v>97</v>
      </c>
      <c r="J22" s="8" t="s">
        <v>97</v>
      </c>
      <c r="K22" s="8" t="s">
        <v>97</v>
      </c>
      <c r="L22" s="8" t="s">
        <v>97</v>
      </c>
      <c r="M22" s="8" t="s">
        <v>97</v>
      </c>
      <c r="N22" s="8" t="s">
        <v>97</v>
      </c>
      <c r="O22" s="8">
        <f t="shared" si="1"/>
        <v>0</v>
      </c>
    </row>
    <row r="23" spans="1:15" ht="25.5" x14ac:dyDescent="0.25">
      <c r="A23" s="5" t="str">
        <f>'Folha 1_13'!A23</f>
        <v>D78</v>
      </c>
      <c r="B23" s="6" t="str">
        <f>'Folha 1_13'!B23</f>
        <v>Número de não conformidades registradas em auditoria de terceria parte (NBR ISO 9001)</v>
      </c>
      <c r="C23" s="7">
        <f>'Folha 1_13'!C23</f>
        <v>0</v>
      </c>
      <c r="D23" s="12"/>
      <c r="E23" s="8" t="s">
        <v>97</v>
      </c>
      <c r="F23" s="8" t="s">
        <v>97</v>
      </c>
      <c r="G23" s="8" t="s">
        <v>97</v>
      </c>
      <c r="H23" s="8" t="s">
        <v>97</v>
      </c>
      <c r="I23" s="8" t="s">
        <v>97</v>
      </c>
      <c r="J23" s="8" t="s">
        <v>97</v>
      </c>
      <c r="K23" s="8" t="s">
        <v>97</v>
      </c>
      <c r="L23" s="8" t="s">
        <v>97</v>
      </c>
      <c r="M23" s="8" t="s">
        <v>97</v>
      </c>
      <c r="N23" s="8" t="s">
        <v>97</v>
      </c>
      <c r="O23" s="8">
        <f t="shared" si="1"/>
        <v>0</v>
      </c>
    </row>
    <row r="24" spans="1:15" x14ac:dyDescent="0.25">
      <c r="A24" s="32" t="s">
        <v>99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</row>
  </sheetData>
  <sheetProtection algorithmName="SHA-512" hashValue="OKbg4Up7RAngU87rsbitFQxn81tB5a9Za4bm7Njb1hX0OGL9RBv5TP6e8pcx86oQjyjoJo9JA5cHCtOWnjFAQw==" saltValue="SoI9Cia3nR1dpRfnlDrpTA==" spinCount="100000" sheet="1" formatCells="0" formatColumns="0" formatRows="0" autoFilter="0"/>
  <mergeCells count="12">
    <mergeCell ref="A24:O24"/>
    <mergeCell ref="A1:O1"/>
    <mergeCell ref="A3:E3"/>
    <mergeCell ref="F3:H3"/>
    <mergeCell ref="I3:O3"/>
    <mergeCell ref="A5:O5"/>
    <mergeCell ref="K6:O6"/>
    <mergeCell ref="K7:O7"/>
    <mergeCell ref="K8:O8"/>
    <mergeCell ref="K9:O9"/>
    <mergeCell ref="K10:O10"/>
    <mergeCell ref="A11:O11"/>
  </mergeCells>
  <pageMargins left="0.51181102362204722" right="0.51181102362204722" top="0.78740157480314965" bottom="0.78740157480314965" header="0.31496062992125984" footer="0.31496062992125984"/>
  <pageSetup paperSize="9" scale="7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>
    <tabColor theme="3"/>
  </sheetPr>
  <dimension ref="A1:O24"/>
  <sheetViews>
    <sheetView view="pageBreakPreview" zoomScaleNormal="100" zoomScaleSheetLayoutView="100" workbookViewId="0">
      <selection activeCell="L20" sqref="L20"/>
    </sheetView>
  </sheetViews>
  <sheetFormatPr defaultRowHeight="15" x14ac:dyDescent="0.25"/>
  <cols>
    <col min="1" max="1" width="5.42578125" style="10" customWidth="1"/>
    <col min="2" max="2" width="44.140625" style="11" customWidth="1"/>
    <col min="3" max="15" width="9.140625" style="11" customWidth="1"/>
  </cols>
  <sheetData>
    <row r="1" spans="1:15" ht="24" customHeight="1" thickBot="1" x14ac:dyDescent="0.3">
      <c r="A1" s="22" t="s">
        <v>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4"/>
    </row>
    <row r="3" spans="1:15" ht="18.75" customHeight="1" x14ac:dyDescent="0.25">
      <c r="A3" s="26" t="str">
        <f>'Folha 1_13'!$A$3</f>
        <v>ANO:</v>
      </c>
      <c r="B3" s="26"/>
      <c r="C3" s="26"/>
      <c r="D3" s="26"/>
      <c r="E3" s="26"/>
      <c r="F3" s="26" t="s">
        <v>31</v>
      </c>
      <c r="G3" s="26"/>
      <c r="H3" s="26"/>
      <c r="I3" s="25" t="s">
        <v>25</v>
      </c>
      <c r="J3" s="25"/>
      <c r="K3" s="25"/>
      <c r="L3" s="25"/>
      <c r="M3" s="25"/>
      <c r="N3" s="25"/>
      <c r="O3" s="25"/>
    </row>
    <row r="4" spans="1:15" ht="18.7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18.75" customHeight="1" x14ac:dyDescent="0.25">
      <c r="A5" s="34" t="s">
        <v>22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</row>
    <row r="6" spans="1:15" ht="14.25" customHeight="1" x14ac:dyDescent="0.25">
      <c r="A6" s="4" t="s">
        <v>1</v>
      </c>
      <c r="B6" s="4" t="s">
        <v>0</v>
      </c>
      <c r="C6" s="4" t="s">
        <v>26</v>
      </c>
      <c r="D6" s="4" t="s">
        <v>27</v>
      </c>
      <c r="E6" s="4" t="s">
        <v>4</v>
      </c>
      <c r="F6" s="4" t="s">
        <v>20</v>
      </c>
      <c r="G6" s="4" t="s">
        <v>6</v>
      </c>
      <c r="H6" s="4" t="s">
        <v>5</v>
      </c>
      <c r="I6" s="4" t="s">
        <v>21</v>
      </c>
      <c r="J6" s="4" t="s">
        <v>3</v>
      </c>
      <c r="K6" s="36" t="s">
        <v>28</v>
      </c>
      <c r="L6" s="36"/>
      <c r="M6" s="36"/>
      <c r="N6" s="36"/>
      <c r="O6" s="36"/>
    </row>
    <row r="7" spans="1:15" ht="23.25" customHeight="1" x14ac:dyDescent="0.25">
      <c r="A7" s="5" t="str">
        <f>'Folha 1_13'!A7</f>
        <v>I46</v>
      </c>
      <c r="B7" s="6" t="str">
        <f>'Folha 1_13'!B7</f>
        <v>SAC solucionadas (%)</v>
      </c>
      <c r="C7" s="14"/>
      <c r="D7" s="14"/>
      <c r="E7" s="14"/>
      <c r="F7" s="14"/>
      <c r="G7" s="14"/>
      <c r="H7" s="14"/>
      <c r="I7" s="14"/>
      <c r="J7" s="15"/>
      <c r="K7" s="27" t="s">
        <v>104</v>
      </c>
      <c r="L7" s="28"/>
      <c r="M7" s="28"/>
      <c r="N7" s="28"/>
      <c r="O7" s="28"/>
    </row>
    <row r="8" spans="1:15" ht="27" customHeight="1" x14ac:dyDescent="0.25">
      <c r="A8" s="5" t="str">
        <f>'Folha 1_13'!A8</f>
        <v>I47</v>
      </c>
      <c r="B8" s="6" t="str">
        <f>'Folha 1_13'!B8</f>
        <v>SAP solucionadas (%)</v>
      </c>
      <c r="C8" s="14"/>
      <c r="D8" s="14"/>
      <c r="E8" s="14"/>
      <c r="F8" s="14"/>
      <c r="G8" s="14"/>
      <c r="H8" s="14"/>
      <c r="I8" s="14"/>
      <c r="J8" s="15"/>
      <c r="K8" s="27" t="s">
        <v>104</v>
      </c>
      <c r="L8" s="28"/>
      <c r="M8" s="28"/>
      <c r="N8" s="28"/>
      <c r="O8" s="28"/>
    </row>
    <row r="9" spans="1:15" ht="27" customHeight="1" x14ac:dyDescent="0.25">
      <c r="A9" s="5" t="str">
        <f>'Folha 1_13'!A9</f>
        <v>I48</v>
      </c>
      <c r="B9" s="6" t="str">
        <f>'Folha 1_13'!B9</f>
        <v>NCBI solucionadas (%)</v>
      </c>
      <c r="C9" s="14"/>
      <c r="D9" s="14"/>
      <c r="E9" s="14"/>
      <c r="F9" s="14"/>
      <c r="G9" s="14"/>
      <c r="H9" s="14"/>
      <c r="I9" s="14"/>
      <c r="J9" s="15"/>
      <c r="K9" s="27" t="s">
        <v>104</v>
      </c>
      <c r="L9" s="28"/>
      <c r="M9" s="28"/>
      <c r="N9" s="28"/>
      <c r="O9" s="28"/>
    </row>
    <row r="10" spans="1:15" ht="25.5" customHeight="1" x14ac:dyDescent="0.25">
      <c r="A10" s="5" t="str">
        <f>'Folha 1_13'!A10</f>
        <v>------</v>
      </c>
      <c r="B10" s="6" t="str">
        <f>'Folha 1_13'!B10</f>
        <v>Número de gestores</v>
      </c>
      <c r="C10" s="2"/>
      <c r="D10" s="2"/>
      <c r="E10" s="2"/>
      <c r="F10" s="2"/>
      <c r="G10" s="2"/>
      <c r="H10" s="2"/>
      <c r="I10" s="2"/>
      <c r="J10" s="2"/>
      <c r="K10" s="27" t="s">
        <v>104</v>
      </c>
      <c r="L10" s="28"/>
      <c r="M10" s="28"/>
      <c r="N10" s="28"/>
      <c r="O10" s="28"/>
    </row>
    <row r="11" spans="1:15" x14ac:dyDescent="0.25">
      <c r="A11" s="35" t="s">
        <v>23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</row>
    <row r="12" spans="1:15" x14ac:dyDescent="0.25">
      <c r="A12" s="4" t="s">
        <v>1</v>
      </c>
      <c r="B12" s="4" t="s">
        <v>0</v>
      </c>
      <c r="C12" s="4" t="s">
        <v>7</v>
      </c>
      <c r="D12" s="4" t="s">
        <v>8</v>
      </c>
      <c r="E12" s="4" t="s">
        <v>9</v>
      </c>
      <c r="F12" s="4" t="s">
        <v>10</v>
      </c>
      <c r="G12" s="4" t="s">
        <v>11</v>
      </c>
      <c r="H12" s="4" t="s">
        <v>12</v>
      </c>
      <c r="I12" s="4" t="s">
        <v>13</v>
      </c>
      <c r="J12" s="4" t="s">
        <v>14</v>
      </c>
      <c r="K12" s="4" t="s">
        <v>15</v>
      </c>
      <c r="L12" s="4" t="s">
        <v>16</v>
      </c>
      <c r="M12" s="4" t="s">
        <v>17</v>
      </c>
      <c r="N12" s="4" t="s">
        <v>18</v>
      </c>
      <c r="O12" s="4" t="s">
        <v>19</v>
      </c>
    </row>
    <row r="13" spans="1:15" ht="25.5" x14ac:dyDescent="0.25">
      <c r="A13" s="5" t="str">
        <f>'Folha 1_13'!A13</f>
        <v>I12</v>
      </c>
      <c r="B13" s="6" t="str">
        <f>'Folha 1_13'!B13</f>
        <v xml:space="preserve">Cumprimento às exigências fiscais municipais, federais e estaduais (número de falhas) </v>
      </c>
      <c r="C13" s="7">
        <f>'Folha 1_13'!C13</f>
        <v>0</v>
      </c>
      <c r="D13" s="7">
        <f>'Folha 2_13 '!D13</f>
        <v>0</v>
      </c>
      <c r="E13" s="16"/>
      <c r="F13" s="8" t="s">
        <v>97</v>
      </c>
      <c r="G13" s="8" t="s">
        <v>97</v>
      </c>
      <c r="H13" s="8" t="s">
        <v>97</v>
      </c>
      <c r="I13" s="8" t="s">
        <v>97</v>
      </c>
      <c r="J13" s="8" t="s">
        <v>97</v>
      </c>
      <c r="K13" s="8" t="s">
        <v>97</v>
      </c>
      <c r="L13" s="8" t="s">
        <v>97</v>
      </c>
      <c r="M13" s="8" t="s">
        <v>97</v>
      </c>
      <c r="N13" s="8" t="s">
        <v>97</v>
      </c>
      <c r="O13" s="8">
        <f>E13</f>
        <v>0</v>
      </c>
    </row>
    <row r="14" spans="1:15" ht="25.5" x14ac:dyDescent="0.25">
      <c r="A14" s="5" t="str">
        <f>'Folha 1_13'!A14</f>
        <v>I49</v>
      </c>
      <c r="B14" s="6" t="str">
        <f>'Folha 1_13'!B14</f>
        <v>Ensaios acreditados na ABNT NBR ISO/IEC 17025. (Nº)</v>
      </c>
      <c r="C14" s="7">
        <f>'Folha 1_13'!C14</f>
        <v>0</v>
      </c>
      <c r="D14" s="7">
        <f>'Folha 2_13 '!D14</f>
        <v>0</v>
      </c>
      <c r="E14" s="16"/>
      <c r="F14" s="8" t="s">
        <v>97</v>
      </c>
      <c r="G14" s="8" t="s">
        <v>97</v>
      </c>
      <c r="H14" s="8" t="s">
        <v>97</v>
      </c>
      <c r="I14" s="8" t="s">
        <v>97</v>
      </c>
      <c r="J14" s="8" t="s">
        <v>97</v>
      </c>
      <c r="K14" s="8" t="s">
        <v>97</v>
      </c>
      <c r="L14" s="8" t="s">
        <v>97</v>
      </c>
      <c r="M14" s="8" t="s">
        <v>97</v>
      </c>
      <c r="N14" s="8" t="s">
        <v>97</v>
      </c>
      <c r="O14" s="8">
        <f t="shared" ref="O14:O17" si="0">E14</f>
        <v>0</v>
      </c>
    </row>
    <row r="15" spans="1:15" x14ac:dyDescent="0.25">
      <c r="A15" s="5" t="str">
        <f>'Folha 1_13'!A15</f>
        <v>I50</v>
      </c>
      <c r="B15" s="6" t="str">
        <f>'Folha 1_13'!B15</f>
        <v>Habilitação do Ital junto à Reblas - Anvisa</v>
      </c>
      <c r="C15" s="7">
        <f>'Folha 1_13'!C15</f>
        <v>0</v>
      </c>
      <c r="D15" s="7">
        <f>'Folha 2_13 '!D15</f>
        <v>0</v>
      </c>
      <c r="E15" s="16"/>
      <c r="F15" s="8" t="s">
        <v>97</v>
      </c>
      <c r="G15" s="8" t="s">
        <v>97</v>
      </c>
      <c r="H15" s="8" t="s">
        <v>97</v>
      </c>
      <c r="I15" s="8" t="s">
        <v>97</v>
      </c>
      <c r="J15" s="8" t="s">
        <v>97</v>
      </c>
      <c r="K15" s="8" t="s">
        <v>97</v>
      </c>
      <c r="L15" s="8" t="s">
        <v>97</v>
      </c>
      <c r="M15" s="8" t="s">
        <v>97</v>
      </c>
      <c r="N15" s="8" t="s">
        <v>97</v>
      </c>
      <c r="O15" s="8">
        <f t="shared" si="0"/>
        <v>0</v>
      </c>
    </row>
    <row r="16" spans="1:15" ht="25.5" x14ac:dyDescent="0.25">
      <c r="A16" s="5" t="str">
        <f>'Folha 1_13'!A16</f>
        <v>I51</v>
      </c>
      <c r="B16" s="6" t="str">
        <f>'Folha 1_13'!B16</f>
        <v>Certificação do Sistema de Gestão da Qualidade - NBR ISO 9001 (Nº)</v>
      </c>
      <c r="C16" s="7">
        <f>'Folha 1_13'!C16</f>
        <v>0</v>
      </c>
      <c r="D16" s="7">
        <f>'Folha 2_13 '!D16</f>
        <v>0</v>
      </c>
      <c r="E16" s="16"/>
      <c r="F16" s="8" t="s">
        <v>97</v>
      </c>
      <c r="G16" s="8" t="s">
        <v>97</v>
      </c>
      <c r="H16" s="8" t="s">
        <v>97</v>
      </c>
      <c r="I16" s="8" t="s">
        <v>97</v>
      </c>
      <c r="J16" s="8" t="s">
        <v>97</v>
      </c>
      <c r="K16" s="8" t="s">
        <v>97</v>
      </c>
      <c r="L16" s="8" t="s">
        <v>97</v>
      </c>
      <c r="M16" s="8" t="s">
        <v>97</v>
      </c>
      <c r="N16" s="8" t="s">
        <v>97</v>
      </c>
      <c r="O16" s="8">
        <f t="shared" si="0"/>
        <v>0</v>
      </c>
    </row>
    <row r="17" spans="1:15" x14ac:dyDescent="0.25">
      <c r="A17" s="5" t="str">
        <f>'Folha 1_13'!A17</f>
        <v>I53</v>
      </c>
      <c r="B17" s="6" t="str">
        <f>'Folha 1_13'!B17</f>
        <v>Qualificação de fornecedores (%)</v>
      </c>
      <c r="C17" s="7">
        <f>'Folha 1_13'!C17</f>
        <v>0</v>
      </c>
      <c r="D17" s="7">
        <f>'Folha 2_13 '!D17</f>
        <v>0</v>
      </c>
      <c r="E17" s="16"/>
      <c r="F17" s="8" t="s">
        <v>97</v>
      </c>
      <c r="G17" s="8" t="s">
        <v>97</v>
      </c>
      <c r="H17" s="8" t="s">
        <v>97</v>
      </c>
      <c r="I17" s="8" t="s">
        <v>97</v>
      </c>
      <c r="J17" s="8" t="s">
        <v>97</v>
      </c>
      <c r="K17" s="8" t="s">
        <v>97</v>
      </c>
      <c r="L17" s="8" t="s">
        <v>97</v>
      </c>
      <c r="M17" s="8" t="s">
        <v>97</v>
      </c>
      <c r="N17" s="8" t="s">
        <v>97</v>
      </c>
      <c r="O17" s="8">
        <f t="shared" si="0"/>
        <v>0</v>
      </c>
    </row>
    <row r="18" spans="1:15" x14ac:dyDescent="0.25">
      <c r="A18" s="5" t="str">
        <f>'Folha 1_13'!A18</f>
        <v>I60</v>
      </c>
      <c r="B18" s="6" t="str">
        <f>'Folha 1_13'!B18</f>
        <v>Consumo de água (m3)</v>
      </c>
      <c r="C18" s="7">
        <f>'Folha 1_13'!C18</f>
        <v>0</v>
      </c>
      <c r="D18" s="7">
        <f>'Folha 2_13 '!D18</f>
        <v>0</v>
      </c>
      <c r="E18" s="16"/>
      <c r="F18" s="8" t="s">
        <v>97</v>
      </c>
      <c r="G18" s="8" t="s">
        <v>97</v>
      </c>
      <c r="H18" s="8" t="s">
        <v>97</v>
      </c>
      <c r="I18" s="8" t="s">
        <v>97</v>
      </c>
      <c r="J18" s="8" t="s">
        <v>97</v>
      </c>
      <c r="K18" s="8" t="s">
        <v>97</v>
      </c>
      <c r="L18" s="8" t="s">
        <v>97</v>
      </c>
      <c r="M18" s="8" t="s">
        <v>97</v>
      </c>
      <c r="N18" s="8" t="s">
        <v>97</v>
      </c>
      <c r="O18" s="8">
        <f>SUM(C18:E18)</f>
        <v>0</v>
      </c>
    </row>
    <row r="19" spans="1:15" x14ac:dyDescent="0.25">
      <c r="A19" s="5" t="str">
        <f>'Folha 1_13'!A19</f>
        <v>I61</v>
      </c>
      <c r="B19" s="6" t="str">
        <f>'Folha 1_13'!B19</f>
        <v>Consumo de energia elétrica (kWh)</v>
      </c>
      <c r="C19" s="7">
        <f>'Folha 1_13'!C19</f>
        <v>0</v>
      </c>
      <c r="D19" s="7">
        <f>'Folha 2_13 '!D19</f>
        <v>0</v>
      </c>
      <c r="E19" s="16"/>
      <c r="F19" s="8" t="s">
        <v>97</v>
      </c>
      <c r="G19" s="8" t="s">
        <v>97</v>
      </c>
      <c r="H19" s="8" t="s">
        <v>97</v>
      </c>
      <c r="I19" s="8" t="s">
        <v>97</v>
      </c>
      <c r="J19" s="8" t="s">
        <v>97</v>
      </c>
      <c r="K19" s="8" t="s">
        <v>97</v>
      </c>
      <c r="L19" s="8" t="s">
        <v>97</v>
      </c>
      <c r="M19" s="8" t="s">
        <v>97</v>
      </c>
      <c r="N19" s="8" t="s">
        <v>97</v>
      </c>
      <c r="O19" s="8">
        <f t="shared" ref="O19:O20" si="1">SUM(C19:E19)</f>
        <v>0</v>
      </c>
    </row>
    <row r="20" spans="1:15" ht="27" customHeight="1" x14ac:dyDescent="0.25">
      <c r="A20" s="5" t="str">
        <f>'Folha 1_13'!A20</f>
        <v>I62</v>
      </c>
      <c r="B20" s="6" t="str">
        <f>'Folha 1_13'!B20</f>
        <v>Ações de conscientização - meio ambiente por ano (Nº)</v>
      </c>
      <c r="C20" s="7">
        <f>'Folha 1_13'!C20</f>
        <v>0</v>
      </c>
      <c r="D20" s="7">
        <f>'Folha 2_13 '!D20</f>
        <v>0</v>
      </c>
      <c r="E20" s="16"/>
      <c r="F20" s="8" t="s">
        <v>97</v>
      </c>
      <c r="G20" s="8" t="s">
        <v>97</v>
      </c>
      <c r="H20" s="8" t="s">
        <v>97</v>
      </c>
      <c r="I20" s="8" t="s">
        <v>97</v>
      </c>
      <c r="J20" s="8" t="s">
        <v>97</v>
      </c>
      <c r="K20" s="8" t="s">
        <v>97</v>
      </c>
      <c r="L20" s="8" t="s">
        <v>97</v>
      </c>
      <c r="M20" s="8" t="s">
        <v>97</v>
      </c>
      <c r="N20" s="8" t="s">
        <v>97</v>
      </c>
      <c r="O20" s="8">
        <f t="shared" si="1"/>
        <v>0</v>
      </c>
    </row>
    <row r="21" spans="1:15" ht="27" customHeight="1" x14ac:dyDescent="0.25">
      <c r="A21" s="5" t="str">
        <f>'Folha 1_13'!A21</f>
        <v>I63</v>
      </c>
      <c r="B21" s="6" t="str">
        <f>'Folha 1_13'!B21</f>
        <v>Denúncias procedentes registradas pela CIC (Ética)</v>
      </c>
      <c r="C21" s="7">
        <f>'Folha 1_13'!C21</f>
        <v>0</v>
      </c>
      <c r="D21" s="7">
        <f>'Folha 2_13 '!D21</f>
        <v>0</v>
      </c>
      <c r="E21" s="16"/>
      <c r="F21" s="8" t="s">
        <v>97</v>
      </c>
      <c r="G21" s="8" t="s">
        <v>97</v>
      </c>
      <c r="H21" s="8" t="s">
        <v>97</v>
      </c>
      <c r="I21" s="8" t="s">
        <v>97</v>
      </c>
      <c r="J21" s="8" t="s">
        <v>97</v>
      </c>
      <c r="K21" s="8" t="s">
        <v>97</v>
      </c>
      <c r="L21" s="8" t="s">
        <v>97</v>
      </c>
      <c r="M21" s="8" t="s">
        <v>97</v>
      </c>
      <c r="N21" s="8" t="s">
        <v>97</v>
      </c>
      <c r="O21" s="8">
        <f t="shared" ref="O21" si="2">SUM(C21:E21)</f>
        <v>0</v>
      </c>
    </row>
    <row r="22" spans="1:15" x14ac:dyDescent="0.25">
      <c r="A22" s="5" t="str">
        <f>'Folha 1_13'!A22</f>
        <v>D95</v>
      </c>
      <c r="B22" s="6" t="str">
        <f>'Folha 1_13'!B22</f>
        <v>Inflação ano</v>
      </c>
      <c r="C22" s="7">
        <f>'Folha 1_13'!C21</f>
        <v>0</v>
      </c>
      <c r="D22" s="7">
        <f>'Folha 2_13 '!D21</f>
        <v>0</v>
      </c>
      <c r="E22" s="16"/>
      <c r="F22" s="8" t="s">
        <v>97</v>
      </c>
      <c r="G22" s="8" t="s">
        <v>97</v>
      </c>
      <c r="H22" s="8" t="s">
        <v>97</v>
      </c>
      <c r="I22" s="8" t="s">
        <v>97</v>
      </c>
      <c r="J22" s="8" t="s">
        <v>97</v>
      </c>
      <c r="K22" s="8" t="s">
        <v>97</v>
      </c>
      <c r="L22" s="8" t="s">
        <v>97</v>
      </c>
      <c r="M22" s="8" t="s">
        <v>97</v>
      </c>
      <c r="N22" s="8" t="s">
        <v>97</v>
      </c>
      <c r="O22" s="8">
        <f t="shared" ref="O22:O23" si="3">SUM(C22:E22)</f>
        <v>0</v>
      </c>
    </row>
    <row r="23" spans="1:15" ht="25.5" x14ac:dyDescent="0.25">
      <c r="A23" s="5" t="str">
        <f>'Folha 1_13'!A23</f>
        <v>D78</v>
      </c>
      <c r="B23" s="6" t="str">
        <f>'Folha 1_13'!B23</f>
        <v>Número de não conformidades registradas em auditoria de terceria parte (NBR ISO 9001)</v>
      </c>
      <c r="C23" s="7">
        <f>'Folha 1_13'!C22</f>
        <v>0</v>
      </c>
      <c r="D23" s="7">
        <f>'Folha 2_13 '!D22</f>
        <v>0</v>
      </c>
      <c r="E23" s="16"/>
      <c r="F23" s="8" t="s">
        <v>97</v>
      </c>
      <c r="G23" s="8" t="s">
        <v>97</v>
      </c>
      <c r="H23" s="8" t="s">
        <v>97</v>
      </c>
      <c r="I23" s="8" t="s">
        <v>97</v>
      </c>
      <c r="J23" s="8" t="s">
        <v>97</v>
      </c>
      <c r="K23" s="8" t="s">
        <v>97</v>
      </c>
      <c r="L23" s="8" t="s">
        <v>97</v>
      </c>
      <c r="M23" s="8" t="s">
        <v>97</v>
      </c>
      <c r="N23" s="8" t="s">
        <v>97</v>
      </c>
      <c r="O23" s="8">
        <f t="shared" si="3"/>
        <v>0</v>
      </c>
    </row>
    <row r="24" spans="1:15" x14ac:dyDescent="0.25">
      <c r="A24" s="32" t="s">
        <v>100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</row>
  </sheetData>
  <sheetProtection algorithmName="SHA-512" hashValue="AYJVfTz/4eXA3F3orBxXPpi7GNvtP10LFbWn5kqRkVpWecIZweIQvk91p963RVWw/MKvx+m7jJ/3n4iFdCJISw==" saltValue="QT2oyQ0H/x+hjGHeGzkapA==" spinCount="100000" sheet="1" formatCells="0" formatColumns="0" formatRows="0" autoFilter="0"/>
  <mergeCells count="12">
    <mergeCell ref="A11:O11"/>
    <mergeCell ref="A24:O24"/>
    <mergeCell ref="A1:O1"/>
    <mergeCell ref="A3:E3"/>
    <mergeCell ref="F3:H3"/>
    <mergeCell ref="I3:O3"/>
    <mergeCell ref="A5:O5"/>
    <mergeCell ref="K6:O6"/>
    <mergeCell ref="K7:O7"/>
    <mergeCell ref="K8:O8"/>
    <mergeCell ref="K10:O10"/>
    <mergeCell ref="K9:O9"/>
  </mergeCells>
  <pageMargins left="0.51181102362204722" right="0.51181102362204722" top="0.78740157480314965" bottom="0.78740157480314965" header="0.31496062992125984" footer="0.31496062992125984"/>
  <pageSetup paperSize="9"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4">
    <tabColor theme="3"/>
  </sheetPr>
  <dimension ref="A1:O24"/>
  <sheetViews>
    <sheetView view="pageBreakPreview" zoomScaleNormal="100" zoomScaleSheetLayoutView="100" workbookViewId="0">
      <selection activeCell="L20" sqref="L20"/>
    </sheetView>
  </sheetViews>
  <sheetFormatPr defaultRowHeight="15" x14ac:dyDescent="0.25"/>
  <cols>
    <col min="1" max="1" width="5.85546875" style="10" customWidth="1"/>
    <col min="2" max="2" width="44.140625" style="11" customWidth="1"/>
    <col min="3" max="15" width="9.140625" style="11" customWidth="1"/>
  </cols>
  <sheetData>
    <row r="1" spans="1:15" ht="24" customHeight="1" thickBot="1" x14ac:dyDescent="0.3">
      <c r="A1" s="22" t="s">
        <v>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4"/>
    </row>
    <row r="3" spans="1:15" ht="18.75" customHeight="1" x14ac:dyDescent="0.25">
      <c r="A3" s="26" t="str">
        <f>'Folha 1_13'!$A$3</f>
        <v>ANO:</v>
      </c>
      <c r="B3" s="26"/>
      <c r="C3" s="26"/>
      <c r="D3" s="26"/>
      <c r="E3" s="26"/>
      <c r="F3" s="26" t="s">
        <v>32</v>
      </c>
      <c r="G3" s="26"/>
      <c r="H3" s="26"/>
      <c r="I3" s="25" t="s">
        <v>25</v>
      </c>
      <c r="J3" s="25"/>
      <c r="K3" s="25"/>
      <c r="L3" s="25"/>
      <c r="M3" s="25"/>
      <c r="N3" s="25"/>
      <c r="O3" s="25"/>
    </row>
    <row r="4" spans="1:15" ht="18.7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18.75" customHeight="1" x14ac:dyDescent="0.25">
      <c r="A5" s="34" t="s">
        <v>22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</row>
    <row r="6" spans="1:15" ht="14.25" customHeight="1" x14ac:dyDescent="0.25">
      <c r="A6" s="4" t="s">
        <v>1</v>
      </c>
      <c r="B6" s="4" t="s">
        <v>0</v>
      </c>
      <c r="C6" s="4" t="s">
        <v>26</v>
      </c>
      <c r="D6" s="4" t="s">
        <v>27</v>
      </c>
      <c r="E6" s="4" t="s">
        <v>4</v>
      </c>
      <c r="F6" s="4" t="s">
        <v>20</v>
      </c>
      <c r="G6" s="4" t="s">
        <v>6</v>
      </c>
      <c r="H6" s="4" t="s">
        <v>5</v>
      </c>
      <c r="I6" s="4" t="s">
        <v>21</v>
      </c>
      <c r="J6" s="4" t="s">
        <v>3</v>
      </c>
      <c r="K6" s="36" t="s">
        <v>28</v>
      </c>
      <c r="L6" s="36"/>
      <c r="M6" s="36"/>
      <c r="N6" s="36"/>
      <c r="O6" s="36"/>
    </row>
    <row r="7" spans="1:15" ht="27" customHeight="1" x14ac:dyDescent="0.25">
      <c r="A7" s="5" t="str">
        <f>'Folha 1_13'!A7</f>
        <v>I46</v>
      </c>
      <c r="B7" s="6" t="str">
        <f>'Folha 1_13'!B7</f>
        <v>SAC solucionadas (%)</v>
      </c>
      <c r="C7" s="14"/>
      <c r="D7" s="14"/>
      <c r="E7" s="14"/>
      <c r="F7" s="14"/>
      <c r="G7" s="14"/>
      <c r="H7" s="14"/>
      <c r="I7" s="14"/>
      <c r="J7" s="15"/>
      <c r="K7" s="27" t="s">
        <v>104</v>
      </c>
      <c r="L7" s="28"/>
      <c r="M7" s="28"/>
      <c r="N7" s="28"/>
      <c r="O7" s="28"/>
    </row>
    <row r="8" spans="1:15" ht="27" customHeight="1" x14ac:dyDescent="0.25">
      <c r="A8" s="5" t="str">
        <f>'Folha 1_13'!A8</f>
        <v>I47</v>
      </c>
      <c r="B8" s="6" t="str">
        <f>'Folha 1_13'!B8</f>
        <v>SAP solucionadas (%)</v>
      </c>
      <c r="C8" s="14"/>
      <c r="D8" s="14"/>
      <c r="E8" s="14"/>
      <c r="F8" s="14"/>
      <c r="G8" s="14"/>
      <c r="H8" s="14"/>
      <c r="I8" s="14"/>
      <c r="J8" s="15"/>
      <c r="K8" s="27" t="s">
        <v>104</v>
      </c>
      <c r="L8" s="28"/>
      <c r="M8" s="28"/>
      <c r="N8" s="28"/>
      <c r="O8" s="28"/>
    </row>
    <row r="9" spans="1:15" ht="27" customHeight="1" x14ac:dyDescent="0.25">
      <c r="A9" s="5" t="str">
        <f>'Folha 1_13'!A9</f>
        <v>I48</v>
      </c>
      <c r="B9" s="6" t="str">
        <f>'Folha 1_13'!B9</f>
        <v>NCBI solucionadas (%)</v>
      </c>
      <c r="C9" s="14"/>
      <c r="D9" s="14"/>
      <c r="E9" s="14"/>
      <c r="F9" s="14"/>
      <c r="G9" s="14"/>
      <c r="H9" s="14"/>
      <c r="I9" s="14"/>
      <c r="J9" s="15"/>
      <c r="K9" s="27" t="s">
        <v>104</v>
      </c>
      <c r="L9" s="28"/>
      <c r="M9" s="28"/>
      <c r="N9" s="28"/>
      <c r="O9" s="28"/>
    </row>
    <row r="10" spans="1:15" ht="25.5" customHeight="1" x14ac:dyDescent="0.25">
      <c r="A10" s="5" t="str">
        <f>'Folha 1_13'!A10</f>
        <v>------</v>
      </c>
      <c r="B10" s="6" t="str">
        <f>'Folha 1_13'!B10</f>
        <v>Número de gestores</v>
      </c>
      <c r="C10" s="14"/>
      <c r="D10" s="14"/>
      <c r="E10" s="14"/>
      <c r="F10" s="14"/>
      <c r="G10" s="14"/>
      <c r="H10" s="14"/>
      <c r="I10" s="14"/>
      <c r="J10" s="15"/>
      <c r="K10" s="27" t="s">
        <v>104</v>
      </c>
      <c r="L10" s="28"/>
      <c r="M10" s="28"/>
      <c r="N10" s="28"/>
      <c r="O10" s="28"/>
    </row>
    <row r="11" spans="1:15" x14ac:dyDescent="0.25">
      <c r="A11" s="34" t="s">
        <v>23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</row>
    <row r="12" spans="1:15" x14ac:dyDescent="0.25">
      <c r="A12" s="4" t="s">
        <v>1</v>
      </c>
      <c r="B12" s="4" t="s">
        <v>0</v>
      </c>
      <c r="C12" s="4" t="s">
        <v>7</v>
      </c>
      <c r="D12" s="4" t="s">
        <v>8</v>
      </c>
      <c r="E12" s="4" t="s">
        <v>9</v>
      </c>
      <c r="F12" s="4" t="s">
        <v>10</v>
      </c>
      <c r="G12" s="4" t="s">
        <v>11</v>
      </c>
      <c r="H12" s="4" t="s">
        <v>12</v>
      </c>
      <c r="I12" s="4" t="s">
        <v>13</v>
      </c>
      <c r="J12" s="4" t="s">
        <v>14</v>
      </c>
      <c r="K12" s="4" t="s">
        <v>15</v>
      </c>
      <c r="L12" s="4" t="s">
        <v>16</v>
      </c>
      <c r="M12" s="4" t="s">
        <v>17</v>
      </c>
      <c r="N12" s="4" t="s">
        <v>18</v>
      </c>
      <c r="O12" s="4" t="s">
        <v>19</v>
      </c>
    </row>
    <row r="13" spans="1:15" ht="25.5" x14ac:dyDescent="0.25">
      <c r="A13" s="5" t="str">
        <f>'Folha 1_13'!A13</f>
        <v>I12</v>
      </c>
      <c r="B13" s="6" t="str">
        <f>'Folha 1_13'!B13</f>
        <v xml:space="preserve">Cumprimento às exigências fiscais municipais, federais e estaduais (número de falhas) </v>
      </c>
      <c r="C13" s="7">
        <f>'Folha 3_13'!C13</f>
        <v>0</v>
      </c>
      <c r="D13" s="7">
        <f>'Folha 3_13'!D13</f>
        <v>0</v>
      </c>
      <c r="E13" s="7">
        <f>'Folha 3_13'!E13</f>
        <v>0</v>
      </c>
      <c r="F13" s="16"/>
      <c r="G13" s="8" t="s">
        <v>97</v>
      </c>
      <c r="H13" s="8" t="s">
        <v>97</v>
      </c>
      <c r="I13" s="8" t="s">
        <v>97</v>
      </c>
      <c r="J13" s="8" t="s">
        <v>97</v>
      </c>
      <c r="K13" s="8" t="s">
        <v>97</v>
      </c>
      <c r="L13" s="8" t="s">
        <v>97</v>
      </c>
      <c r="M13" s="8" t="s">
        <v>97</v>
      </c>
      <c r="N13" s="8" t="s">
        <v>97</v>
      </c>
      <c r="O13" s="8">
        <f>F13</f>
        <v>0</v>
      </c>
    </row>
    <row r="14" spans="1:15" ht="25.5" x14ac:dyDescent="0.25">
      <c r="A14" s="5" t="str">
        <f>'Folha 1_13'!A14</f>
        <v>I49</v>
      </c>
      <c r="B14" s="6" t="str">
        <f>'Folha 1_13'!B14</f>
        <v>Ensaios acreditados na ABNT NBR ISO/IEC 17025. (Nº)</v>
      </c>
      <c r="C14" s="7">
        <f>'Folha 3_13'!C14</f>
        <v>0</v>
      </c>
      <c r="D14" s="7">
        <f>'Folha 3_13'!D14</f>
        <v>0</v>
      </c>
      <c r="E14" s="7">
        <f>'Folha 3_13'!E14</f>
        <v>0</v>
      </c>
      <c r="F14" s="16"/>
      <c r="G14" s="8" t="s">
        <v>97</v>
      </c>
      <c r="H14" s="8" t="s">
        <v>97</v>
      </c>
      <c r="I14" s="8" t="s">
        <v>97</v>
      </c>
      <c r="J14" s="8" t="s">
        <v>97</v>
      </c>
      <c r="K14" s="8" t="s">
        <v>97</v>
      </c>
      <c r="L14" s="8" t="s">
        <v>97</v>
      </c>
      <c r="M14" s="8" t="s">
        <v>97</v>
      </c>
      <c r="N14" s="8" t="s">
        <v>97</v>
      </c>
      <c r="O14" s="8">
        <f t="shared" ref="O14:O16" si="0">F14</f>
        <v>0</v>
      </c>
    </row>
    <row r="15" spans="1:15" x14ac:dyDescent="0.25">
      <c r="A15" s="5" t="str">
        <f>'Folha 1_13'!A15</f>
        <v>I50</v>
      </c>
      <c r="B15" s="6" t="str">
        <f>'Folha 1_13'!B15</f>
        <v>Habilitação do Ital junto à Reblas - Anvisa</v>
      </c>
      <c r="C15" s="7">
        <f>'Folha 3_13'!C15</f>
        <v>0</v>
      </c>
      <c r="D15" s="7">
        <f>'Folha 3_13'!D15</f>
        <v>0</v>
      </c>
      <c r="E15" s="7">
        <f>'Folha 3_13'!E15</f>
        <v>0</v>
      </c>
      <c r="F15" s="16"/>
      <c r="G15" s="8" t="s">
        <v>97</v>
      </c>
      <c r="H15" s="8" t="s">
        <v>97</v>
      </c>
      <c r="I15" s="8" t="s">
        <v>97</v>
      </c>
      <c r="J15" s="8" t="s">
        <v>97</v>
      </c>
      <c r="K15" s="8" t="s">
        <v>97</v>
      </c>
      <c r="L15" s="8" t="s">
        <v>97</v>
      </c>
      <c r="M15" s="8" t="s">
        <v>97</v>
      </c>
      <c r="N15" s="8" t="s">
        <v>97</v>
      </c>
      <c r="O15" s="8">
        <f t="shared" si="0"/>
        <v>0</v>
      </c>
    </row>
    <row r="16" spans="1:15" ht="25.5" x14ac:dyDescent="0.25">
      <c r="A16" s="5" t="str">
        <f>'Folha 1_13'!A16</f>
        <v>I51</v>
      </c>
      <c r="B16" s="6" t="str">
        <f>'Folha 1_13'!B16</f>
        <v>Certificação do Sistema de Gestão da Qualidade - NBR ISO 9001 (Nº)</v>
      </c>
      <c r="C16" s="7">
        <f>'Folha 3_13'!C16</f>
        <v>0</v>
      </c>
      <c r="D16" s="7">
        <f>'Folha 3_13'!D16</f>
        <v>0</v>
      </c>
      <c r="E16" s="7">
        <f>'Folha 3_13'!E16</f>
        <v>0</v>
      </c>
      <c r="F16" s="16"/>
      <c r="G16" s="8" t="s">
        <v>97</v>
      </c>
      <c r="H16" s="8" t="s">
        <v>97</v>
      </c>
      <c r="I16" s="8" t="s">
        <v>97</v>
      </c>
      <c r="J16" s="8" t="s">
        <v>97</v>
      </c>
      <c r="K16" s="8" t="s">
        <v>97</v>
      </c>
      <c r="L16" s="8" t="s">
        <v>97</v>
      </c>
      <c r="M16" s="8" t="s">
        <v>97</v>
      </c>
      <c r="N16" s="8" t="s">
        <v>97</v>
      </c>
      <c r="O16" s="8">
        <f t="shared" si="0"/>
        <v>0</v>
      </c>
    </row>
    <row r="17" spans="1:15" x14ac:dyDescent="0.25">
      <c r="A17" s="5" t="str">
        <f>'Folha 1_13'!A17</f>
        <v>I53</v>
      </c>
      <c r="B17" s="6" t="str">
        <f>'Folha 1_13'!B17</f>
        <v>Qualificação de fornecedores (%)</v>
      </c>
      <c r="C17" s="7">
        <f>'Folha 3_13'!C17</f>
        <v>0</v>
      </c>
      <c r="D17" s="7">
        <f>'Folha 3_13'!D17</f>
        <v>0</v>
      </c>
      <c r="E17" s="7">
        <f>'Folha 3_13'!E17</f>
        <v>0</v>
      </c>
      <c r="F17" s="16"/>
      <c r="G17" s="8" t="s">
        <v>97</v>
      </c>
      <c r="H17" s="8" t="s">
        <v>97</v>
      </c>
      <c r="I17" s="8" t="s">
        <v>97</v>
      </c>
      <c r="J17" s="8" t="s">
        <v>97</v>
      </c>
      <c r="K17" s="8" t="s">
        <v>97</v>
      </c>
      <c r="L17" s="8" t="s">
        <v>97</v>
      </c>
      <c r="M17" s="8" t="s">
        <v>97</v>
      </c>
      <c r="N17" s="8" t="s">
        <v>97</v>
      </c>
      <c r="O17" s="8">
        <f>F17</f>
        <v>0</v>
      </c>
    </row>
    <row r="18" spans="1:15" x14ac:dyDescent="0.25">
      <c r="A18" s="5" t="str">
        <f>'Folha 1_13'!A18</f>
        <v>I60</v>
      </c>
      <c r="B18" s="6" t="str">
        <f>'Folha 1_13'!B18</f>
        <v>Consumo de água (m3)</v>
      </c>
      <c r="C18" s="7">
        <f>'Folha 3_13'!C18</f>
        <v>0</v>
      </c>
      <c r="D18" s="7">
        <f>'Folha 3_13'!D18</f>
        <v>0</v>
      </c>
      <c r="E18" s="7">
        <f>'Folha 3_13'!E18</f>
        <v>0</v>
      </c>
      <c r="F18" s="16"/>
      <c r="G18" s="8" t="s">
        <v>97</v>
      </c>
      <c r="H18" s="8" t="s">
        <v>97</v>
      </c>
      <c r="I18" s="8" t="s">
        <v>97</v>
      </c>
      <c r="J18" s="8" t="s">
        <v>97</v>
      </c>
      <c r="K18" s="8" t="s">
        <v>97</v>
      </c>
      <c r="L18" s="8" t="s">
        <v>97</v>
      </c>
      <c r="M18" s="8" t="s">
        <v>97</v>
      </c>
      <c r="N18" s="8" t="s">
        <v>97</v>
      </c>
      <c r="O18" s="8">
        <f>SUM(C18:F18)</f>
        <v>0</v>
      </c>
    </row>
    <row r="19" spans="1:15" x14ac:dyDescent="0.25">
      <c r="A19" s="5" t="str">
        <f>'Folha 1_13'!A19</f>
        <v>I61</v>
      </c>
      <c r="B19" s="6" t="str">
        <f>'Folha 1_13'!B19</f>
        <v>Consumo de energia elétrica (kWh)</v>
      </c>
      <c r="C19" s="7">
        <f>'Folha 3_13'!C19</f>
        <v>0</v>
      </c>
      <c r="D19" s="7">
        <f>'Folha 3_13'!D19</f>
        <v>0</v>
      </c>
      <c r="E19" s="7">
        <f>'Folha 3_13'!E19</f>
        <v>0</v>
      </c>
      <c r="F19" s="16"/>
      <c r="G19" s="8" t="s">
        <v>97</v>
      </c>
      <c r="H19" s="8" t="s">
        <v>97</v>
      </c>
      <c r="I19" s="8" t="s">
        <v>97</v>
      </c>
      <c r="J19" s="8" t="s">
        <v>97</v>
      </c>
      <c r="K19" s="8" t="s">
        <v>97</v>
      </c>
      <c r="L19" s="8" t="s">
        <v>97</v>
      </c>
      <c r="M19" s="8" t="s">
        <v>97</v>
      </c>
      <c r="N19" s="8" t="s">
        <v>97</v>
      </c>
      <c r="O19" s="8">
        <f t="shared" ref="O19:O20" si="1">SUM(C19:F19)</f>
        <v>0</v>
      </c>
    </row>
    <row r="20" spans="1:15" ht="25.5" x14ac:dyDescent="0.25">
      <c r="A20" s="5" t="str">
        <f>'Folha 1_13'!A20</f>
        <v>I62</v>
      </c>
      <c r="B20" s="6" t="str">
        <f>'Folha 1_13'!B20</f>
        <v>Ações de conscientização - meio ambiente por ano (Nº)</v>
      </c>
      <c r="C20" s="7">
        <f>'Folha 3_13'!C20</f>
        <v>0</v>
      </c>
      <c r="D20" s="7">
        <f>'Folha 3_13'!D20</f>
        <v>0</v>
      </c>
      <c r="E20" s="7">
        <f>'Folha 3_13'!E20</f>
        <v>0</v>
      </c>
      <c r="F20" s="16"/>
      <c r="G20" s="8" t="s">
        <v>97</v>
      </c>
      <c r="H20" s="8" t="s">
        <v>97</v>
      </c>
      <c r="I20" s="8" t="s">
        <v>97</v>
      </c>
      <c r="J20" s="8" t="s">
        <v>97</v>
      </c>
      <c r="K20" s="8" t="s">
        <v>97</v>
      </c>
      <c r="L20" s="8" t="s">
        <v>97</v>
      </c>
      <c r="M20" s="8" t="s">
        <v>97</v>
      </c>
      <c r="N20" s="8" t="s">
        <v>97</v>
      </c>
      <c r="O20" s="8">
        <f t="shared" si="1"/>
        <v>0</v>
      </c>
    </row>
    <row r="21" spans="1:15" ht="25.5" x14ac:dyDescent="0.25">
      <c r="A21" s="5" t="str">
        <f>'Folha 1_13'!A21</f>
        <v>I63</v>
      </c>
      <c r="B21" s="6" t="str">
        <f>'Folha 1_13'!B21</f>
        <v>Denúncias procedentes registradas pela CIC (Ética)</v>
      </c>
      <c r="C21" s="7">
        <f>'Folha 3_13'!C22</f>
        <v>0</v>
      </c>
      <c r="D21" s="7">
        <f>'Folha 3_13'!D22</f>
        <v>0</v>
      </c>
      <c r="E21" s="7">
        <f>'Folha 3_13'!E22</f>
        <v>0</v>
      </c>
      <c r="F21" s="16"/>
      <c r="G21" s="8" t="s">
        <v>97</v>
      </c>
      <c r="H21" s="8" t="s">
        <v>97</v>
      </c>
      <c r="I21" s="8" t="s">
        <v>97</v>
      </c>
      <c r="J21" s="8" t="s">
        <v>97</v>
      </c>
      <c r="K21" s="8" t="s">
        <v>97</v>
      </c>
      <c r="L21" s="8" t="s">
        <v>97</v>
      </c>
      <c r="M21" s="8" t="s">
        <v>97</v>
      </c>
      <c r="N21" s="8" t="s">
        <v>97</v>
      </c>
      <c r="O21" s="8">
        <f t="shared" ref="O21" si="2">SUM(C21:F21)</f>
        <v>0</v>
      </c>
    </row>
    <row r="22" spans="1:15" x14ac:dyDescent="0.25">
      <c r="A22" s="5" t="str">
        <f>'Folha 1_13'!A22</f>
        <v>D95</v>
      </c>
      <c r="B22" s="6" t="str">
        <f>'Folha 1_13'!B22</f>
        <v>Inflação ano</v>
      </c>
      <c r="C22" s="7">
        <f>'Folha 3_13'!C22</f>
        <v>0</v>
      </c>
      <c r="D22" s="7">
        <f>'Folha 3_13'!D22</f>
        <v>0</v>
      </c>
      <c r="E22" s="7">
        <f>'Folha 3_13'!E22</f>
        <v>0</v>
      </c>
      <c r="F22" s="16"/>
      <c r="G22" s="8" t="s">
        <v>97</v>
      </c>
      <c r="H22" s="8" t="s">
        <v>97</v>
      </c>
      <c r="I22" s="8" t="s">
        <v>97</v>
      </c>
      <c r="J22" s="8" t="s">
        <v>97</v>
      </c>
      <c r="K22" s="8" t="s">
        <v>97</v>
      </c>
      <c r="L22" s="8" t="s">
        <v>97</v>
      </c>
      <c r="M22" s="8" t="s">
        <v>97</v>
      </c>
      <c r="N22" s="8" t="s">
        <v>97</v>
      </c>
      <c r="O22" s="8">
        <f t="shared" ref="O22:O23" si="3">SUM(C22:F22)</f>
        <v>0</v>
      </c>
    </row>
    <row r="23" spans="1:15" ht="25.5" x14ac:dyDescent="0.25">
      <c r="A23" s="5" t="str">
        <f>'Folha 1_13'!A23</f>
        <v>D78</v>
      </c>
      <c r="B23" s="6" t="str">
        <f>'Folha 1_13'!B23</f>
        <v>Número de não conformidades registradas em auditoria de terceria parte (NBR ISO 9001)</v>
      </c>
      <c r="C23" s="7">
        <f>'Folha 3_13'!C23</f>
        <v>0</v>
      </c>
      <c r="D23" s="7">
        <f>'Folha 3_13'!D23</f>
        <v>0</v>
      </c>
      <c r="E23" s="7">
        <f>'Folha 3_13'!E23</f>
        <v>0</v>
      </c>
      <c r="F23" s="16"/>
      <c r="G23" s="8" t="s">
        <v>97</v>
      </c>
      <c r="H23" s="8" t="s">
        <v>97</v>
      </c>
      <c r="I23" s="8" t="s">
        <v>97</v>
      </c>
      <c r="J23" s="8" t="s">
        <v>97</v>
      </c>
      <c r="K23" s="8" t="s">
        <v>97</v>
      </c>
      <c r="L23" s="8" t="s">
        <v>97</v>
      </c>
      <c r="M23" s="8" t="s">
        <v>97</v>
      </c>
      <c r="N23" s="8" t="s">
        <v>97</v>
      </c>
      <c r="O23" s="8">
        <f t="shared" si="3"/>
        <v>0</v>
      </c>
    </row>
    <row r="24" spans="1:15" x14ac:dyDescent="0.25">
      <c r="A24" s="32" t="s">
        <v>101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</row>
  </sheetData>
  <sheetProtection algorithmName="SHA-512" hashValue="rKu6+eJIYR78VmE8yT5xc0Yyn/T2me+2FfLOcuC3DC5CA/cZZj5Nvgt6D7Jl+8khO0pnKfZBsxSsi+AsppF/KA==" saltValue="YRSKg+QP9qojvoExtD28IQ==" spinCount="100000" sheet="1" formatCells="0" formatColumns="0" formatRows="0" autoFilter="0"/>
  <mergeCells count="12">
    <mergeCell ref="A11:O11"/>
    <mergeCell ref="A24:O24"/>
    <mergeCell ref="A1:O1"/>
    <mergeCell ref="A3:E3"/>
    <mergeCell ref="F3:H3"/>
    <mergeCell ref="I3:O3"/>
    <mergeCell ref="A5:O5"/>
    <mergeCell ref="K6:O6"/>
    <mergeCell ref="K7:O7"/>
    <mergeCell ref="K8:O8"/>
    <mergeCell ref="K10:O10"/>
    <mergeCell ref="K9:O9"/>
  </mergeCells>
  <pageMargins left="0.51181102362204722" right="0.51181102362204722" top="0.78740157480314965" bottom="0.78740157480314965" header="0.31496062992125984" footer="0.31496062992125984"/>
  <pageSetup paperSize="9" scale="6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14">
    <tabColor theme="3"/>
  </sheetPr>
  <dimension ref="A1:O24"/>
  <sheetViews>
    <sheetView view="pageBreakPreview" topLeftCell="A4" zoomScaleNormal="100" zoomScaleSheetLayoutView="100" workbookViewId="0">
      <selection activeCell="L20" sqref="L20"/>
    </sheetView>
  </sheetViews>
  <sheetFormatPr defaultRowHeight="15" x14ac:dyDescent="0.25"/>
  <cols>
    <col min="1" max="1" width="4.28515625" style="10" customWidth="1"/>
    <col min="2" max="2" width="44.140625" style="11" customWidth="1"/>
    <col min="3" max="15" width="9.140625" style="11" customWidth="1"/>
  </cols>
  <sheetData>
    <row r="1" spans="1:15" ht="24" customHeight="1" thickBot="1" x14ac:dyDescent="0.3">
      <c r="A1" s="22" t="s">
        <v>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4"/>
    </row>
    <row r="3" spans="1:15" ht="18.75" customHeight="1" x14ac:dyDescent="0.25">
      <c r="A3" s="26" t="str">
        <f>'Folha 1_13'!$A$3</f>
        <v>ANO:</v>
      </c>
      <c r="B3" s="26"/>
      <c r="C3" s="26"/>
      <c r="D3" s="26"/>
      <c r="E3" s="26"/>
      <c r="F3" s="26" t="s">
        <v>33</v>
      </c>
      <c r="G3" s="26"/>
      <c r="H3" s="26"/>
      <c r="I3" s="25" t="s">
        <v>25</v>
      </c>
      <c r="J3" s="25"/>
      <c r="K3" s="25"/>
      <c r="L3" s="25"/>
      <c r="M3" s="25"/>
      <c r="N3" s="25"/>
      <c r="O3" s="25"/>
    </row>
    <row r="4" spans="1:15" ht="18.7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18.75" customHeight="1" x14ac:dyDescent="0.25">
      <c r="A5" s="34" t="s">
        <v>22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</row>
    <row r="6" spans="1:15" ht="14.25" customHeight="1" x14ac:dyDescent="0.25">
      <c r="A6" s="4" t="s">
        <v>1</v>
      </c>
      <c r="B6" s="4" t="s">
        <v>0</v>
      </c>
      <c r="C6" s="4" t="s">
        <v>26</v>
      </c>
      <c r="D6" s="4" t="s">
        <v>27</v>
      </c>
      <c r="E6" s="4" t="s">
        <v>4</v>
      </c>
      <c r="F6" s="4" t="s">
        <v>20</v>
      </c>
      <c r="G6" s="4" t="s">
        <v>6</v>
      </c>
      <c r="H6" s="4" t="s">
        <v>5</v>
      </c>
      <c r="I6" s="4" t="s">
        <v>21</v>
      </c>
      <c r="J6" s="4" t="s">
        <v>3</v>
      </c>
      <c r="K6" s="36" t="s">
        <v>28</v>
      </c>
      <c r="L6" s="36"/>
      <c r="M6" s="36"/>
      <c r="N6" s="36"/>
      <c r="O6" s="36"/>
    </row>
    <row r="7" spans="1:15" ht="23.25" customHeight="1" x14ac:dyDescent="0.25">
      <c r="A7" s="5" t="str">
        <f>'Folha 1_13'!A7</f>
        <v>I46</v>
      </c>
      <c r="B7" s="6" t="str">
        <f>'Folha 1_13'!B7</f>
        <v>SAC solucionadas (%)</v>
      </c>
      <c r="C7" s="14"/>
      <c r="D7" s="14"/>
      <c r="E7" s="14"/>
      <c r="F7" s="14"/>
      <c r="G7" s="14"/>
      <c r="H7" s="14"/>
      <c r="I7" s="14"/>
      <c r="J7" s="15"/>
      <c r="K7" s="27" t="s">
        <v>104</v>
      </c>
      <c r="L7" s="28"/>
      <c r="M7" s="28"/>
      <c r="N7" s="28"/>
      <c r="O7" s="28"/>
    </row>
    <row r="8" spans="1:15" ht="23.25" customHeight="1" x14ac:dyDescent="0.25">
      <c r="A8" s="5" t="str">
        <f>'Folha 1_13'!A8</f>
        <v>I47</v>
      </c>
      <c r="B8" s="6" t="str">
        <f>'Folha 1_13'!B8</f>
        <v>SAP solucionadas (%)</v>
      </c>
      <c r="C8" s="14"/>
      <c r="D8" s="14"/>
      <c r="E8" s="14"/>
      <c r="F8" s="14"/>
      <c r="G8" s="14"/>
      <c r="H8" s="14"/>
      <c r="I8" s="14"/>
      <c r="J8" s="15"/>
      <c r="K8" s="27" t="s">
        <v>104</v>
      </c>
      <c r="L8" s="28"/>
      <c r="M8" s="28"/>
      <c r="N8" s="28"/>
      <c r="O8" s="28"/>
    </row>
    <row r="9" spans="1:15" ht="23.25" customHeight="1" x14ac:dyDescent="0.25">
      <c r="A9" s="5" t="str">
        <f>'Folha 1_13'!A9</f>
        <v>I48</v>
      </c>
      <c r="B9" s="6" t="str">
        <f>'Folha 1_13'!B9</f>
        <v>NCBI solucionadas (%)</v>
      </c>
      <c r="C9" s="14"/>
      <c r="D9" s="14"/>
      <c r="E9" s="14"/>
      <c r="F9" s="14"/>
      <c r="G9" s="14"/>
      <c r="H9" s="14"/>
      <c r="I9" s="14"/>
      <c r="J9" s="15"/>
      <c r="K9" s="27" t="s">
        <v>104</v>
      </c>
      <c r="L9" s="28"/>
      <c r="M9" s="28"/>
      <c r="N9" s="28"/>
      <c r="O9" s="28"/>
    </row>
    <row r="10" spans="1:15" ht="25.5" customHeight="1" x14ac:dyDescent="0.25">
      <c r="A10" s="5" t="str">
        <f>'Folha 1_13'!A10</f>
        <v>------</v>
      </c>
      <c r="B10" s="6" t="str">
        <f>'Folha 1_13'!B10</f>
        <v>Número de gestores</v>
      </c>
      <c r="C10" s="14"/>
      <c r="D10" s="14"/>
      <c r="E10" s="14"/>
      <c r="F10" s="14"/>
      <c r="G10" s="14"/>
      <c r="H10" s="14"/>
      <c r="I10" s="14"/>
      <c r="J10" s="15"/>
      <c r="K10" s="27" t="s">
        <v>104</v>
      </c>
      <c r="L10" s="28"/>
      <c r="M10" s="28"/>
      <c r="N10" s="28"/>
      <c r="O10" s="28"/>
    </row>
    <row r="11" spans="1:15" x14ac:dyDescent="0.25">
      <c r="A11" s="34" t="s">
        <v>23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</row>
    <row r="12" spans="1:15" x14ac:dyDescent="0.25">
      <c r="A12" s="4" t="s">
        <v>1</v>
      </c>
      <c r="B12" s="4" t="s">
        <v>0</v>
      </c>
      <c r="C12" s="4" t="s">
        <v>7</v>
      </c>
      <c r="D12" s="4" t="s">
        <v>8</v>
      </c>
      <c r="E12" s="4" t="s">
        <v>9</v>
      </c>
      <c r="F12" s="4" t="s">
        <v>10</v>
      </c>
      <c r="G12" s="4" t="s">
        <v>11</v>
      </c>
      <c r="H12" s="4" t="s">
        <v>12</v>
      </c>
      <c r="I12" s="4" t="s">
        <v>13</v>
      </c>
      <c r="J12" s="4" t="s">
        <v>14</v>
      </c>
      <c r="K12" s="4" t="s">
        <v>15</v>
      </c>
      <c r="L12" s="4" t="s">
        <v>16</v>
      </c>
      <c r="M12" s="4" t="s">
        <v>17</v>
      </c>
      <c r="N12" s="4" t="s">
        <v>18</v>
      </c>
      <c r="O12" s="4" t="s">
        <v>19</v>
      </c>
    </row>
    <row r="13" spans="1:15" ht="25.5" x14ac:dyDescent="0.25">
      <c r="A13" s="5" t="str">
        <f>'Folha 1_13'!A13</f>
        <v>I12</v>
      </c>
      <c r="B13" s="6" t="str">
        <f>'Folha 1_13'!B13</f>
        <v xml:space="preserve">Cumprimento às exigências fiscais municipais, federais e estaduais (número de falhas) </v>
      </c>
      <c r="C13" s="7">
        <f>'Folha 4_13'!C13</f>
        <v>0</v>
      </c>
      <c r="D13" s="7">
        <f>'Folha 4_13'!D13</f>
        <v>0</v>
      </c>
      <c r="E13" s="7">
        <f>'Folha 4_13'!E13</f>
        <v>0</v>
      </c>
      <c r="F13" s="7">
        <f>'Folha 4_13'!F13</f>
        <v>0</v>
      </c>
      <c r="G13" s="12"/>
      <c r="H13" s="8" t="s">
        <v>97</v>
      </c>
      <c r="I13" s="8" t="s">
        <v>97</v>
      </c>
      <c r="J13" s="8" t="s">
        <v>97</v>
      </c>
      <c r="K13" s="8" t="s">
        <v>97</v>
      </c>
      <c r="L13" s="8" t="s">
        <v>97</v>
      </c>
      <c r="M13" s="8" t="s">
        <v>97</v>
      </c>
      <c r="N13" s="8" t="s">
        <v>97</v>
      </c>
      <c r="O13" s="8">
        <f>G13</f>
        <v>0</v>
      </c>
    </row>
    <row r="14" spans="1:15" ht="25.5" x14ac:dyDescent="0.25">
      <c r="A14" s="5" t="str">
        <f>'Folha 1_13'!A14</f>
        <v>I49</v>
      </c>
      <c r="B14" s="6" t="str">
        <f>'Folha 1_13'!B14</f>
        <v>Ensaios acreditados na ABNT NBR ISO/IEC 17025. (Nº)</v>
      </c>
      <c r="C14" s="7">
        <f>'Folha 4_13'!C14</f>
        <v>0</v>
      </c>
      <c r="D14" s="7">
        <f>'Folha 4_13'!D14</f>
        <v>0</v>
      </c>
      <c r="E14" s="7">
        <f>'Folha 4_13'!E14</f>
        <v>0</v>
      </c>
      <c r="F14" s="7">
        <f>'Folha 4_13'!F14</f>
        <v>0</v>
      </c>
      <c r="G14" s="12"/>
      <c r="H14" s="8" t="s">
        <v>97</v>
      </c>
      <c r="I14" s="8" t="s">
        <v>97</v>
      </c>
      <c r="J14" s="8" t="s">
        <v>97</v>
      </c>
      <c r="K14" s="8" t="s">
        <v>97</v>
      </c>
      <c r="L14" s="8" t="s">
        <v>97</v>
      </c>
      <c r="M14" s="8" t="s">
        <v>97</v>
      </c>
      <c r="N14" s="8" t="s">
        <v>97</v>
      </c>
      <c r="O14" s="8">
        <f t="shared" ref="O14:O17" si="0">G14</f>
        <v>0</v>
      </c>
    </row>
    <row r="15" spans="1:15" x14ac:dyDescent="0.25">
      <c r="A15" s="5" t="str">
        <f>'Folha 1_13'!A15</f>
        <v>I50</v>
      </c>
      <c r="B15" s="6" t="str">
        <f>'Folha 1_13'!B15</f>
        <v>Habilitação do Ital junto à Reblas - Anvisa</v>
      </c>
      <c r="C15" s="7">
        <f>'Folha 4_13'!C15</f>
        <v>0</v>
      </c>
      <c r="D15" s="7">
        <f>'Folha 4_13'!D15</f>
        <v>0</v>
      </c>
      <c r="E15" s="7">
        <f>'Folha 4_13'!E15</f>
        <v>0</v>
      </c>
      <c r="F15" s="7">
        <f>'Folha 4_13'!F15</f>
        <v>0</v>
      </c>
      <c r="G15" s="12"/>
      <c r="H15" s="8" t="s">
        <v>97</v>
      </c>
      <c r="I15" s="8" t="s">
        <v>97</v>
      </c>
      <c r="J15" s="8" t="s">
        <v>97</v>
      </c>
      <c r="K15" s="8" t="s">
        <v>97</v>
      </c>
      <c r="L15" s="8" t="s">
        <v>97</v>
      </c>
      <c r="M15" s="8" t="s">
        <v>97</v>
      </c>
      <c r="N15" s="8" t="s">
        <v>97</v>
      </c>
      <c r="O15" s="8">
        <f t="shared" si="0"/>
        <v>0</v>
      </c>
    </row>
    <row r="16" spans="1:15" ht="25.5" x14ac:dyDescent="0.25">
      <c r="A16" s="5" t="str">
        <f>'Folha 1_13'!A16</f>
        <v>I51</v>
      </c>
      <c r="B16" s="6" t="str">
        <f>'Folha 1_13'!B16</f>
        <v>Certificação do Sistema de Gestão da Qualidade - NBR ISO 9001 (Nº)</v>
      </c>
      <c r="C16" s="7">
        <f>'Folha 4_13'!C16</f>
        <v>0</v>
      </c>
      <c r="D16" s="7">
        <f>'Folha 4_13'!D16</f>
        <v>0</v>
      </c>
      <c r="E16" s="7">
        <f>'Folha 4_13'!E16</f>
        <v>0</v>
      </c>
      <c r="F16" s="7">
        <f>'Folha 4_13'!F16</f>
        <v>0</v>
      </c>
      <c r="G16" s="12"/>
      <c r="H16" s="8" t="s">
        <v>97</v>
      </c>
      <c r="I16" s="8" t="s">
        <v>97</v>
      </c>
      <c r="J16" s="8" t="s">
        <v>97</v>
      </c>
      <c r="K16" s="8" t="s">
        <v>97</v>
      </c>
      <c r="L16" s="8" t="s">
        <v>97</v>
      </c>
      <c r="M16" s="8" t="s">
        <v>97</v>
      </c>
      <c r="N16" s="8" t="s">
        <v>97</v>
      </c>
      <c r="O16" s="8">
        <f t="shared" si="0"/>
        <v>0</v>
      </c>
    </row>
    <row r="17" spans="1:15" x14ac:dyDescent="0.25">
      <c r="A17" s="5" t="str">
        <f>'Folha 1_13'!A17</f>
        <v>I53</v>
      </c>
      <c r="B17" s="6" t="str">
        <f>'Folha 1_13'!B17</f>
        <v>Qualificação de fornecedores (%)</v>
      </c>
      <c r="C17" s="7">
        <f>'Folha 4_13'!C17</f>
        <v>0</v>
      </c>
      <c r="D17" s="7">
        <f>'Folha 4_13'!D17</f>
        <v>0</v>
      </c>
      <c r="E17" s="7">
        <f>'Folha 4_13'!E17</f>
        <v>0</v>
      </c>
      <c r="F17" s="7">
        <f>'Folha 4_13'!F17</f>
        <v>0</v>
      </c>
      <c r="G17" s="12"/>
      <c r="H17" s="8" t="s">
        <v>97</v>
      </c>
      <c r="I17" s="8" t="s">
        <v>97</v>
      </c>
      <c r="J17" s="8" t="s">
        <v>97</v>
      </c>
      <c r="K17" s="8" t="s">
        <v>97</v>
      </c>
      <c r="L17" s="8" t="s">
        <v>97</v>
      </c>
      <c r="M17" s="8" t="s">
        <v>97</v>
      </c>
      <c r="N17" s="8" t="s">
        <v>97</v>
      </c>
      <c r="O17" s="8">
        <f t="shared" si="0"/>
        <v>0</v>
      </c>
    </row>
    <row r="18" spans="1:15" x14ac:dyDescent="0.25">
      <c r="A18" s="5" t="str">
        <f>'Folha 1_13'!A18</f>
        <v>I60</v>
      </c>
      <c r="B18" s="6" t="str">
        <f>'Folha 1_13'!B18</f>
        <v>Consumo de água (m3)</v>
      </c>
      <c r="C18" s="7">
        <f>'Folha 4_13'!C18</f>
        <v>0</v>
      </c>
      <c r="D18" s="7">
        <f>'Folha 4_13'!D18</f>
        <v>0</v>
      </c>
      <c r="E18" s="7">
        <f>'Folha 4_13'!E18</f>
        <v>0</v>
      </c>
      <c r="F18" s="7">
        <f>'Folha 4_13'!F18</f>
        <v>0</v>
      </c>
      <c r="G18" s="12"/>
      <c r="H18" s="8" t="s">
        <v>97</v>
      </c>
      <c r="I18" s="8" t="s">
        <v>97</v>
      </c>
      <c r="J18" s="8" t="s">
        <v>97</v>
      </c>
      <c r="K18" s="8" t="s">
        <v>97</v>
      </c>
      <c r="L18" s="8" t="s">
        <v>97</v>
      </c>
      <c r="M18" s="8" t="s">
        <v>97</v>
      </c>
      <c r="N18" s="8" t="s">
        <v>97</v>
      </c>
      <c r="O18" s="8">
        <f>SUM(C18:G18)</f>
        <v>0</v>
      </c>
    </row>
    <row r="19" spans="1:15" x14ac:dyDescent="0.25">
      <c r="A19" s="5" t="str">
        <f>'Folha 1_13'!A19</f>
        <v>I61</v>
      </c>
      <c r="B19" s="6" t="str">
        <f>'Folha 1_13'!B19</f>
        <v>Consumo de energia elétrica (kWh)</v>
      </c>
      <c r="C19" s="7">
        <f>'Folha 4_13'!C19</f>
        <v>0</v>
      </c>
      <c r="D19" s="7">
        <f>'Folha 4_13'!D19</f>
        <v>0</v>
      </c>
      <c r="E19" s="7">
        <f>'Folha 4_13'!E19</f>
        <v>0</v>
      </c>
      <c r="F19" s="7">
        <f>'Folha 4_13'!F19</f>
        <v>0</v>
      </c>
      <c r="G19" s="12"/>
      <c r="H19" s="8" t="s">
        <v>97</v>
      </c>
      <c r="I19" s="8" t="s">
        <v>97</v>
      </c>
      <c r="J19" s="8" t="s">
        <v>97</v>
      </c>
      <c r="K19" s="8" t="s">
        <v>97</v>
      </c>
      <c r="L19" s="8" t="s">
        <v>97</v>
      </c>
      <c r="M19" s="8" t="s">
        <v>97</v>
      </c>
      <c r="N19" s="8" t="s">
        <v>97</v>
      </c>
      <c r="O19" s="8">
        <f t="shared" ref="O19:O21" si="1">SUM(C19:G19)</f>
        <v>0</v>
      </c>
    </row>
    <row r="20" spans="1:15" ht="25.5" x14ac:dyDescent="0.25">
      <c r="A20" s="5" t="str">
        <f>'Folha 1_13'!A20</f>
        <v>I62</v>
      </c>
      <c r="B20" s="6" t="str">
        <f>'Folha 1_13'!B20</f>
        <v>Ações de conscientização - meio ambiente por ano (Nº)</v>
      </c>
      <c r="C20" s="7">
        <f>'Folha 4_13'!C20</f>
        <v>0</v>
      </c>
      <c r="D20" s="7">
        <f>'Folha 4_13'!D20</f>
        <v>0</v>
      </c>
      <c r="E20" s="7">
        <f>'Folha 4_13'!E20</f>
        <v>0</v>
      </c>
      <c r="F20" s="7">
        <f>'Folha 4_13'!F20</f>
        <v>0</v>
      </c>
      <c r="G20" s="12"/>
      <c r="H20" s="8" t="s">
        <v>97</v>
      </c>
      <c r="I20" s="8" t="s">
        <v>97</v>
      </c>
      <c r="J20" s="8" t="s">
        <v>97</v>
      </c>
      <c r="K20" s="8" t="s">
        <v>97</v>
      </c>
      <c r="L20" s="8" t="s">
        <v>97</v>
      </c>
      <c r="M20" s="8" t="s">
        <v>97</v>
      </c>
      <c r="N20" s="8" t="s">
        <v>97</v>
      </c>
      <c r="O20" s="8">
        <f t="shared" si="1"/>
        <v>0</v>
      </c>
    </row>
    <row r="21" spans="1:15" ht="25.5" x14ac:dyDescent="0.25">
      <c r="A21" s="5" t="str">
        <f>'Folha 1_13'!A21</f>
        <v>I63</v>
      </c>
      <c r="B21" s="6" t="str">
        <f>'Folha 1_13'!B21</f>
        <v>Denúncias procedentes registradas pela CIC (Ética)</v>
      </c>
      <c r="C21" s="7">
        <f>'Folha 4_13'!C21</f>
        <v>0</v>
      </c>
      <c r="D21" s="7">
        <f>'Folha 4_13'!D21</f>
        <v>0</v>
      </c>
      <c r="E21" s="7">
        <f>'Folha 4_13'!E21</f>
        <v>0</v>
      </c>
      <c r="F21" s="7">
        <f>'Folha 4_13'!F21</f>
        <v>0</v>
      </c>
      <c r="G21" s="12"/>
      <c r="H21" s="8" t="s">
        <v>97</v>
      </c>
      <c r="I21" s="8" t="s">
        <v>97</v>
      </c>
      <c r="J21" s="8" t="s">
        <v>97</v>
      </c>
      <c r="K21" s="8" t="s">
        <v>97</v>
      </c>
      <c r="L21" s="8" t="s">
        <v>97</v>
      </c>
      <c r="M21" s="8" t="s">
        <v>97</v>
      </c>
      <c r="N21" s="8" t="s">
        <v>97</v>
      </c>
      <c r="O21" s="8">
        <f t="shared" si="1"/>
        <v>0</v>
      </c>
    </row>
    <row r="22" spans="1:15" x14ac:dyDescent="0.25">
      <c r="A22" s="5" t="str">
        <f>'Folha 1_13'!A22</f>
        <v>D95</v>
      </c>
      <c r="B22" s="6" t="str">
        <f>'Folha 1_13'!B22</f>
        <v>Inflação ano</v>
      </c>
      <c r="C22" s="7">
        <f>'Folha 4_13'!C22</f>
        <v>0</v>
      </c>
      <c r="D22" s="7">
        <f>'Folha 4_13'!D22</f>
        <v>0</v>
      </c>
      <c r="E22" s="7">
        <f>'Folha 4_13'!E22</f>
        <v>0</v>
      </c>
      <c r="F22" s="7">
        <f>'Folha 4_13'!F22</f>
        <v>0</v>
      </c>
      <c r="G22" s="12"/>
      <c r="H22" s="8" t="s">
        <v>97</v>
      </c>
      <c r="I22" s="8" t="s">
        <v>97</v>
      </c>
      <c r="J22" s="8" t="s">
        <v>97</v>
      </c>
      <c r="K22" s="8" t="s">
        <v>97</v>
      </c>
      <c r="L22" s="8" t="s">
        <v>97</v>
      </c>
      <c r="M22" s="8" t="s">
        <v>97</v>
      </c>
      <c r="N22" s="8" t="s">
        <v>97</v>
      </c>
      <c r="O22" s="8">
        <f t="shared" ref="O22:O23" si="2">SUM(C22:G22)</f>
        <v>0</v>
      </c>
    </row>
    <row r="23" spans="1:15" ht="25.5" x14ac:dyDescent="0.25">
      <c r="A23" s="5" t="str">
        <f>'Folha 1_13'!A23</f>
        <v>D78</v>
      </c>
      <c r="B23" s="6" t="str">
        <f>'Folha 1_13'!B23</f>
        <v>Número de não conformidades registradas em auditoria de terceria parte (NBR ISO 9001)</v>
      </c>
      <c r="C23" s="7">
        <f>'Folha 4_13'!C23</f>
        <v>0</v>
      </c>
      <c r="D23" s="7">
        <f>'Folha 4_13'!D23</f>
        <v>0</v>
      </c>
      <c r="E23" s="7">
        <f>'Folha 4_13'!E23</f>
        <v>0</v>
      </c>
      <c r="F23" s="7">
        <f>'Folha 4_13'!F23</f>
        <v>0</v>
      </c>
      <c r="G23" s="12"/>
      <c r="H23" s="8" t="s">
        <v>97</v>
      </c>
      <c r="I23" s="8" t="s">
        <v>97</v>
      </c>
      <c r="J23" s="8" t="s">
        <v>97</v>
      </c>
      <c r="K23" s="8" t="s">
        <v>97</v>
      </c>
      <c r="L23" s="8" t="s">
        <v>97</v>
      </c>
      <c r="M23" s="8" t="s">
        <v>97</v>
      </c>
      <c r="N23" s="8" t="s">
        <v>97</v>
      </c>
      <c r="O23" s="8">
        <f t="shared" si="2"/>
        <v>0</v>
      </c>
    </row>
    <row r="24" spans="1:15" x14ac:dyDescent="0.25">
      <c r="A24" s="32" t="s">
        <v>102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</row>
  </sheetData>
  <sheetProtection algorithmName="SHA-512" hashValue="v008jcr/BLW2KivIG6tv1QIuzUdfJx0J1CGhB8OOmNr2kifgCVwwpLPC1t03lcAGyMKJrXlta42D7fHazGWl4Q==" saltValue="RP9LTWiPoCFrqv6PPkdKVw==" spinCount="100000" sheet="1" formatCells="0" formatColumns="0" formatRows="0" autoFilter="0"/>
  <mergeCells count="12">
    <mergeCell ref="K10:O10"/>
    <mergeCell ref="A11:O11"/>
    <mergeCell ref="A24:O24"/>
    <mergeCell ref="K7:O7"/>
    <mergeCell ref="K8:O8"/>
    <mergeCell ref="K9:O9"/>
    <mergeCell ref="K6:O6"/>
    <mergeCell ref="A1:O1"/>
    <mergeCell ref="A3:E3"/>
    <mergeCell ref="F3:H3"/>
    <mergeCell ref="I3:O3"/>
    <mergeCell ref="A5:O5"/>
  </mergeCells>
  <pageMargins left="0.51181102362204722" right="0.51181102362204722" top="0.78740157480314965" bottom="0.78740157480314965" header="0.31496062992125984" footer="0.31496062992125984"/>
  <pageSetup paperSize="9" scale="5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6">
    <tabColor theme="3"/>
  </sheetPr>
  <dimension ref="A1:O24"/>
  <sheetViews>
    <sheetView view="pageBreakPreview" zoomScaleNormal="100" zoomScaleSheetLayoutView="100" workbookViewId="0">
      <selection activeCell="L20" sqref="L20"/>
    </sheetView>
  </sheetViews>
  <sheetFormatPr defaultRowHeight="15" x14ac:dyDescent="0.25"/>
  <cols>
    <col min="1" max="1" width="5.5703125" style="10" customWidth="1"/>
    <col min="2" max="2" width="44.140625" style="11" customWidth="1"/>
    <col min="3" max="15" width="9.140625" style="11" customWidth="1"/>
  </cols>
  <sheetData>
    <row r="1" spans="1:15" ht="24" customHeight="1" thickBot="1" x14ac:dyDescent="0.3">
      <c r="A1" s="22" t="s">
        <v>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4"/>
    </row>
    <row r="3" spans="1:15" ht="18.75" customHeight="1" x14ac:dyDescent="0.25">
      <c r="A3" s="26" t="str">
        <f>'Folha 1_13'!$A$3</f>
        <v>ANO:</v>
      </c>
      <c r="B3" s="26"/>
      <c r="C3" s="26"/>
      <c r="D3" s="26"/>
      <c r="E3" s="26"/>
      <c r="F3" s="26" t="s">
        <v>34</v>
      </c>
      <c r="G3" s="26"/>
      <c r="H3" s="26"/>
      <c r="I3" s="26" t="s">
        <v>25</v>
      </c>
      <c r="J3" s="26"/>
      <c r="K3" s="26"/>
      <c r="L3" s="26"/>
      <c r="M3" s="26"/>
      <c r="N3" s="26"/>
      <c r="O3" s="26"/>
    </row>
    <row r="4" spans="1:15" ht="18.7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18.75" customHeight="1" x14ac:dyDescent="0.25">
      <c r="A5" s="34" t="s">
        <v>22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</row>
    <row r="6" spans="1:15" ht="14.25" customHeight="1" x14ac:dyDescent="0.25">
      <c r="A6" s="4" t="s">
        <v>1</v>
      </c>
      <c r="B6" s="4" t="s">
        <v>0</v>
      </c>
      <c r="C6" s="4" t="s">
        <v>26</v>
      </c>
      <c r="D6" s="4" t="s">
        <v>27</v>
      </c>
      <c r="E6" s="4" t="s">
        <v>4</v>
      </c>
      <c r="F6" s="4" t="s">
        <v>20</v>
      </c>
      <c r="G6" s="4" t="s">
        <v>6</v>
      </c>
      <c r="H6" s="4" t="s">
        <v>5</v>
      </c>
      <c r="I6" s="4" t="s">
        <v>21</v>
      </c>
      <c r="J6" s="4" t="s">
        <v>3</v>
      </c>
      <c r="K6" s="36" t="s">
        <v>28</v>
      </c>
      <c r="L6" s="36"/>
      <c r="M6" s="36"/>
      <c r="N6" s="36"/>
      <c r="O6" s="36"/>
    </row>
    <row r="7" spans="1:15" ht="23.25" customHeight="1" x14ac:dyDescent="0.25">
      <c r="A7" s="5" t="str">
        <f>'Folha 1_13'!A7</f>
        <v>I46</v>
      </c>
      <c r="B7" s="6" t="str">
        <f>'Folha 1_13'!B7</f>
        <v>SAC solucionadas (%)</v>
      </c>
      <c r="C7" s="14"/>
      <c r="D7" s="14"/>
      <c r="E7" s="14"/>
      <c r="F7" s="14"/>
      <c r="G7" s="14"/>
      <c r="H7" s="14"/>
      <c r="I7" s="14"/>
      <c r="J7" s="15"/>
      <c r="K7" s="27" t="s">
        <v>104</v>
      </c>
      <c r="L7" s="28"/>
      <c r="M7" s="28"/>
      <c r="N7" s="28"/>
      <c r="O7" s="28"/>
    </row>
    <row r="8" spans="1:15" ht="23.25" customHeight="1" x14ac:dyDescent="0.25">
      <c r="A8" s="5" t="str">
        <f>'Folha 1_13'!A8</f>
        <v>I47</v>
      </c>
      <c r="B8" s="6" t="str">
        <f>'Folha 1_13'!B8</f>
        <v>SAP solucionadas (%)</v>
      </c>
      <c r="C8" s="14"/>
      <c r="D8" s="14"/>
      <c r="E8" s="14"/>
      <c r="F8" s="14"/>
      <c r="G8" s="14"/>
      <c r="H8" s="14"/>
      <c r="I8" s="14"/>
      <c r="J8" s="15"/>
      <c r="K8" s="27" t="s">
        <v>104</v>
      </c>
      <c r="L8" s="28"/>
      <c r="M8" s="28"/>
      <c r="N8" s="28"/>
      <c r="O8" s="28"/>
    </row>
    <row r="9" spans="1:15" ht="23.25" customHeight="1" x14ac:dyDescent="0.25">
      <c r="A9" s="5" t="str">
        <f>'Folha 1_13'!A9</f>
        <v>I48</v>
      </c>
      <c r="B9" s="6" t="str">
        <f>'Folha 1_13'!B9</f>
        <v>NCBI solucionadas (%)</v>
      </c>
      <c r="C9" s="14"/>
      <c r="D9" s="14"/>
      <c r="E9" s="14"/>
      <c r="F9" s="14"/>
      <c r="G9" s="14"/>
      <c r="H9" s="14"/>
      <c r="I9" s="14"/>
      <c r="J9" s="15"/>
      <c r="K9" s="27" t="s">
        <v>104</v>
      </c>
      <c r="L9" s="28"/>
      <c r="M9" s="28"/>
      <c r="N9" s="28"/>
      <c r="O9" s="28"/>
    </row>
    <row r="10" spans="1:15" ht="25.5" customHeight="1" x14ac:dyDescent="0.25">
      <c r="A10" s="5" t="str">
        <f>'Folha 1_13'!A10</f>
        <v>------</v>
      </c>
      <c r="B10" s="6" t="str">
        <f>'Folha 1_13'!B10</f>
        <v>Número de gestores</v>
      </c>
      <c r="C10" s="14"/>
      <c r="D10" s="14"/>
      <c r="E10" s="14"/>
      <c r="F10" s="14"/>
      <c r="G10" s="14"/>
      <c r="H10" s="14"/>
      <c r="I10" s="14"/>
      <c r="J10" s="15"/>
      <c r="K10" s="27" t="s">
        <v>104</v>
      </c>
      <c r="L10" s="28"/>
      <c r="M10" s="28"/>
      <c r="N10" s="28"/>
      <c r="O10" s="28"/>
    </row>
    <row r="11" spans="1:15" x14ac:dyDescent="0.25">
      <c r="A11" s="34" t="s">
        <v>23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</row>
    <row r="12" spans="1:15" x14ac:dyDescent="0.25">
      <c r="A12" s="4" t="s">
        <v>1</v>
      </c>
      <c r="B12" s="4" t="s">
        <v>0</v>
      </c>
      <c r="C12" s="4" t="s">
        <v>7</v>
      </c>
      <c r="D12" s="4" t="s">
        <v>8</v>
      </c>
      <c r="E12" s="4" t="s">
        <v>9</v>
      </c>
      <c r="F12" s="4" t="s">
        <v>10</v>
      </c>
      <c r="G12" s="4" t="s">
        <v>11</v>
      </c>
      <c r="H12" s="4" t="s">
        <v>12</v>
      </c>
      <c r="I12" s="4" t="s">
        <v>13</v>
      </c>
      <c r="J12" s="4" t="s">
        <v>14</v>
      </c>
      <c r="K12" s="4" t="s">
        <v>15</v>
      </c>
      <c r="L12" s="4" t="s">
        <v>16</v>
      </c>
      <c r="M12" s="4" t="s">
        <v>17</v>
      </c>
      <c r="N12" s="4" t="s">
        <v>18</v>
      </c>
      <c r="O12" s="4" t="s">
        <v>19</v>
      </c>
    </row>
    <row r="13" spans="1:15" ht="25.5" x14ac:dyDescent="0.25">
      <c r="A13" s="5" t="str">
        <f>'Folha 1_13'!A13</f>
        <v>I12</v>
      </c>
      <c r="B13" s="6" t="str">
        <f>'Folha 1_13'!B13</f>
        <v xml:space="preserve">Cumprimento às exigências fiscais municipais, federais e estaduais (número de falhas) </v>
      </c>
      <c r="C13" s="7">
        <f>'Folha 5_13'!C13</f>
        <v>0</v>
      </c>
      <c r="D13" s="7">
        <f>'Folha 5_13'!D13</f>
        <v>0</v>
      </c>
      <c r="E13" s="7">
        <f>'Folha 5_13'!E13</f>
        <v>0</v>
      </c>
      <c r="F13" s="7">
        <f>'Folha 5_13'!F13</f>
        <v>0</v>
      </c>
      <c r="G13" s="7">
        <f>'Folha 5_13'!G13</f>
        <v>0</v>
      </c>
      <c r="H13" s="16"/>
      <c r="I13" s="8" t="s">
        <v>97</v>
      </c>
      <c r="J13" s="8" t="s">
        <v>97</v>
      </c>
      <c r="K13" s="8" t="s">
        <v>97</v>
      </c>
      <c r="L13" s="8" t="s">
        <v>97</v>
      </c>
      <c r="M13" s="8" t="s">
        <v>97</v>
      </c>
      <c r="N13" s="8" t="s">
        <v>97</v>
      </c>
      <c r="O13" s="8">
        <f>H13</f>
        <v>0</v>
      </c>
    </row>
    <row r="14" spans="1:15" ht="25.5" x14ac:dyDescent="0.25">
      <c r="A14" s="5" t="str">
        <f>'Folha 1_13'!A14</f>
        <v>I49</v>
      </c>
      <c r="B14" s="6" t="str">
        <f>'Folha 1_13'!B14</f>
        <v>Ensaios acreditados na ABNT NBR ISO/IEC 17025. (Nº)</v>
      </c>
      <c r="C14" s="7">
        <f>'Folha 5_13'!C14</f>
        <v>0</v>
      </c>
      <c r="D14" s="7">
        <f>'Folha 5_13'!D14</f>
        <v>0</v>
      </c>
      <c r="E14" s="7">
        <f>'Folha 5_13'!E14</f>
        <v>0</v>
      </c>
      <c r="F14" s="7">
        <f>'Folha 5_13'!F14</f>
        <v>0</v>
      </c>
      <c r="G14" s="7">
        <f>'Folha 5_13'!G14</f>
        <v>0</v>
      </c>
      <c r="H14" s="16"/>
      <c r="I14" s="8" t="s">
        <v>97</v>
      </c>
      <c r="J14" s="8" t="s">
        <v>97</v>
      </c>
      <c r="K14" s="8" t="s">
        <v>97</v>
      </c>
      <c r="L14" s="8" t="s">
        <v>97</v>
      </c>
      <c r="M14" s="8" t="s">
        <v>97</v>
      </c>
      <c r="N14" s="8" t="s">
        <v>97</v>
      </c>
      <c r="O14" s="8">
        <f t="shared" ref="O14:O17" si="0">H14</f>
        <v>0</v>
      </c>
    </row>
    <row r="15" spans="1:15" x14ac:dyDescent="0.25">
      <c r="A15" s="5" t="str">
        <f>'Folha 1_13'!A15</f>
        <v>I50</v>
      </c>
      <c r="B15" s="6" t="str">
        <f>'Folha 1_13'!B15</f>
        <v>Habilitação do Ital junto à Reblas - Anvisa</v>
      </c>
      <c r="C15" s="7">
        <f>'Folha 5_13'!C15</f>
        <v>0</v>
      </c>
      <c r="D15" s="7">
        <f>'Folha 5_13'!D15</f>
        <v>0</v>
      </c>
      <c r="E15" s="7">
        <f>'Folha 5_13'!E15</f>
        <v>0</v>
      </c>
      <c r="F15" s="7">
        <f>'Folha 5_13'!F15</f>
        <v>0</v>
      </c>
      <c r="G15" s="7">
        <f>'Folha 5_13'!G15</f>
        <v>0</v>
      </c>
      <c r="H15" s="16"/>
      <c r="I15" s="8" t="s">
        <v>97</v>
      </c>
      <c r="J15" s="8" t="s">
        <v>97</v>
      </c>
      <c r="K15" s="8" t="s">
        <v>97</v>
      </c>
      <c r="L15" s="8" t="s">
        <v>97</v>
      </c>
      <c r="M15" s="8" t="s">
        <v>97</v>
      </c>
      <c r="N15" s="8" t="s">
        <v>97</v>
      </c>
      <c r="O15" s="8">
        <f t="shared" si="0"/>
        <v>0</v>
      </c>
    </row>
    <row r="16" spans="1:15" ht="25.5" x14ac:dyDescent="0.25">
      <c r="A16" s="5" t="str">
        <f>'Folha 1_13'!A16</f>
        <v>I51</v>
      </c>
      <c r="B16" s="6" t="str">
        <f>'Folha 1_13'!B16</f>
        <v>Certificação do Sistema de Gestão da Qualidade - NBR ISO 9001 (Nº)</v>
      </c>
      <c r="C16" s="7">
        <f>'Folha 5_13'!C16</f>
        <v>0</v>
      </c>
      <c r="D16" s="7">
        <f>'Folha 5_13'!D16</f>
        <v>0</v>
      </c>
      <c r="E16" s="7">
        <f>'Folha 5_13'!E16</f>
        <v>0</v>
      </c>
      <c r="F16" s="7">
        <f>'Folha 5_13'!F16</f>
        <v>0</v>
      </c>
      <c r="G16" s="7">
        <f>'Folha 5_13'!G16</f>
        <v>0</v>
      </c>
      <c r="H16" s="16"/>
      <c r="I16" s="8" t="s">
        <v>97</v>
      </c>
      <c r="J16" s="8" t="s">
        <v>97</v>
      </c>
      <c r="K16" s="8" t="s">
        <v>97</v>
      </c>
      <c r="L16" s="8" t="s">
        <v>97</v>
      </c>
      <c r="M16" s="8" t="s">
        <v>97</v>
      </c>
      <c r="N16" s="8" t="s">
        <v>97</v>
      </c>
      <c r="O16" s="8">
        <f t="shared" si="0"/>
        <v>0</v>
      </c>
    </row>
    <row r="17" spans="1:15" x14ac:dyDescent="0.25">
      <c r="A17" s="5" t="str">
        <f>'Folha 1_13'!A17</f>
        <v>I53</v>
      </c>
      <c r="B17" s="6" t="str">
        <f>'Folha 1_13'!B17</f>
        <v>Qualificação de fornecedores (%)</v>
      </c>
      <c r="C17" s="7">
        <f>'Folha 5_13'!C17</f>
        <v>0</v>
      </c>
      <c r="D17" s="7">
        <f>'Folha 5_13'!D17</f>
        <v>0</v>
      </c>
      <c r="E17" s="7">
        <f>'Folha 5_13'!E17</f>
        <v>0</v>
      </c>
      <c r="F17" s="7">
        <f>'Folha 5_13'!F17</f>
        <v>0</v>
      </c>
      <c r="G17" s="7">
        <f>'Folha 5_13'!G17</f>
        <v>0</v>
      </c>
      <c r="H17" s="16"/>
      <c r="I17" s="8" t="s">
        <v>97</v>
      </c>
      <c r="J17" s="8" t="s">
        <v>97</v>
      </c>
      <c r="K17" s="8" t="s">
        <v>97</v>
      </c>
      <c r="L17" s="8" t="s">
        <v>97</v>
      </c>
      <c r="M17" s="8" t="s">
        <v>97</v>
      </c>
      <c r="N17" s="8" t="s">
        <v>97</v>
      </c>
      <c r="O17" s="8">
        <f t="shared" si="0"/>
        <v>0</v>
      </c>
    </row>
    <row r="18" spans="1:15" x14ac:dyDescent="0.25">
      <c r="A18" s="5" t="str">
        <f>'Folha 1_13'!A18</f>
        <v>I60</v>
      </c>
      <c r="B18" s="6" t="str">
        <f>'Folha 1_13'!B18</f>
        <v>Consumo de água (m3)</v>
      </c>
      <c r="C18" s="7">
        <f>'Folha 5_13'!C18</f>
        <v>0</v>
      </c>
      <c r="D18" s="7">
        <f>'Folha 5_13'!D18</f>
        <v>0</v>
      </c>
      <c r="E18" s="7">
        <f>'Folha 5_13'!E18</f>
        <v>0</v>
      </c>
      <c r="F18" s="7">
        <f>'Folha 5_13'!F18</f>
        <v>0</v>
      </c>
      <c r="G18" s="7">
        <f>'Folha 5_13'!G18</f>
        <v>0</v>
      </c>
      <c r="H18" s="16"/>
      <c r="I18" s="8" t="s">
        <v>97</v>
      </c>
      <c r="J18" s="8" t="s">
        <v>97</v>
      </c>
      <c r="K18" s="8" t="s">
        <v>97</v>
      </c>
      <c r="L18" s="8" t="s">
        <v>97</v>
      </c>
      <c r="M18" s="8" t="s">
        <v>97</v>
      </c>
      <c r="N18" s="8" t="s">
        <v>97</v>
      </c>
      <c r="O18" s="8">
        <f>SUM(C18:H18)</f>
        <v>0</v>
      </c>
    </row>
    <row r="19" spans="1:15" x14ac:dyDescent="0.25">
      <c r="A19" s="5" t="str">
        <f>'Folha 1_13'!A19</f>
        <v>I61</v>
      </c>
      <c r="B19" s="6" t="str">
        <f>'Folha 1_13'!B19</f>
        <v>Consumo de energia elétrica (kWh)</v>
      </c>
      <c r="C19" s="7">
        <f>'Folha 5_13'!C19</f>
        <v>0</v>
      </c>
      <c r="D19" s="7">
        <f>'Folha 5_13'!D19</f>
        <v>0</v>
      </c>
      <c r="E19" s="7">
        <f>'Folha 5_13'!E19</f>
        <v>0</v>
      </c>
      <c r="F19" s="7">
        <f>'Folha 5_13'!F19</f>
        <v>0</v>
      </c>
      <c r="G19" s="7">
        <f>'Folha 5_13'!G19</f>
        <v>0</v>
      </c>
      <c r="H19" s="16"/>
      <c r="I19" s="8" t="s">
        <v>97</v>
      </c>
      <c r="J19" s="8" t="s">
        <v>97</v>
      </c>
      <c r="K19" s="8" t="s">
        <v>97</v>
      </c>
      <c r="L19" s="8" t="s">
        <v>97</v>
      </c>
      <c r="M19" s="8" t="s">
        <v>97</v>
      </c>
      <c r="N19" s="8" t="s">
        <v>97</v>
      </c>
      <c r="O19" s="8">
        <f t="shared" ref="O19:O21" si="1">SUM(C19:H19)</f>
        <v>0</v>
      </c>
    </row>
    <row r="20" spans="1:15" ht="25.5" x14ac:dyDescent="0.25">
      <c r="A20" s="5" t="str">
        <f>'Folha 1_13'!A20</f>
        <v>I62</v>
      </c>
      <c r="B20" s="6" t="str">
        <f>'Folha 1_13'!B20</f>
        <v>Ações de conscientização - meio ambiente por ano (Nº)</v>
      </c>
      <c r="C20" s="7">
        <f>'Folha 5_13'!C20</f>
        <v>0</v>
      </c>
      <c r="D20" s="7">
        <f>'Folha 5_13'!D20</f>
        <v>0</v>
      </c>
      <c r="E20" s="7">
        <f>'Folha 5_13'!E20</f>
        <v>0</v>
      </c>
      <c r="F20" s="7">
        <f>'Folha 5_13'!F20</f>
        <v>0</v>
      </c>
      <c r="G20" s="7">
        <f>'Folha 5_13'!G20</f>
        <v>0</v>
      </c>
      <c r="H20" s="16"/>
      <c r="I20" s="8" t="s">
        <v>97</v>
      </c>
      <c r="J20" s="8" t="s">
        <v>97</v>
      </c>
      <c r="K20" s="8" t="s">
        <v>97</v>
      </c>
      <c r="L20" s="8" t="s">
        <v>97</v>
      </c>
      <c r="M20" s="8" t="s">
        <v>97</v>
      </c>
      <c r="N20" s="8" t="s">
        <v>97</v>
      </c>
      <c r="O20" s="8">
        <f t="shared" si="1"/>
        <v>0</v>
      </c>
    </row>
    <row r="21" spans="1:15" ht="25.5" x14ac:dyDescent="0.25">
      <c r="A21" s="5" t="str">
        <f>'Folha 1_13'!A21</f>
        <v>I63</v>
      </c>
      <c r="B21" s="6" t="str">
        <f>'Folha 1_13'!B21</f>
        <v>Denúncias procedentes registradas pela CIC (Ética)</v>
      </c>
      <c r="C21" s="7">
        <f>'Folha 5_13'!C21</f>
        <v>0</v>
      </c>
      <c r="D21" s="7">
        <f>'Folha 5_13'!D21</f>
        <v>0</v>
      </c>
      <c r="E21" s="7">
        <f>'Folha 5_13'!E21</f>
        <v>0</v>
      </c>
      <c r="F21" s="7">
        <f>'Folha 5_13'!F21</f>
        <v>0</v>
      </c>
      <c r="G21" s="7">
        <f>'Folha 5_13'!G21</f>
        <v>0</v>
      </c>
      <c r="H21" s="16"/>
      <c r="I21" s="8" t="s">
        <v>97</v>
      </c>
      <c r="J21" s="8" t="s">
        <v>97</v>
      </c>
      <c r="K21" s="8" t="s">
        <v>97</v>
      </c>
      <c r="L21" s="8" t="s">
        <v>97</v>
      </c>
      <c r="M21" s="8" t="s">
        <v>97</v>
      </c>
      <c r="N21" s="8" t="s">
        <v>97</v>
      </c>
      <c r="O21" s="8">
        <f t="shared" si="1"/>
        <v>0</v>
      </c>
    </row>
    <row r="22" spans="1:15" x14ac:dyDescent="0.25">
      <c r="A22" s="5" t="str">
        <f>'Folha 1_13'!A22</f>
        <v>D95</v>
      </c>
      <c r="B22" s="6" t="str">
        <f>'Folha 1_13'!B22</f>
        <v>Inflação ano</v>
      </c>
      <c r="C22" s="7">
        <f>'Folha 5_13'!C22</f>
        <v>0</v>
      </c>
      <c r="D22" s="7">
        <f>'Folha 5_13'!D22</f>
        <v>0</v>
      </c>
      <c r="E22" s="7">
        <f>'Folha 5_13'!E22</f>
        <v>0</v>
      </c>
      <c r="F22" s="7">
        <f>'Folha 5_13'!F22</f>
        <v>0</v>
      </c>
      <c r="G22" s="7">
        <f>'Folha 5_13'!G22</f>
        <v>0</v>
      </c>
      <c r="H22" s="16"/>
      <c r="I22" s="8" t="s">
        <v>97</v>
      </c>
      <c r="J22" s="8" t="s">
        <v>97</v>
      </c>
      <c r="K22" s="8" t="s">
        <v>97</v>
      </c>
      <c r="L22" s="8" t="s">
        <v>97</v>
      </c>
      <c r="M22" s="8" t="s">
        <v>97</v>
      </c>
      <c r="N22" s="8" t="s">
        <v>97</v>
      </c>
      <c r="O22" s="8">
        <f t="shared" ref="O22:O23" si="2">SUM(C22:H22)</f>
        <v>0</v>
      </c>
    </row>
    <row r="23" spans="1:15" ht="25.5" x14ac:dyDescent="0.25">
      <c r="A23" s="5" t="str">
        <f>'Folha 1_13'!A23</f>
        <v>D78</v>
      </c>
      <c r="B23" s="6" t="str">
        <f>'Folha 1_13'!B23</f>
        <v>Número de não conformidades registradas em auditoria de terceria parte (NBR ISO 9001)</v>
      </c>
      <c r="C23" s="7">
        <f>'Folha 5_13'!C23</f>
        <v>0</v>
      </c>
      <c r="D23" s="7">
        <f>'Folha 5_13'!D23</f>
        <v>0</v>
      </c>
      <c r="E23" s="7">
        <f>'Folha 5_13'!E23</f>
        <v>0</v>
      </c>
      <c r="F23" s="7">
        <f>'Folha 5_13'!F23</f>
        <v>0</v>
      </c>
      <c r="G23" s="7">
        <f>'Folha 5_13'!G23</f>
        <v>0</v>
      </c>
      <c r="H23" s="16"/>
      <c r="I23" s="8" t="s">
        <v>97</v>
      </c>
      <c r="J23" s="8" t="s">
        <v>97</v>
      </c>
      <c r="K23" s="8" t="s">
        <v>97</v>
      </c>
      <c r="L23" s="8" t="s">
        <v>97</v>
      </c>
      <c r="M23" s="8" t="s">
        <v>97</v>
      </c>
      <c r="N23" s="8" t="s">
        <v>97</v>
      </c>
      <c r="O23" s="8">
        <f t="shared" si="2"/>
        <v>0</v>
      </c>
    </row>
    <row r="24" spans="1:15" x14ac:dyDescent="0.25">
      <c r="A24" s="32" t="s">
        <v>103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</row>
  </sheetData>
  <sheetProtection algorithmName="SHA-512" hashValue="yANgw6tEiHmH6xogtjzBZ9HzgDwbMhKb5BDxBQhAbmlz+fQLv9Xtoyqtg2jJtukfmzHzoRzFnnilIWyZa6SgxA==" saltValue="+AU/+nj6jk134mto+dQv5A==" spinCount="100000" sheet="1" formatCells="0" formatColumns="0" formatRows="0" autoFilter="0"/>
  <mergeCells count="12">
    <mergeCell ref="K9:O9"/>
    <mergeCell ref="A11:O11"/>
    <mergeCell ref="A24:O24"/>
    <mergeCell ref="A1:O1"/>
    <mergeCell ref="A3:E3"/>
    <mergeCell ref="F3:H3"/>
    <mergeCell ref="I3:O3"/>
    <mergeCell ref="A5:O5"/>
    <mergeCell ref="K6:O6"/>
    <mergeCell ref="K7:O7"/>
    <mergeCell ref="K8:O8"/>
    <mergeCell ref="K10:O10"/>
  </mergeCells>
  <pageMargins left="0.51181102362204722" right="0.51181102362204722" top="0.78740157480314965" bottom="0.78740157480314965" header="0.31496062992125984" footer="0.31496062992125984"/>
  <pageSetup paperSize="9" scale="7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7">
    <tabColor theme="3"/>
  </sheetPr>
  <dimension ref="A1:O24"/>
  <sheetViews>
    <sheetView view="pageBreakPreview" zoomScaleNormal="100" zoomScaleSheetLayoutView="100" workbookViewId="0">
      <selection activeCell="L20" sqref="L20"/>
    </sheetView>
  </sheetViews>
  <sheetFormatPr defaultRowHeight="15" x14ac:dyDescent="0.25"/>
  <cols>
    <col min="1" max="1" width="6.28515625" style="10" customWidth="1"/>
    <col min="2" max="2" width="44.140625" style="11" customWidth="1"/>
    <col min="3" max="15" width="9.140625" style="11" customWidth="1"/>
  </cols>
  <sheetData>
    <row r="1" spans="1:15" ht="24" customHeight="1" thickBot="1" x14ac:dyDescent="0.3">
      <c r="A1" s="22" t="s">
        <v>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4"/>
    </row>
    <row r="3" spans="1:15" ht="18.75" customHeight="1" x14ac:dyDescent="0.25">
      <c r="A3" s="26" t="str">
        <f>'Folha 1_13'!$A$3</f>
        <v>ANO:</v>
      </c>
      <c r="B3" s="26"/>
      <c r="C3" s="26"/>
      <c r="D3" s="26"/>
      <c r="E3" s="26"/>
      <c r="F3" s="26" t="s">
        <v>35</v>
      </c>
      <c r="G3" s="26"/>
      <c r="H3" s="26"/>
      <c r="I3" s="25" t="s">
        <v>25</v>
      </c>
      <c r="J3" s="25"/>
      <c r="K3" s="25"/>
      <c r="L3" s="25"/>
      <c r="M3" s="25"/>
      <c r="N3" s="25"/>
      <c r="O3" s="25"/>
    </row>
    <row r="4" spans="1:15" ht="18.7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18.75" customHeight="1" x14ac:dyDescent="0.25">
      <c r="A5" s="34" t="s">
        <v>22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</row>
    <row r="6" spans="1:15" ht="14.25" customHeight="1" x14ac:dyDescent="0.25">
      <c r="A6" s="4" t="s">
        <v>1</v>
      </c>
      <c r="B6" s="4" t="s">
        <v>0</v>
      </c>
      <c r="C6" s="4" t="s">
        <v>26</v>
      </c>
      <c r="D6" s="4" t="s">
        <v>27</v>
      </c>
      <c r="E6" s="4" t="s">
        <v>4</v>
      </c>
      <c r="F6" s="4" t="s">
        <v>20</v>
      </c>
      <c r="G6" s="4" t="s">
        <v>6</v>
      </c>
      <c r="H6" s="4" t="s">
        <v>5</v>
      </c>
      <c r="I6" s="4" t="s">
        <v>21</v>
      </c>
      <c r="J6" s="4" t="s">
        <v>3</v>
      </c>
      <c r="K6" s="36" t="s">
        <v>28</v>
      </c>
      <c r="L6" s="36"/>
      <c r="M6" s="36"/>
      <c r="N6" s="36"/>
      <c r="O6" s="36"/>
    </row>
    <row r="7" spans="1:15" ht="27" customHeight="1" x14ac:dyDescent="0.25">
      <c r="A7" s="5" t="str">
        <f>'Folha 1_13'!A7</f>
        <v>I46</v>
      </c>
      <c r="B7" s="6" t="str">
        <f>'Folha 1_13'!B7</f>
        <v>SAC solucionadas (%)</v>
      </c>
      <c r="C7" s="14"/>
      <c r="D7" s="14"/>
      <c r="E7" s="14"/>
      <c r="F7" s="14"/>
      <c r="G7" s="14"/>
      <c r="H7" s="14"/>
      <c r="I7" s="14"/>
      <c r="J7" s="15"/>
      <c r="K7" s="27" t="s">
        <v>104</v>
      </c>
      <c r="L7" s="28"/>
      <c r="M7" s="28"/>
      <c r="N7" s="28"/>
      <c r="O7" s="28"/>
    </row>
    <row r="8" spans="1:15" ht="27" customHeight="1" x14ac:dyDescent="0.25">
      <c r="A8" s="5" t="str">
        <f>'Folha 1_13'!A8</f>
        <v>I47</v>
      </c>
      <c r="B8" s="6" t="str">
        <f>'Folha 1_13'!B8</f>
        <v>SAP solucionadas (%)</v>
      </c>
      <c r="C8" s="14"/>
      <c r="D8" s="14"/>
      <c r="E8" s="14"/>
      <c r="F8" s="14"/>
      <c r="G8" s="14"/>
      <c r="H8" s="14"/>
      <c r="I8" s="14"/>
      <c r="J8" s="15"/>
      <c r="K8" s="27" t="s">
        <v>104</v>
      </c>
      <c r="L8" s="28"/>
      <c r="M8" s="28"/>
      <c r="N8" s="28"/>
      <c r="O8" s="28"/>
    </row>
    <row r="9" spans="1:15" ht="27" customHeight="1" x14ac:dyDescent="0.25">
      <c r="A9" s="5" t="str">
        <f>'Folha 1_13'!A9</f>
        <v>I48</v>
      </c>
      <c r="B9" s="6" t="str">
        <f>'Folha 1_13'!B9</f>
        <v>NCBI solucionadas (%)</v>
      </c>
      <c r="C9" s="14"/>
      <c r="D9" s="14"/>
      <c r="E9" s="14"/>
      <c r="F9" s="14"/>
      <c r="G9" s="14"/>
      <c r="H9" s="14"/>
      <c r="I9" s="14"/>
      <c r="J9" s="15"/>
      <c r="K9" s="27" t="s">
        <v>104</v>
      </c>
      <c r="L9" s="28"/>
      <c r="M9" s="28"/>
      <c r="N9" s="28"/>
      <c r="O9" s="28"/>
    </row>
    <row r="10" spans="1:15" ht="25.5" customHeight="1" x14ac:dyDescent="0.25">
      <c r="A10" s="5" t="str">
        <f>'Folha 1_13'!A10</f>
        <v>------</v>
      </c>
      <c r="B10" s="6" t="str">
        <f>'Folha 1_13'!B10</f>
        <v>Número de gestores</v>
      </c>
      <c r="C10" s="14"/>
      <c r="D10" s="14"/>
      <c r="E10" s="14"/>
      <c r="F10" s="14"/>
      <c r="G10" s="14"/>
      <c r="H10" s="14"/>
      <c r="I10" s="14"/>
      <c r="J10" s="15"/>
      <c r="K10" s="27" t="s">
        <v>104</v>
      </c>
      <c r="L10" s="28"/>
      <c r="M10" s="28"/>
      <c r="N10" s="28"/>
      <c r="O10" s="28"/>
    </row>
    <row r="11" spans="1:15" x14ac:dyDescent="0.25">
      <c r="A11" s="35" t="s">
        <v>23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</row>
    <row r="12" spans="1:15" x14ac:dyDescent="0.25">
      <c r="A12" s="4" t="s">
        <v>1</v>
      </c>
      <c r="B12" s="4" t="s">
        <v>0</v>
      </c>
      <c r="C12" s="4" t="s">
        <v>7</v>
      </c>
      <c r="D12" s="4" t="s">
        <v>8</v>
      </c>
      <c r="E12" s="4" t="s">
        <v>9</v>
      </c>
      <c r="F12" s="4" t="s">
        <v>10</v>
      </c>
      <c r="G12" s="4" t="s">
        <v>11</v>
      </c>
      <c r="H12" s="4" t="s">
        <v>12</v>
      </c>
      <c r="I12" s="4" t="s">
        <v>13</v>
      </c>
      <c r="J12" s="4" t="s">
        <v>14</v>
      </c>
      <c r="K12" s="4" t="s">
        <v>15</v>
      </c>
      <c r="L12" s="4" t="s">
        <v>16</v>
      </c>
      <c r="M12" s="4" t="s">
        <v>17</v>
      </c>
      <c r="N12" s="4" t="s">
        <v>18</v>
      </c>
      <c r="O12" s="4" t="s">
        <v>19</v>
      </c>
    </row>
    <row r="13" spans="1:15" ht="25.5" x14ac:dyDescent="0.25">
      <c r="A13" s="5" t="str">
        <f>'Folha 1_13'!A13</f>
        <v>I12</v>
      </c>
      <c r="B13" s="6" t="str">
        <f>'Folha 1_13'!B13</f>
        <v xml:space="preserve">Cumprimento às exigências fiscais municipais, federais e estaduais (número de falhas) </v>
      </c>
      <c r="C13" s="7">
        <f>'Folha 6_13'!C13</f>
        <v>0</v>
      </c>
      <c r="D13" s="7">
        <f>'Folha 6_13'!D13</f>
        <v>0</v>
      </c>
      <c r="E13" s="7">
        <f>'Folha 6_13'!E13</f>
        <v>0</v>
      </c>
      <c r="F13" s="7">
        <f>'Folha 6_13'!F13</f>
        <v>0</v>
      </c>
      <c r="G13" s="7">
        <f>'Folha 6_13'!G13</f>
        <v>0</v>
      </c>
      <c r="H13" s="7">
        <f>'Folha 6_13'!H13</f>
        <v>0</v>
      </c>
      <c r="I13" s="16"/>
      <c r="J13" s="8" t="s">
        <v>97</v>
      </c>
      <c r="K13" s="8" t="s">
        <v>97</v>
      </c>
      <c r="L13" s="8" t="s">
        <v>97</v>
      </c>
      <c r="M13" s="8" t="s">
        <v>97</v>
      </c>
      <c r="N13" s="8" t="s">
        <v>97</v>
      </c>
      <c r="O13" s="8">
        <f>I13</f>
        <v>0</v>
      </c>
    </row>
    <row r="14" spans="1:15" ht="25.5" x14ac:dyDescent="0.25">
      <c r="A14" s="5" t="str">
        <f>'Folha 1_13'!A14</f>
        <v>I49</v>
      </c>
      <c r="B14" s="6" t="str">
        <f>'Folha 1_13'!B14</f>
        <v>Ensaios acreditados na ABNT NBR ISO/IEC 17025. (Nº)</v>
      </c>
      <c r="C14" s="7">
        <f>'Folha 6_13'!C14</f>
        <v>0</v>
      </c>
      <c r="D14" s="7">
        <f>'Folha 6_13'!D14</f>
        <v>0</v>
      </c>
      <c r="E14" s="7">
        <f>'Folha 6_13'!E14</f>
        <v>0</v>
      </c>
      <c r="F14" s="7">
        <f>'Folha 6_13'!F14</f>
        <v>0</v>
      </c>
      <c r="G14" s="7">
        <f>'Folha 6_13'!G14</f>
        <v>0</v>
      </c>
      <c r="H14" s="7">
        <f>'Folha 6_13'!H14</f>
        <v>0</v>
      </c>
      <c r="I14" s="16"/>
      <c r="J14" s="8" t="s">
        <v>97</v>
      </c>
      <c r="K14" s="8" t="s">
        <v>97</v>
      </c>
      <c r="L14" s="8" t="s">
        <v>97</v>
      </c>
      <c r="M14" s="8" t="s">
        <v>97</v>
      </c>
      <c r="N14" s="8" t="s">
        <v>97</v>
      </c>
      <c r="O14" s="8">
        <f>I14</f>
        <v>0</v>
      </c>
    </row>
    <row r="15" spans="1:15" x14ac:dyDescent="0.25">
      <c r="A15" s="5" t="str">
        <f>'Folha 1_13'!A15</f>
        <v>I50</v>
      </c>
      <c r="B15" s="6" t="str">
        <f>'Folha 1_13'!B15</f>
        <v>Habilitação do Ital junto à Reblas - Anvisa</v>
      </c>
      <c r="C15" s="7">
        <f>'Folha 6_13'!C15</f>
        <v>0</v>
      </c>
      <c r="D15" s="7">
        <f>'Folha 6_13'!D15</f>
        <v>0</v>
      </c>
      <c r="E15" s="7">
        <f>'Folha 6_13'!E15</f>
        <v>0</v>
      </c>
      <c r="F15" s="7">
        <f>'Folha 6_13'!F15</f>
        <v>0</v>
      </c>
      <c r="G15" s="7">
        <f>'Folha 6_13'!G15</f>
        <v>0</v>
      </c>
      <c r="H15" s="7">
        <f>'Folha 6_13'!H15</f>
        <v>0</v>
      </c>
      <c r="I15" s="16"/>
      <c r="J15" s="8" t="s">
        <v>97</v>
      </c>
      <c r="K15" s="8" t="s">
        <v>97</v>
      </c>
      <c r="L15" s="8" t="s">
        <v>97</v>
      </c>
      <c r="M15" s="8" t="s">
        <v>97</v>
      </c>
      <c r="N15" s="8" t="s">
        <v>97</v>
      </c>
      <c r="O15" s="8">
        <f>I15</f>
        <v>0</v>
      </c>
    </row>
    <row r="16" spans="1:15" ht="25.5" x14ac:dyDescent="0.25">
      <c r="A16" s="5" t="str">
        <f>'Folha 1_13'!A16</f>
        <v>I51</v>
      </c>
      <c r="B16" s="6" t="str">
        <f>'Folha 1_13'!B16</f>
        <v>Certificação do Sistema de Gestão da Qualidade - NBR ISO 9001 (Nº)</v>
      </c>
      <c r="C16" s="7">
        <f>'Folha 6_13'!C16</f>
        <v>0</v>
      </c>
      <c r="D16" s="7">
        <f>'Folha 6_13'!D16</f>
        <v>0</v>
      </c>
      <c r="E16" s="7">
        <f>'Folha 6_13'!E16</f>
        <v>0</v>
      </c>
      <c r="F16" s="7">
        <f>'Folha 6_13'!F16</f>
        <v>0</v>
      </c>
      <c r="G16" s="7">
        <f>'Folha 6_13'!G16</f>
        <v>0</v>
      </c>
      <c r="H16" s="7">
        <f>'Folha 6_13'!H16</f>
        <v>0</v>
      </c>
      <c r="I16" s="16"/>
      <c r="J16" s="8" t="s">
        <v>97</v>
      </c>
      <c r="K16" s="8" t="s">
        <v>97</v>
      </c>
      <c r="L16" s="8" t="s">
        <v>97</v>
      </c>
      <c r="M16" s="8" t="s">
        <v>97</v>
      </c>
      <c r="N16" s="8" t="s">
        <v>97</v>
      </c>
      <c r="O16" s="8">
        <f>I16</f>
        <v>0</v>
      </c>
    </row>
    <row r="17" spans="1:15" x14ac:dyDescent="0.25">
      <c r="A17" s="5" t="str">
        <f>'Folha 1_13'!A17</f>
        <v>I53</v>
      </c>
      <c r="B17" s="6" t="str">
        <f>'Folha 1_13'!B17</f>
        <v>Qualificação de fornecedores (%)</v>
      </c>
      <c r="C17" s="7">
        <f>'Folha 6_13'!C17</f>
        <v>0</v>
      </c>
      <c r="D17" s="7">
        <f>'Folha 6_13'!D17</f>
        <v>0</v>
      </c>
      <c r="E17" s="7">
        <f>'Folha 6_13'!E17</f>
        <v>0</v>
      </c>
      <c r="F17" s="7">
        <f>'Folha 6_13'!F17</f>
        <v>0</v>
      </c>
      <c r="G17" s="7">
        <f>'Folha 6_13'!G17</f>
        <v>0</v>
      </c>
      <c r="H17" s="7">
        <f>'Folha 6_13'!H17</f>
        <v>0</v>
      </c>
      <c r="I17" s="16"/>
      <c r="J17" s="8" t="s">
        <v>97</v>
      </c>
      <c r="K17" s="8" t="s">
        <v>97</v>
      </c>
      <c r="L17" s="8" t="s">
        <v>97</v>
      </c>
      <c r="M17" s="8" t="s">
        <v>97</v>
      </c>
      <c r="N17" s="8" t="s">
        <v>97</v>
      </c>
      <c r="O17" s="8">
        <f>I17</f>
        <v>0</v>
      </c>
    </row>
    <row r="18" spans="1:15" x14ac:dyDescent="0.25">
      <c r="A18" s="5" t="str">
        <f>'Folha 1_13'!A18</f>
        <v>I60</v>
      </c>
      <c r="B18" s="6" t="str">
        <f>'Folha 1_13'!B18</f>
        <v>Consumo de água (m3)</v>
      </c>
      <c r="C18" s="7">
        <f>'Folha 6_13'!C18</f>
        <v>0</v>
      </c>
      <c r="D18" s="7">
        <f>'Folha 6_13'!D18</f>
        <v>0</v>
      </c>
      <c r="E18" s="7">
        <f>'Folha 6_13'!E18</f>
        <v>0</v>
      </c>
      <c r="F18" s="7">
        <f>'Folha 6_13'!F18</f>
        <v>0</v>
      </c>
      <c r="G18" s="7">
        <f>'Folha 6_13'!G18</f>
        <v>0</v>
      </c>
      <c r="H18" s="7">
        <f>'Folha 6_13'!H18</f>
        <v>0</v>
      </c>
      <c r="I18" s="16"/>
      <c r="J18" s="8" t="s">
        <v>97</v>
      </c>
      <c r="K18" s="8" t="s">
        <v>97</v>
      </c>
      <c r="L18" s="8" t="s">
        <v>97</v>
      </c>
      <c r="M18" s="8" t="s">
        <v>97</v>
      </c>
      <c r="N18" s="8" t="s">
        <v>97</v>
      </c>
      <c r="O18" s="8">
        <f>SUM(C18:I18)</f>
        <v>0</v>
      </c>
    </row>
    <row r="19" spans="1:15" x14ac:dyDescent="0.25">
      <c r="A19" s="5" t="str">
        <f>'Folha 1_13'!A19</f>
        <v>I61</v>
      </c>
      <c r="B19" s="6" t="str">
        <f>'Folha 1_13'!B19</f>
        <v>Consumo de energia elétrica (kWh)</v>
      </c>
      <c r="C19" s="7">
        <f>'Folha 6_13'!C19</f>
        <v>0</v>
      </c>
      <c r="D19" s="7">
        <f>'Folha 6_13'!D19</f>
        <v>0</v>
      </c>
      <c r="E19" s="7">
        <f>'Folha 6_13'!E19</f>
        <v>0</v>
      </c>
      <c r="F19" s="7">
        <f>'Folha 6_13'!F19</f>
        <v>0</v>
      </c>
      <c r="G19" s="7">
        <f>'Folha 6_13'!G19</f>
        <v>0</v>
      </c>
      <c r="H19" s="7">
        <f>'Folha 6_13'!H19</f>
        <v>0</v>
      </c>
      <c r="I19" s="16"/>
      <c r="J19" s="8" t="s">
        <v>97</v>
      </c>
      <c r="K19" s="8" t="s">
        <v>97</v>
      </c>
      <c r="L19" s="8" t="s">
        <v>97</v>
      </c>
      <c r="M19" s="8" t="s">
        <v>97</v>
      </c>
      <c r="N19" s="8" t="s">
        <v>97</v>
      </c>
      <c r="O19" s="8">
        <f t="shared" ref="O19:O21" si="0">SUM(C19:I19)</f>
        <v>0</v>
      </c>
    </row>
    <row r="20" spans="1:15" ht="25.5" x14ac:dyDescent="0.25">
      <c r="A20" s="5" t="str">
        <f>'Folha 1_13'!A20</f>
        <v>I62</v>
      </c>
      <c r="B20" s="6" t="str">
        <f>'Folha 1_13'!B20</f>
        <v>Ações de conscientização - meio ambiente por ano (Nº)</v>
      </c>
      <c r="C20" s="7">
        <f>'Folha 6_13'!C20</f>
        <v>0</v>
      </c>
      <c r="D20" s="7">
        <f>'Folha 6_13'!D20</f>
        <v>0</v>
      </c>
      <c r="E20" s="7">
        <f>'Folha 6_13'!E20</f>
        <v>0</v>
      </c>
      <c r="F20" s="7">
        <f>'Folha 6_13'!F20</f>
        <v>0</v>
      </c>
      <c r="G20" s="7">
        <f>'Folha 6_13'!G20</f>
        <v>0</v>
      </c>
      <c r="H20" s="7">
        <f>'Folha 6_13'!H20</f>
        <v>0</v>
      </c>
      <c r="I20" s="16"/>
      <c r="J20" s="8" t="s">
        <v>97</v>
      </c>
      <c r="K20" s="8" t="s">
        <v>97</v>
      </c>
      <c r="L20" s="8" t="s">
        <v>97</v>
      </c>
      <c r="M20" s="8" t="s">
        <v>97</v>
      </c>
      <c r="N20" s="8" t="s">
        <v>97</v>
      </c>
      <c r="O20" s="8">
        <f t="shared" si="0"/>
        <v>0</v>
      </c>
    </row>
    <row r="21" spans="1:15" ht="25.5" x14ac:dyDescent="0.25">
      <c r="A21" s="5" t="str">
        <f>'Folha 1_13'!A21</f>
        <v>I63</v>
      </c>
      <c r="B21" s="6" t="str">
        <f>'Folha 1_13'!B21</f>
        <v>Denúncias procedentes registradas pela CIC (Ética)</v>
      </c>
      <c r="C21" s="7">
        <f>'Folha 6_13'!C21</f>
        <v>0</v>
      </c>
      <c r="D21" s="7">
        <f>'Folha 6_13'!D21</f>
        <v>0</v>
      </c>
      <c r="E21" s="7">
        <f>'Folha 6_13'!E21</f>
        <v>0</v>
      </c>
      <c r="F21" s="7">
        <f>'Folha 6_13'!F21</f>
        <v>0</v>
      </c>
      <c r="G21" s="7">
        <f>'Folha 6_13'!G21</f>
        <v>0</v>
      </c>
      <c r="H21" s="7">
        <f>'Folha 6_13'!H21</f>
        <v>0</v>
      </c>
      <c r="I21" s="16"/>
      <c r="J21" s="8" t="s">
        <v>97</v>
      </c>
      <c r="K21" s="8" t="s">
        <v>97</v>
      </c>
      <c r="L21" s="8" t="s">
        <v>97</v>
      </c>
      <c r="M21" s="8" t="s">
        <v>97</v>
      </c>
      <c r="N21" s="8" t="s">
        <v>97</v>
      </c>
      <c r="O21" s="8">
        <f t="shared" si="0"/>
        <v>0</v>
      </c>
    </row>
    <row r="22" spans="1:15" x14ac:dyDescent="0.25">
      <c r="A22" s="5" t="str">
        <f>'Folha 1_13'!A22</f>
        <v>D95</v>
      </c>
      <c r="B22" s="6" t="str">
        <f>'Folha 1_13'!B22</f>
        <v>Inflação ano</v>
      </c>
      <c r="C22" s="7">
        <f>'Folha 6_13'!C22</f>
        <v>0</v>
      </c>
      <c r="D22" s="7">
        <f>'Folha 6_13'!D22</f>
        <v>0</v>
      </c>
      <c r="E22" s="7">
        <f>'Folha 6_13'!E22</f>
        <v>0</v>
      </c>
      <c r="F22" s="7">
        <f>'Folha 6_13'!F22</f>
        <v>0</v>
      </c>
      <c r="G22" s="7">
        <f>'Folha 6_13'!G22</f>
        <v>0</v>
      </c>
      <c r="H22" s="7">
        <f>'Folha 6_13'!H22</f>
        <v>0</v>
      </c>
      <c r="I22" s="16"/>
      <c r="J22" s="8" t="s">
        <v>97</v>
      </c>
      <c r="K22" s="8" t="s">
        <v>97</v>
      </c>
      <c r="L22" s="8" t="s">
        <v>97</v>
      </c>
      <c r="M22" s="8" t="s">
        <v>97</v>
      </c>
      <c r="N22" s="8" t="s">
        <v>97</v>
      </c>
      <c r="O22" s="8">
        <f>SUM(C22:I22)</f>
        <v>0</v>
      </c>
    </row>
    <row r="23" spans="1:15" ht="25.5" x14ac:dyDescent="0.25">
      <c r="A23" s="5" t="str">
        <f>'Folha 1_13'!A23</f>
        <v>D78</v>
      </c>
      <c r="B23" s="6" t="str">
        <f>'Folha 1_13'!B23</f>
        <v>Número de não conformidades registradas em auditoria de terceria parte (NBR ISO 9001)</v>
      </c>
      <c r="C23" s="7">
        <f>'Folha 6_13'!C23</f>
        <v>0</v>
      </c>
      <c r="D23" s="7">
        <f>'Folha 6_13'!D23</f>
        <v>0</v>
      </c>
      <c r="E23" s="7">
        <f>'Folha 6_13'!E23</f>
        <v>0</v>
      </c>
      <c r="F23" s="7">
        <f>'Folha 6_13'!F23</f>
        <v>0</v>
      </c>
      <c r="G23" s="7">
        <f>'Folha 6_13'!G23</f>
        <v>0</v>
      </c>
      <c r="H23" s="7">
        <f>'Folha 6_13'!H23</f>
        <v>0</v>
      </c>
      <c r="I23" s="16"/>
      <c r="J23" s="8" t="s">
        <v>97</v>
      </c>
      <c r="K23" s="8" t="s">
        <v>97</v>
      </c>
      <c r="L23" s="8" t="s">
        <v>97</v>
      </c>
      <c r="M23" s="8" t="s">
        <v>97</v>
      </c>
      <c r="N23" s="8" t="s">
        <v>97</v>
      </c>
      <c r="O23" s="8">
        <f>SUM(C23:I23)</f>
        <v>0</v>
      </c>
    </row>
    <row r="24" spans="1:15" x14ac:dyDescent="0.25">
      <c r="A24" s="32" t="s">
        <v>111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</row>
  </sheetData>
  <sheetProtection algorithmName="SHA-512" hashValue="rgraK3ibuBsFneU0N4pVQ3TDhNKZXdkbnoEBPA0WfdQ+rKsbeY8Krdc9vVkDmQ91GIvLWEvSNBe5JTIFS5sLJA==" saltValue="y30xVv37KX1znl71gvhdqQ==" spinCount="100000" sheet="1" formatCells="0" formatColumns="0" formatRows="0" autoFilter="0"/>
  <mergeCells count="12">
    <mergeCell ref="A24:O24"/>
    <mergeCell ref="K10:O10"/>
    <mergeCell ref="A1:O1"/>
    <mergeCell ref="A3:E3"/>
    <mergeCell ref="F3:H3"/>
    <mergeCell ref="I3:O3"/>
    <mergeCell ref="A5:O5"/>
    <mergeCell ref="K6:O6"/>
    <mergeCell ref="K7:O7"/>
    <mergeCell ref="K8:O8"/>
    <mergeCell ref="K9:O9"/>
    <mergeCell ref="A11:O11"/>
  </mergeCells>
  <pageMargins left="0.51181102362204722" right="0.51181102362204722" top="0.78740157480314965" bottom="0.78740157480314965" header="0.31496062992125984" footer="0.31496062992125984"/>
  <pageSetup paperSize="9" scale="68" orientation="landscape" r:id="rId1"/>
  <headerFooter>
    <oddFooter xml:space="preserve">&amp;L&amp;"Arial,Normal"&amp;10
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8">
    <tabColor theme="3"/>
  </sheetPr>
  <dimension ref="A1:O24"/>
  <sheetViews>
    <sheetView view="pageBreakPreview" zoomScaleNormal="100" zoomScaleSheetLayoutView="100" workbookViewId="0">
      <selection activeCell="L20" sqref="L20"/>
    </sheetView>
  </sheetViews>
  <sheetFormatPr defaultRowHeight="15" x14ac:dyDescent="0.25"/>
  <cols>
    <col min="1" max="1" width="5" style="10" customWidth="1"/>
    <col min="2" max="2" width="44.140625" style="11" customWidth="1"/>
    <col min="3" max="15" width="9.140625" style="11" customWidth="1"/>
  </cols>
  <sheetData>
    <row r="1" spans="1:15" ht="24" customHeight="1" thickBot="1" x14ac:dyDescent="0.3">
      <c r="A1" s="22" t="s">
        <v>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4"/>
    </row>
    <row r="3" spans="1:15" ht="18.75" customHeight="1" x14ac:dyDescent="0.25">
      <c r="A3" s="26" t="str">
        <f>'Folha 1_13'!$A$3</f>
        <v>ANO:</v>
      </c>
      <c r="B3" s="26"/>
      <c r="C3" s="26"/>
      <c r="D3" s="26"/>
      <c r="E3" s="26"/>
      <c r="F3" s="26" t="s">
        <v>36</v>
      </c>
      <c r="G3" s="26"/>
      <c r="H3" s="26"/>
      <c r="I3" s="25" t="s">
        <v>25</v>
      </c>
      <c r="J3" s="25"/>
      <c r="K3" s="25"/>
      <c r="L3" s="25"/>
      <c r="M3" s="25"/>
      <c r="N3" s="25"/>
      <c r="O3" s="25"/>
    </row>
    <row r="4" spans="1:15" ht="18.7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18.75" customHeight="1" x14ac:dyDescent="0.25">
      <c r="A5" s="34" t="s">
        <v>22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</row>
    <row r="6" spans="1:15" ht="14.25" customHeight="1" x14ac:dyDescent="0.25">
      <c r="A6" s="4" t="s">
        <v>1</v>
      </c>
      <c r="B6" s="4" t="s">
        <v>0</v>
      </c>
      <c r="C6" s="4" t="s">
        <v>26</v>
      </c>
      <c r="D6" s="4" t="s">
        <v>27</v>
      </c>
      <c r="E6" s="4" t="s">
        <v>4</v>
      </c>
      <c r="F6" s="4" t="s">
        <v>20</v>
      </c>
      <c r="G6" s="4" t="s">
        <v>6</v>
      </c>
      <c r="H6" s="4" t="s">
        <v>5</v>
      </c>
      <c r="I6" s="4" t="s">
        <v>21</v>
      </c>
      <c r="J6" s="4" t="s">
        <v>3</v>
      </c>
      <c r="K6" s="36" t="s">
        <v>28</v>
      </c>
      <c r="L6" s="36"/>
      <c r="M6" s="36"/>
      <c r="N6" s="36"/>
      <c r="O6" s="36"/>
    </row>
    <row r="7" spans="1:15" ht="23.25" customHeight="1" x14ac:dyDescent="0.25">
      <c r="A7" s="5" t="str">
        <f>'Folha 1_13'!A7</f>
        <v>I46</v>
      </c>
      <c r="B7" s="6" t="str">
        <f>'Folha 1_13'!B7</f>
        <v>SAC solucionadas (%)</v>
      </c>
      <c r="C7" s="14"/>
      <c r="D7" s="14"/>
      <c r="E7" s="14"/>
      <c r="F7" s="14"/>
      <c r="G7" s="14"/>
      <c r="H7" s="14"/>
      <c r="I7" s="14"/>
      <c r="J7" s="15"/>
      <c r="K7" s="27" t="s">
        <v>104</v>
      </c>
      <c r="L7" s="28"/>
      <c r="M7" s="28"/>
      <c r="N7" s="28"/>
      <c r="O7" s="28"/>
    </row>
    <row r="8" spans="1:15" ht="23.25" customHeight="1" x14ac:dyDescent="0.25">
      <c r="A8" s="5" t="str">
        <f>'Folha 1_13'!A8</f>
        <v>I47</v>
      </c>
      <c r="B8" s="6" t="str">
        <f>'Folha 1_13'!B8</f>
        <v>SAP solucionadas (%)</v>
      </c>
      <c r="C8" s="14"/>
      <c r="D8" s="14"/>
      <c r="E8" s="14"/>
      <c r="F8" s="14"/>
      <c r="G8" s="14"/>
      <c r="H8" s="14"/>
      <c r="I8" s="14"/>
      <c r="J8" s="15"/>
      <c r="K8" s="27" t="s">
        <v>104</v>
      </c>
      <c r="L8" s="28"/>
      <c r="M8" s="28"/>
      <c r="N8" s="28"/>
      <c r="O8" s="28"/>
    </row>
    <row r="9" spans="1:15" ht="23.25" customHeight="1" x14ac:dyDescent="0.25">
      <c r="A9" s="5" t="str">
        <f>'Folha 1_13'!A9</f>
        <v>I48</v>
      </c>
      <c r="B9" s="6" t="str">
        <f>'Folha 1_13'!B9</f>
        <v>NCBI solucionadas (%)</v>
      </c>
      <c r="C9" s="14"/>
      <c r="D9" s="14"/>
      <c r="E9" s="14"/>
      <c r="F9" s="14"/>
      <c r="G9" s="14"/>
      <c r="H9" s="14"/>
      <c r="I9" s="14"/>
      <c r="J9" s="15"/>
      <c r="K9" s="27" t="s">
        <v>104</v>
      </c>
      <c r="L9" s="28"/>
      <c r="M9" s="28"/>
      <c r="N9" s="28"/>
      <c r="O9" s="28"/>
    </row>
    <row r="10" spans="1:15" ht="25.5" customHeight="1" x14ac:dyDescent="0.25">
      <c r="A10" s="5" t="str">
        <f>'Folha 1_13'!A10</f>
        <v>------</v>
      </c>
      <c r="B10" s="6" t="str">
        <f>'Folha 1_13'!B10</f>
        <v>Número de gestores</v>
      </c>
      <c r="C10" s="14"/>
      <c r="D10" s="14"/>
      <c r="E10" s="14"/>
      <c r="F10" s="14"/>
      <c r="G10" s="14"/>
      <c r="H10" s="14"/>
      <c r="I10" s="14"/>
      <c r="J10" s="15"/>
      <c r="K10" s="27" t="s">
        <v>104</v>
      </c>
      <c r="L10" s="28"/>
      <c r="M10" s="28"/>
      <c r="N10" s="28"/>
      <c r="O10" s="28"/>
    </row>
    <row r="11" spans="1:15" x14ac:dyDescent="0.25">
      <c r="A11" s="35" t="s">
        <v>23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</row>
    <row r="12" spans="1:15" x14ac:dyDescent="0.25">
      <c r="A12" s="4" t="s">
        <v>1</v>
      </c>
      <c r="B12" s="4" t="s">
        <v>0</v>
      </c>
      <c r="C12" s="4" t="s">
        <v>7</v>
      </c>
      <c r="D12" s="4" t="s">
        <v>8</v>
      </c>
      <c r="E12" s="4" t="s">
        <v>9</v>
      </c>
      <c r="F12" s="4" t="s">
        <v>10</v>
      </c>
      <c r="G12" s="4" t="s">
        <v>11</v>
      </c>
      <c r="H12" s="4" t="s">
        <v>12</v>
      </c>
      <c r="I12" s="4" t="s">
        <v>13</v>
      </c>
      <c r="J12" s="4" t="s">
        <v>14</v>
      </c>
      <c r="K12" s="4" t="s">
        <v>15</v>
      </c>
      <c r="L12" s="4" t="s">
        <v>16</v>
      </c>
      <c r="M12" s="4" t="s">
        <v>17</v>
      </c>
      <c r="N12" s="4" t="s">
        <v>18</v>
      </c>
      <c r="O12" s="4" t="s">
        <v>19</v>
      </c>
    </row>
    <row r="13" spans="1:15" ht="25.5" x14ac:dyDescent="0.25">
      <c r="A13" s="5" t="str">
        <f>'Folha 1_13'!A13</f>
        <v>I12</v>
      </c>
      <c r="B13" s="6" t="str">
        <f>'Folha 1_13'!B13</f>
        <v xml:space="preserve">Cumprimento às exigências fiscais municipais, federais e estaduais (número de falhas) </v>
      </c>
      <c r="C13" s="7">
        <f>'Folha 7_13'!C13</f>
        <v>0</v>
      </c>
      <c r="D13" s="7">
        <f>'Folha 7_13'!D13</f>
        <v>0</v>
      </c>
      <c r="E13" s="7">
        <f>'Folha 7_13'!E13</f>
        <v>0</v>
      </c>
      <c r="F13" s="7">
        <f>'Folha 7_13'!F13</f>
        <v>0</v>
      </c>
      <c r="G13" s="7">
        <f>'Folha 7_13'!G13</f>
        <v>0</v>
      </c>
      <c r="H13" s="7">
        <f>'Folha 7_13'!H13</f>
        <v>0</v>
      </c>
      <c r="I13" s="7">
        <f>'Folha 7_13'!I13</f>
        <v>0</v>
      </c>
      <c r="J13" s="16"/>
      <c r="K13" s="8" t="s">
        <v>97</v>
      </c>
      <c r="L13" s="8" t="s">
        <v>97</v>
      </c>
      <c r="M13" s="8" t="s">
        <v>97</v>
      </c>
      <c r="N13" s="8" t="s">
        <v>97</v>
      </c>
      <c r="O13" s="8">
        <f>J13</f>
        <v>0</v>
      </c>
    </row>
    <row r="14" spans="1:15" ht="25.5" x14ac:dyDescent="0.25">
      <c r="A14" s="5" t="str">
        <f>'Folha 1_13'!A14</f>
        <v>I49</v>
      </c>
      <c r="B14" s="6" t="str">
        <f>'Folha 1_13'!B14</f>
        <v>Ensaios acreditados na ABNT NBR ISO/IEC 17025. (Nº)</v>
      </c>
      <c r="C14" s="7">
        <f>'Folha 7_13'!C14</f>
        <v>0</v>
      </c>
      <c r="D14" s="7">
        <f>'Folha 7_13'!D14</f>
        <v>0</v>
      </c>
      <c r="E14" s="7">
        <f>'Folha 7_13'!E14</f>
        <v>0</v>
      </c>
      <c r="F14" s="7">
        <f>'Folha 7_13'!F14</f>
        <v>0</v>
      </c>
      <c r="G14" s="7">
        <f>'Folha 7_13'!G14</f>
        <v>0</v>
      </c>
      <c r="H14" s="7">
        <f>'Folha 7_13'!H14</f>
        <v>0</v>
      </c>
      <c r="I14" s="7">
        <f>'Folha 7_13'!I14</f>
        <v>0</v>
      </c>
      <c r="J14" s="16"/>
      <c r="K14" s="8" t="s">
        <v>97</v>
      </c>
      <c r="L14" s="8" t="s">
        <v>97</v>
      </c>
      <c r="M14" s="8" t="s">
        <v>97</v>
      </c>
      <c r="N14" s="8" t="s">
        <v>97</v>
      </c>
      <c r="O14" s="8">
        <f t="shared" ref="O14:O17" si="0">J14</f>
        <v>0</v>
      </c>
    </row>
    <row r="15" spans="1:15" x14ac:dyDescent="0.25">
      <c r="A15" s="5" t="str">
        <f>'Folha 1_13'!A15</f>
        <v>I50</v>
      </c>
      <c r="B15" s="6" t="str">
        <f>'Folha 1_13'!B15</f>
        <v>Habilitação do Ital junto à Reblas - Anvisa</v>
      </c>
      <c r="C15" s="7">
        <f>'Folha 7_13'!C15</f>
        <v>0</v>
      </c>
      <c r="D15" s="7">
        <f>'Folha 7_13'!D15</f>
        <v>0</v>
      </c>
      <c r="E15" s="7">
        <f>'Folha 7_13'!E15</f>
        <v>0</v>
      </c>
      <c r="F15" s="7">
        <f>'Folha 7_13'!F15</f>
        <v>0</v>
      </c>
      <c r="G15" s="7">
        <f>'Folha 7_13'!G15</f>
        <v>0</v>
      </c>
      <c r="H15" s="7">
        <f>'Folha 7_13'!H15</f>
        <v>0</v>
      </c>
      <c r="I15" s="7">
        <f>'Folha 7_13'!I15</f>
        <v>0</v>
      </c>
      <c r="J15" s="16"/>
      <c r="K15" s="8" t="s">
        <v>97</v>
      </c>
      <c r="L15" s="8" t="s">
        <v>97</v>
      </c>
      <c r="M15" s="8" t="s">
        <v>97</v>
      </c>
      <c r="N15" s="8" t="s">
        <v>97</v>
      </c>
      <c r="O15" s="8">
        <f t="shared" si="0"/>
        <v>0</v>
      </c>
    </row>
    <row r="16" spans="1:15" ht="25.5" x14ac:dyDescent="0.25">
      <c r="A16" s="5" t="str">
        <f>'Folha 1_13'!A16</f>
        <v>I51</v>
      </c>
      <c r="B16" s="6" t="str">
        <f>'Folha 1_13'!B16</f>
        <v>Certificação do Sistema de Gestão da Qualidade - NBR ISO 9001 (Nº)</v>
      </c>
      <c r="C16" s="7">
        <f>'Folha 7_13'!C16</f>
        <v>0</v>
      </c>
      <c r="D16" s="7">
        <f>'Folha 7_13'!D16</f>
        <v>0</v>
      </c>
      <c r="E16" s="7">
        <f>'Folha 7_13'!E16</f>
        <v>0</v>
      </c>
      <c r="F16" s="7">
        <f>'Folha 7_13'!F16</f>
        <v>0</v>
      </c>
      <c r="G16" s="7">
        <f>'Folha 7_13'!G16</f>
        <v>0</v>
      </c>
      <c r="H16" s="7">
        <f>'Folha 7_13'!H16</f>
        <v>0</v>
      </c>
      <c r="I16" s="7">
        <f>'Folha 7_13'!I16</f>
        <v>0</v>
      </c>
      <c r="J16" s="16"/>
      <c r="K16" s="8" t="s">
        <v>97</v>
      </c>
      <c r="L16" s="8" t="s">
        <v>97</v>
      </c>
      <c r="M16" s="8" t="s">
        <v>97</v>
      </c>
      <c r="N16" s="8" t="s">
        <v>97</v>
      </c>
      <c r="O16" s="8">
        <f t="shared" si="0"/>
        <v>0</v>
      </c>
    </row>
    <row r="17" spans="1:15" x14ac:dyDescent="0.25">
      <c r="A17" s="5" t="str">
        <f>'Folha 1_13'!A17</f>
        <v>I53</v>
      </c>
      <c r="B17" s="6" t="str">
        <f>'Folha 1_13'!B17</f>
        <v>Qualificação de fornecedores (%)</v>
      </c>
      <c r="C17" s="7">
        <f>'Folha 7_13'!C17</f>
        <v>0</v>
      </c>
      <c r="D17" s="7">
        <f>'Folha 7_13'!D17</f>
        <v>0</v>
      </c>
      <c r="E17" s="7">
        <f>'Folha 7_13'!E17</f>
        <v>0</v>
      </c>
      <c r="F17" s="7">
        <f>'Folha 7_13'!F17</f>
        <v>0</v>
      </c>
      <c r="G17" s="7">
        <f>'Folha 7_13'!G17</f>
        <v>0</v>
      </c>
      <c r="H17" s="7">
        <f>'Folha 7_13'!H17</f>
        <v>0</v>
      </c>
      <c r="I17" s="7">
        <f>'Folha 7_13'!I17</f>
        <v>0</v>
      </c>
      <c r="J17" s="16"/>
      <c r="K17" s="8" t="s">
        <v>97</v>
      </c>
      <c r="L17" s="8" t="s">
        <v>97</v>
      </c>
      <c r="M17" s="8" t="s">
        <v>97</v>
      </c>
      <c r="N17" s="8" t="s">
        <v>97</v>
      </c>
      <c r="O17" s="8">
        <f t="shared" si="0"/>
        <v>0</v>
      </c>
    </row>
    <row r="18" spans="1:15" x14ac:dyDescent="0.25">
      <c r="A18" s="5" t="str">
        <f>'Folha 1_13'!A18</f>
        <v>I60</v>
      </c>
      <c r="B18" s="6" t="str">
        <f>'Folha 1_13'!B18</f>
        <v>Consumo de água (m3)</v>
      </c>
      <c r="C18" s="7">
        <f>'Folha 7_13'!C18</f>
        <v>0</v>
      </c>
      <c r="D18" s="7">
        <f>'Folha 7_13'!D18</f>
        <v>0</v>
      </c>
      <c r="E18" s="7">
        <f>'Folha 7_13'!E18</f>
        <v>0</v>
      </c>
      <c r="F18" s="7">
        <f>'Folha 7_13'!F18</f>
        <v>0</v>
      </c>
      <c r="G18" s="7">
        <f>'Folha 7_13'!G18</f>
        <v>0</v>
      </c>
      <c r="H18" s="7">
        <f>'Folha 7_13'!H18</f>
        <v>0</v>
      </c>
      <c r="I18" s="7">
        <f>'Folha 7_13'!I18</f>
        <v>0</v>
      </c>
      <c r="J18" s="16"/>
      <c r="K18" s="8" t="s">
        <v>97</v>
      </c>
      <c r="L18" s="8" t="s">
        <v>97</v>
      </c>
      <c r="M18" s="8" t="s">
        <v>97</v>
      </c>
      <c r="N18" s="8" t="s">
        <v>97</v>
      </c>
      <c r="O18" s="8">
        <f>SUM(C18:J18)</f>
        <v>0</v>
      </c>
    </row>
    <row r="19" spans="1:15" x14ac:dyDescent="0.25">
      <c r="A19" s="5" t="str">
        <f>'Folha 1_13'!A19</f>
        <v>I61</v>
      </c>
      <c r="B19" s="6" t="str">
        <f>'Folha 1_13'!B19</f>
        <v>Consumo de energia elétrica (kWh)</v>
      </c>
      <c r="C19" s="7">
        <f>'Folha 7_13'!C19</f>
        <v>0</v>
      </c>
      <c r="D19" s="7">
        <f>'Folha 7_13'!D19</f>
        <v>0</v>
      </c>
      <c r="E19" s="7">
        <f>'Folha 7_13'!E19</f>
        <v>0</v>
      </c>
      <c r="F19" s="7">
        <f>'Folha 7_13'!F19</f>
        <v>0</v>
      </c>
      <c r="G19" s="7">
        <f>'Folha 7_13'!G19</f>
        <v>0</v>
      </c>
      <c r="H19" s="7">
        <f>'Folha 7_13'!H19</f>
        <v>0</v>
      </c>
      <c r="I19" s="7">
        <f>'Folha 7_13'!I19</f>
        <v>0</v>
      </c>
      <c r="J19" s="16"/>
      <c r="K19" s="8" t="s">
        <v>97</v>
      </c>
      <c r="L19" s="8" t="s">
        <v>97</v>
      </c>
      <c r="M19" s="8" t="s">
        <v>97</v>
      </c>
      <c r="N19" s="8" t="s">
        <v>97</v>
      </c>
      <c r="O19" s="8">
        <f t="shared" ref="O19:O21" si="1">SUM(C19:J19)</f>
        <v>0</v>
      </c>
    </row>
    <row r="20" spans="1:15" ht="25.5" x14ac:dyDescent="0.25">
      <c r="A20" s="5" t="str">
        <f>'Folha 1_13'!A20</f>
        <v>I62</v>
      </c>
      <c r="B20" s="6" t="str">
        <f>'Folha 1_13'!B20</f>
        <v>Ações de conscientização - meio ambiente por ano (Nº)</v>
      </c>
      <c r="C20" s="7">
        <f>'Folha 7_13'!C20</f>
        <v>0</v>
      </c>
      <c r="D20" s="7">
        <f>'Folha 7_13'!D20</f>
        <v>0</v>
      </c>
      <c r="E20" s="7">
        <f>'Folha 7_13'!E20</f>
        <v>0</v>
      </c>
      <c r="F20" s="7">
        <f>'Folha 7_13'!F20</f>
        <v>0</v>
      </c>
      <c r="G20" s="7">
        <f>'Folha 7_13'!G20</f>
        <v>0</v>
      </c>
      <c r="H20" s="7">
        <f>'Folha 7_13'!H20</f>
        <v>0</v>
      </c>
      <c r="I20" s="7">
        <f>'Folha 7_13'!I20</f>
        <v>0</v>
      </c>
      <c r="J20" s="16"/>
      <c r="K20" s="8" t="s">
        <v>97</v>
      </c>
      <c r="L20" s="8" t="s">
        <v>97</v>
      </c>
      <c r="M20" s="8" t="s">
        <v>97</v>
      </c>
      <c r="N20" s="8" t="s">
        <v>97</v>
      </c>
      <c r="O20" s="8">
        <f t="shared" si="1"/>
        <v>0</v>
      </c>
    </row>
    <row r="21" spans="1:15" ht="25.5" x14ac:dyDescent="0.25">
      <c r="A21" s="5" t="str">
        <f>'Folha 1_13'!A21</f>
        <v>I63</v>
      </c>
      <c r="B21" s="6" t="str">
        <f>'Folha 1_13'!B21</f>
        <v>Denúncias procedentes registradas pela CIC (Ética)</v>
      </c>
      <c r="C21" s="7">
        <f>'Folha 7_13'!C21</f>
        <v>0</v>
      </c>
      <c r="D21" s="7">
        <f>'Folha 7_13'!D21</f>
        <v>0</v>
      </c>
      <c r="E21" s="7">
        <f>'Folha 7_13'!E21</f>
        <v>0</v>
      </c>
      <c r="F21" s="7">
        <f>'Folha 7_13'!F21</f>
        <v>0</v>
      </c>
      <c r="G21" s="7">
        <f>'Folha 7_13'!G21</f>
        <v>0</v>
      </c>
      <c r="H21" s="7">
        <f>'Folha 7_13'!H21</f>
        <v>0</v>
      </c>
      <c r="I21" s="7">
        <f>'Folha 7_13'!I21</f>
        <v>0</v>
      </c>
      <c r="J21" s="16"/>
      <c r="K21" s="8" t="s">
        <v>97</v>
      </c>
      <c r="L21" s="8" t="s">
        <v>97</v>
      </c>
      <c r="M21" s="8" t="s">
        <v>97</v>
      </c>
      <c r="N21" s="8" t="s">
        <v>97</v>
      </c>
      <c r="O21" s="8">
        <f t="shared" si="1"/>
        <v>0</v>
      </c>
    </row>
    <row r="22" spans="1:15" x14ac:dyDescent="0.25">
      <c r="A22" s="5" t="str">
        <f>'Folha 1_13'!A22</f>
        <v>D95</v>
      </c>
      <c r="B22" s="6" t="str">
        <f>'Folha 1_13'!B22</f>
        <v>Inflação ano</v>
      </c>
      <c r="C22" s="7">
        <f>'Folha 7_13'!C22</f>
        <v>0</v>
      </c>
      <c r="D22" s="7">
        <f>'Folha 7_13'!D22</f>
        <v>0</v>
      </c>
      <c r="E22" s="7">
        <f>'Folha 7_13'!E22</f>
        <v>0</v>
      </c>
      <c r="F22" s="7">
        <f>'Folha 7_13'!F22</f>
        <v>0</v>
      </c>
      <c r="G22" s="7">
        <f>'Folha 7_13'!G22</f>
        <v>0</v>
      </c>
      <c r="H22" s="7">
        <f>'Folha 7_13'!H22</f>
        <v>0</v>
      </c>
      <c r="I22" s="7">
        <f>'Folha 7_13'!I22</f>
        <v>0</v>
      </c>
      <c r="J22" s="16"/>
      <c r="K22" s="8" t="s">
        <v>97</v>
      </c>
      <c r="L22" s="8" t="s">
        <v>97</v>
      </c>
      <c r="M22" s="8" t="s">
        <v>97</v>
      </c>
      <c r="N22" s="8" t="s">
        <v>97</v>
      </c>
      <c r="O22" s="8">
        <f t="shared" ref="O22:O23" si="2">SUM(C22:J22)</f>
        <v>0</v>
      </c>
    </row>
    <row r="23" spans="1:15" ht="25.5" x14ac:dyDescent="0.25">
      <c r="A23" s="5" t="str">
        <f>'Folha 1_13'!A23</f>
        <v>D78</v>
      </c>
      <c r="B23" s="6" t="str">
        <f>'Folha 1_13'!B23</f>
        <v>Número de não conformidades registradas em auditoria de terceria parte (NBR ISO 9001)</v>
      </c>
      <c r="C23" s="7">
        <f>'Folha 7_13'!C23</f>
        <v>0</v>
      </c>
      <c r="D23" s="7">
        <f>'Folha 7_13'!D23</f>
        <v>0</v>
      </c>
      <c r="E23" s="7">
        <f>'Folha 7_13'!E23</f>
        <v>0</v>
      </c>
      <c r="F23" s="7">
        <f>'Folha 7_13'!F23</f>
        <v>0</v>
      </c>
      <c r="G23" s="7">
        <f>'Folha 7_13'!G23</f>
        <v>0</v>
      </c>
      <c r="H23" s="7">
        <f>'Folha 7_13'!H23</f>
        <v>0</v>
      </c>
      <c r="I23" s="7">
        <f>'Folha 7_13'!I23</f>
        <v>0</v>
      </c>
      <c r="J23" s="16"/>
      <c r="K23" s="8" t="s">
        <v>97</v>
      </c>
      <c r="L23" s="8" t="s">
        <v>97</v>
      </c>
      <c r="M23" s="8" t="s">
        <v>97</v>
      </c>
      <c r="N23" s="8" t="s">
        <v>97</v>
      </c>
      <c r="O23" s="8">
        <f t="shared" si="2"/>
        <v>0</v>
      </c>
    </row>
    <row r="24" spans="1:15" x14ac:dyDescent="0.25">
      <c r="A24" s="32" t="s">
        <v>110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</row>
  </sheetData>
  <sheetProtection algorithmName="SHA-512" hashValue="n3pm/jza1IFjnJoonJkMgvY7WKD79bReE1QYIea6FtmpfHg7uoPMO0mrJvRRB2H+5XcAyVHyMLVPOWHN31zLmQ==" saltValue="u8sKJ2JPHTBlZmTnTE8VYQ==" spinCount="100000" sheet="1" formatCells="0" formatColumns="0" formatRows="0" autoFilter="0"/>
  <mergeCells count="12">
    <mergeCell ref="K9:O9"/>
    <mergeCell ref="A11:O11"/>
    <mergeCell ref="A24:O24"/>
    <mergeCell ref="A1:O1"/>
    <mergeCell ref="A3:E3"/>
    <mergeCell ref="F3:H3"/>
    <mergeCell ref="I3:O3"/>
    <mergeCell ref="A5:O5"/>
    <mergeCell ref="K6:O6"/>
    <mergeCell ref="K7:O7"/>
    <mergeCell ref="K8:O8"/>
    <mergeCell ref="K10:O10"/>
  </mergeCells>
  <pageMargins left="0.51181102362204722" right="0.51181102362204722" top="0.78740157480314965" bottom="0.78740157480314965" header="0.31496062992125984" footer="0.31496062992125984"/>
  <pageSetup paperSize="9" scale="71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9">
    <tabColor theme="3"/>
  </sheetPr>
  <dimension ref="A1:O24"/>
  <sheetViews>
    <sheetView view="pageBreakPreview" zoomScaleNormal="100" zoomScaleSheetLayoutView="100" workbookViewId="0">
      <selection activeCell="L20" sqref="L20"/>
    </sheetView>
  </sheetViews>
  <sheetFormatPr defaultRowHeight="15" x14ac:dyDescent="0.25"/>
  <cols>
    <col min="1" max="1" width="4.5703125" style="10" customWidth="1"/>
    <col min="2" max="2" width="44.140625" style="11" customWidth="1"/>
    <col min="3" max="15" width="9.140625" style="11" customWidth="1"/>
  </cols>
  <sheetData>
    <row r="1" spans="1:15" ht="24" customHeight="1" thickBot="1" x14ac:dyDescent="0.3">
      <c r="A1" s="22" t="s">
        <v>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4"/>
    </row>
    <row r="3" spans="1:15" ht="18.75" customHeight="1" x14ac:dyDescent="0.25">
      <c r="A3" s="26" t="str">
        <f>'Folha 1_13'!$A$3</f>
        <v>ANO:</v>
      </c>
      <c r="B3" s="26"/>
      <c r="C3" s="26"/>
      <c r="D3" s="26"/>
      <c r="E3" s="26"/>
      <c r="F3" s="26" t="s">
        <v>37</v>
      </c>
      <c r="G3" s="26"/>
      <c r="H3" s="26"/>
      <c r="I3" s="26" t="s">
        <v>25</v>
      </c>
      <c r="J3" s="26"/>
      <c r="K3" s="26"/>
      <c r="L3" s="26"/>
      <c r="M3" s="26"/>
      <c r="N3" s="26"/>
      <c r="O3" s="26"/>
    </row>
    <row r="4" spans="1:15" ht="18.7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18.75" customHeight="1" x14ac:dyDescent="0.25">
      <c r="A5" s="34" t="s">
        <v>22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</row>
    <row r="6" spans="1:15" ht="14.25" customHeight="1" x14ac:dyDescent="0.25">
      <c r="A6" s="4" t="s">
        <v>1</v>
      </c>
      <c r="B6" s="4" t="s">
        <v>0</v>
      </c>
      <c r="C6" s="4" t="s">
        <v>26</v>
      </c>
      <c r="D6" s="4" t="s">
        <v>27</v>
      </c>
      <c r="E6" s="4" t="s">
        <v>4</v>
      </c>
      <c r="F6" s="4" t="s">
        <v>20</v>
      </c>
      <c r="G6" s="4" t="s">
        <v>6</v>
      </c>
      <c r="H6" s="4" t="s">
        <v>5</v>
      </c>
      <c r="I6" s="4" t="s">
        <v>21</v>
      </c>
      <c r="J6" s="4" t="s">
        <v>3</v>
      </c>
      <c r="K6" s="36" t="s">
        <v>28</v>
      </c>
      <c r="L6" s="36"/>
      <c r="M6" s="36"/>
      <c r="N6" s="36"/>
      <c r="O6" s="36"/>
    </row>
    <row r="7" spans="1:15" ht="25.5" customHeight="1" x14ac:dyDescent="0.25">
      <c r="A7" s="5" t="str">
        <f>'Folha 1_13'!A7</f>
        <v>I46</v>
      </c>
      <c r="B7" s="6" t="str">
        <f>'Folha 1_13'!B7</f>
        <v>SAC solucionadas (%)</v>
      </c>
      <c r="C7" s="1"/>
      <c r="D7" s="1"/>
      <c r="E7" s="1"/>
      <c r="F7" s="1"/>
      <c r="G7" s="1"/>
      <c r="H7" s="1"/>
      <c r="I7" s="1"/>
      <c r="J7" s="17"/>
      <c r="K7" s="27" t="s">
        <v>104</v>
      </c>
      <c r="L7" s="28"/>
      <c r="M7" s="28"/>
      <c r="N7" s="28"/>
      <c r="O7" s="28"/>
    </row>
    <row r="8" spans="1:15" ht="25.5" customHeight="1" x14ac:dyDescent="0.25">
      <c r="A8" s="5" t="str">
        <f>'Folha 1_13'!A8</f>
        <v>I47</v>
      </c>
      <c r="B8" s="6" t="str">
        <f>'Folha 1_13'!B8</f>
        <v>SAP solucionadas (%)</v>
      </c>
      <c r="C8" s="1"/>
      <c r="D8" s="1"/>
      <c r="E8" s="1"/>
      <c r="F8" s="1"/>
      <c r="G8" s="1"/>
      <c r="H8" s="1"/>
      <c r="I8" s="1"/>
      <c r="J8" s="17"/>
      <c r="K8" s="27" t="s">
        <v>104</v>
      </c>
      <c r="L8" s="28"/>
      <c r="M8" s="28"/>
      <c r="N8" s="28"/>
      <c r="O8" s="28"/>
    </row>
    <row r="9" spans="1:15" ht="25.5" customHeight="1" x14ac:dyDescent="0.25">
      <c r="A9" s="5" t="str">
        <f>'Folha 1_13'!A9</f>
        <v>I48</v>
      </c>
      <c r="B9" s="6" t="str">
        <f>'Folha 1_13'!B9</f>
        <v>NCBI solucionadas (%)</v>
      </c>
      <c r="C9" s="1"/>
      <c r="D9" s="1"/>
      <c r="E9" s="1"/>
      <c r="F9" s="1"/>
      <c r="G9" s="1"/>
      <c r="H9" s="1"/>
      <c r="I9" s="1"/>
      <c r="J9" s="17"/>
      <c r="K9" s="27" t="s">
        <v>104</v>
      </c>
      <c r="L9" s="28"/>
      <c r="M9" s="28"/>
      <c r="N9" s="28"/>
      <c r="O9" s="28"/>
    </row>
    <row r="10" spans="1:15" ht="25.5" customHeight="1" x14ac:dyDescent="0.25">
      <c r="A10" s="5" t="str">
        <f>'Folha 1_13'!A10</f>
        <v>------</v>
      </c>
      <c r="B10" s="6" t="str">
        <f>'Folha 1_13'!B10</f>
        <v>Número de gestores</v>
      </c>
      <c r="C10" s="2"/>
      <c r="D10" s="2"/>
      <c r="E10" s="2"/>
      <c r="F10" s="2"/>
      <c r="G10" s="2"/>
      <c r="H10" s="2"/>
      <c r="I10" s="2"/>
      <c r="J10" s="2"/>
      <c r="K10" s="27" t="s">
        <v>104</v>
      </c>
      <c r="L10" s="28"/>
      <c r="M10" s="28"/>
      <c r="N10" s="28"/>
      <c r="O10" s="28"/>
    </row>
    <row r="11" spans="1:15" x14ac:dyDescent="0.25">
      <c r="A11" s="34" t="s">
        <v>23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</row>
    <row r="12" spans="1:15" x14ac:dyDescent="0.25">
      <c r="A12" s="4" t="s">
        <v>1</v>
      </c>
      <c r="B12" s="4" t="s">
        <v>0</v>
      </c>
      <c r="C12" s="4" t="s">
        <v>7</v>
      </c>
      <c r="D12" s="4" t="s">
        <v>8</v>
      </c>
      <c r="E12" s="4" t="s">
        <v>9</v>
      </c>
      <c r="F12" s="4" t="s">
        <v>10</v>
      </c>
      <c r="G12" s="4" t="s">
        <v>11</v>
      </c>
      <c r="H12" s="4" t="s">
        <v>12</v>
      </c>
      <c r="I12" s="4" t="s">
        <v>13</v>
      </c>
      <c r="J12" s="4" t="s">
        <v>14</v>
      </c>
      <c r="K12" s="4" t="s">
        <v>15</v>
      </c>
      <c r="L12" s="4" t="s">
        <v>16</v>
      </c>
      <c r="M12" s="4" t="s">
        <v>17</v>
      </c>
      <c r="N12" s="4" t="s">
        <v>18</v>
      </c>
      <c r="O12" s="4" t="s">
        <v>19</v>
      </c>
    </row>
    <row r="13" spans="1:15" ht="25.5" x14ac:dyDescent="0.25">
      <c r="A13" s="5" t="str">
        <f>'Folha 1_13'!A13</f>
        <v>I12</v>
      </c>
      <c r="B13" s="6" t="str">
        <f>'Folha 1_13'!B13</f>
        <v xml:space="preserve">Cumprimento às exigências fiscais municipais, federais e estaduais (número de falhas) </v>
      </c>
      <c r="C13" s="7">
        <f>'Folha 8_13'!C13</f>
        <v>0</v>
      </c>
      <c r="D13" s="7">
        <f>'Folha 8_13'!D13</f>
        <v>0</v>
      </c>
      <c r="E13" s="7">
        <f>'Folha 8_13'!E13</f>
        <v>0</v>
      </c>
      <c r="F13" s="7">
        <f>'Folha 8_13'!F13</f>
        <v>0</v>
      </c>
      <c r="G13" s="7">
        <f>'Folha 8_13'!G13</f>
        <v>0</v>
      </c>
      <c r="H13" s="7">
        <f>'Folha 8_13'!H13</f>
        <v>0</v>
      </c>
      <c r="I13" s="7">
        <f>'Folha 8_13'!I13</f>
        <v>0</v>
      </c>
      <c r="J13" s="7">
        <f>'Folha 8_13'!J13</f>
        <v>0</v>
      </c>
      <c r="K13" s="5"/>
      <c r="L13" s="8" t="s">
        <v>97</v>
      </c>
      <c r="M13" s="8" t="s">
        <v>97</v>
      </c>
      <c r="N13" s="8" t="s">
        <v>97</v>
      </c>
      <c r="O13" s="5">
        <f>K13</f>
        <v>0</v>
      </c>
    </row>
    <row r="14" spans="1:15" ht="25.5" x14ac:dyDescent="0.25">
      <c r="A14" s="5" t="str">
        <f>'Folha 1_13'!A14</f>
        <v>I49</v>
      </c>
      <c r="B14" s="6" t="str">
        <f>'Folha 1_13'!B14</f>
        <v>Ensaios acreditados na ABNT NBR ISO/IEC 17025. (Nº)</v>
      </c>
      <c r="C14" s="7">
        <f>'Folha 8_13'!C14</f>
        <v>0</v>
      </c>
      <c r="D14" s="7">
        <f>'Folha 8_13'!D14</f>
        <v>0</v>
      </c>
      <c r="E14" s="7">
        <f>'Folha 8_13'!E14</f>
        <v>0</v>
      </c>
      <c r="F14" s="7">
        <f>'Folha 8_13'!F14</f>
        <v>0</v>
      </c>
      <c r="G14" s="7">
        <f>'Folha 8_13'!G14</f>
        <v>0</v>
      </c>
      <c r="H14" s="7">
        <f>'Folha 8_13'!H14</f>
        <v>0</v>
      </c>
      <c r="I14" s="7">
        <f>'Folha 8_13'!I14</f>
        <v>0</v>
      </c>
      <c r="J14" s="7">
        <f>'Folha 8_13'!J14</f>
        <v>0</v>
      </c>
      <c r="K14" s="5"/>
      <c r="L14" s="8" t="s">
        <v>97</v>
      </c>
      <c r="M14" s="8" t="s">
        <v>97</v>
      </c>
      <c r="N14" s="8" t="s">
        <v>97</v>
      </c>
      <c r="O14" s="5">
        <f t="shared" ref="O14:O17" si="0">K14</f>
        <v>0</v>
      </c>
    </row>
    <row r="15" spans="1:15" x14ac:dyDescent="0.25">
      <c r="A15" s="5" t="str">
        <f>'Folha 1_13'!A15</f>
        <v>I50</v>
      </c>
      <c r="B15" s="6" t="str">
        <f>'Folha 1_13'!B15</f>
        <v>Habilitação do Ital junto à Reblas - Anvisa</v>
      </c>
      <c r="C15" s="7">
        <f>'Folha 8_13'!C15</f>
        <v>0</v>
      </c>
      <c r="D15" s="7">
        <f>'Folha 8_13'!D15</f>
        <v>0</v>
      </c>
      <c r="E15" s="7">
        <f>'Folha 8_13'!E15</f>
        <v>0</v>
      </c>
      <c r="F15" s="7">
        <f>'Folha 8_13'!F15</f>
        <v>0</v>
      </c>
      <c r="G15" s="7">
        <f>'Folha 8_13'!G15</f>
        <v>0</v>
      </c>
      <c r="H15" s="7">
        <f>'Folha 8_13'!H15</f>
        <v>0</v>
      </c>
      <c r="I15" s="7">
        <f>'Folha 8_13'!I15</f>
        <v>0</v>
      </c>
      <c r="J15" s="7">
        <f>'Folha 8_13'!J15</f>
        <v>0</v>
      </c>
      <c r="K15" s="5"/>
      <c r="L15" s="8" t="s">
        <v>97</v>
      </c>
      <c r="M15" s="8" t="s">
        <v>97</v>
      </c>
      <c r="N15" s="8" t="s">
        <v>97</v>
      </c>
      <c r="O15" s="5">
        <f t="shared" si="0"/>
        <v>0</v>
      </c>
    </row>
    <row r="16" spans="1:15" ht="25.5" x14ac:dyDescent="0.25">
      <c r="A16" s="5" t="str">
        <f>'Folha 1_13'!A16</f>
        <v>I51</v>
      </c>
      <c r="B16" s="6" t="str">
        <f>'Folha 1_13'!B16</f>
        <v>Certificação do Sistema de Gestão da Qualidade - NBR ISO 9001 (Nº)</v>
      </c>
      <c r="C16" s="7">
        <f>'Folha 8_13'!C16</f>
        <v>0</v>
      </c>
      <c r="D16" s="7">
        <f>'Folha 8_13'!D16</f>
        <v>0</v>
      </c>
      <c r="E16" s="7">
        <f>'Folha 8_13'!E16</f>
        <v>0</v>
      </c>
      <c r="F16" s="7">
        <f>'Folha 8_13'!F16</f>
        <v>0</v>
      </c>
      <c r="G16" s="7">
        <f>'Folha 8_13'!G16</f>
        <v>0</v>
      </c>
      <c r="H16" s="7">
        <f>'Folha 8_13'!H16</f>
        <v>0</v>
      </c>
      <c r="I16" s="7">
        <f>'Folha 8_13'!I16</f>
        <v>0</v>
      </c>
      <c r="J16" s="7">
        <f>'Folha 8_13'!J16</f>
        <v>0</v>
      </c>
      <c r="K16" s="5"/>
      <c r="L16" s="8" t="s">
        <v>97</v>
      </c>
      <c r="M16" s="8" t="s">
        <v>97</v>
      </c>
      <c r="N16" s="8" t="s">
        <v>97</v>
      </c>
      <c r="O16" s="5">
        <f t="shared" si="0"/>
        <v>0</v>
      </c>
    </row>
    <row r="17" spans="1:15" x14ac:dyDescent="0.25">
      <c r="A17" s="5" t="str">
        <f>'Folha 1_13'!A17</f>
        <v>I53</v>
      </c>
      <c r="B17" s="6" t="str">
        <f>'Folha 1_13'!B17</f>
        <v>Qualificação de fornecedores (%)</v>
      </c>
      <c r="C17" s="7">
        <f>'Folha 8_13'!C17</f>
        <v>0</v>
      </c>
      <c r="D17" s="7">
        <f>'Folha 8_13'!D17</f>
        <v>0</v>
      </c>
      <c r="E17" s="7">
        <f>'Folha 8_13'!E17</f>
        <v>0</v>
      </c>
      <c r="F17" s="7">
        <f>'Folha 8_13'!F17</f>
        <v>0</v>
      </c>
      <c r="G17" s="7">
        <f>'Folha 8_13'!G17</f>
        <v>0</v>
      </c>
      <c r="H17" s="7">
        <f>'Folha 8_13'!H17</f>
        <v>0</v>
      </c>
      <c r="I17" s="7">
        <f>'Folha 8_13'!I17</f>
        <v>0</v>
      </c>
      <c r="J17" s="7">
        <f>'Folha 8_13'!J17</f>
        <v>0</v>
      </c>
      <c r="K17" s="5"/>
      <c r="L17" s="8" t="s">
        <v>97</v>
      </c>
      <c r="M17" s="8" t="s">
        <v>97</v>
      </c>
      <c r="N17" s="8" t="s">
        <v>97</v>
      </c>
      <c r="O17" s="5">
        <f t="shared" si="0"/>
        <v>0</v>
      </c>
    </row>
    <row r="18" spans="1:15" x14ac:dyDescent="0.25">
      <c r="A18" s="5" t="str">
        <f>'Folha 1_13'!A18</f>
        <v>I60</v>
      </c>
      <c r="B18" s="6" t="str">
        <f>'Folha 1_13'!B18</f>
        <v>Consumo de água (m3)</v>
      </c>
      <c r="C18" s="7">
        <f>'Folha 8_13'!C18</f>
        <v>0</v>
      </c>
      <c r="D18" s="7">
        <f>'Folha 8_13'!D18</f>
        <v>0</v>
      </c>
      <c r="E18" s="7">
        <f>'Folha 8_13'!E18</f>
        <v>0</v>
      </c>
      <c r="F18" s="7">
        <f>'Folha 8_13'!F18</f>
        <v>0</v>
      </c>
      <c r="G18" s="7">
        <f>'Folha 8_13'!G18</f>
        <v>0</v>
      </c>
      <c r="H18" s="7">
        <f>'Folha 8_13'!H18</f>
        <v>0</v>
      </c>
      <c r="I18" s="7">
        <f>'Folha 8_13'!I18</f>
        <v>0</v>
      </c>
      <c r="J18" s="7">
        <f>'Folha 8_13'!J18</f>
        <v>0</v>
      </c>
      <c r="K18" s="5"/>
      <c r="L18" s="8" t="s">
        <v>97</v>
      </c>
      <c r="M18" s="8" t="s">
        <v>97</v>
      </c>
      <c r="N18" s="8" t="s">
        <v>97</v>
      </c>
      <c r="O18" s="8">
        <f>SUM(C18:K18)</f>
        <v>0</v>
      </c>
    </row>
    <row r="19" spans="1:15" x14ac:dyDescent="0.25">
      <c r="A19" s="5" t="str">
        <f>'Folha 1_13'!A19</f>
        <v>I61</v>
      </c>
      <c r="B19" s="6" t="str">
        <f>'Folha 1_13'!B19</f>
        <v>Consumo de energia elétrica (kWh)</v>
      </c>
      <c r="C19" s="7">
        <f>'Folha 8_13'!C19</f>
        <v>0</v>
      </c>
      <c r="D19" s="7">
        <f>'Folha 8_13'!D19</f>
        <v>0</v>
      </c>
      <c r="E19" s="7">
        <f>'Folha 8_13'!E19</f>
        <v>0</v>
      </c>
      <c r="F19" s="7">
        <f>'Folha 8_13'!F19</f>
        <v>0</v>
      </c>
      <c r="G19" s="7">
        <f>'Folha 8_13'!G19</f>
        <v>0</v>
      </c>
      <c r="H19" s="7">
        <f>'Folha 8_13'!H19</f>
        <v>0</v>
      </c>
      <c r="I19" s="7">
        <f>'Folha 8_13'!I19</f>
        <v>0</v>
      </c>
      <c r="J19" s="7">
        <f>'Folha 8_13'!J19</f>
        <v>0</v>
      </c>
      <c r="K19" s="5"/>
      <c r="L19" s="8" t="s">
        <v>97</v>
      </c>
      <c r="M19" s="8" t="s">
        <v>97</v>
      </c>
      <c r="N19" s="8" t="s">
        <v>97</v>
      </c>
      <c r="O19" s="8">
        <f t="shared" ref="O19:O21" si="1">SUM(C19:K19)</f>
        <v>0</v>
      </c>
    </row>
    <row r="20" spans="1:15" ht="25.5" x14ac:dyDescent="0.25">
      <c r="A20" s="5" t="str">
        <f>'Folha 1_13'!A20</f>
        <v>I62</v>
      </c>
      <c r="B20" s="6" t="str">
        <f>'Folha 1_13'!B20</f>
        <v>Ações de conscientização - meio ambiente por ano (Nº)</v>
      </c>
      <c r="C20" s="7">
        <f>'Folha 8_13'!C20</f>
        <v>0</v>
      </c>
      <c r="D20" s="7">
        <f>'Folha 8_13'!D20</f>
        <v>0</v>
      </c>
      <c r="E20" s="7">
        <f>'Folha 8_13'!E20</f>
        <v>0</v>
      </c>
      <c r="F20" s="7">
        <f>'Folha 8_13'!F20</f>
        <v>0</v>
      </c>
      <c r="G20" s="7">
        <f>'Folha 8_13'!G20</f>
        <v>0</v>
      </c>
      <c r="H20" s="7">
        <f>'Folha 8_13'!H20</f>
        <v>0</v>
      </c>
      <c r="I20" s="7">
        <f>'Folha 8_13'!I20</f>
        <v>0</v>
      </c>
      <c r="J20" s="7">
        <f>'Folha 8_13'!J20</f>
        <v>0</v>
      </c>
      <c r="K20" s="5"/>
      <c r="L20" s="8" t="s">
        <v>97</v>
      </c>
      <c r="M20" s="8" t="s">
        <v>97</v>
      </c>
      <c r="N20" s="8" t="s">
        <v>97</v>
      </c>
      <c r="O20" s="8">
        <f t="shared" si="1"/>
        <v>0</v>
      </c>
    </row>
    <row r="21" spans="1:15" ht="25.5" x14ac:dyDescent="0.25">
      <c r="A21" s="5" t="str">
        <f>'Folha 1_13'!A21</f>
        <v>I63</v>
      </c>
      <c r="B21" s="6" t="str">
        <f>'Folha 1_13'!B21</f>
        <v>Denúncias procedentes registradas pela CIC (Ética)</v>
      </c>
      <c r="C21" s="7">
        <f>'Folha 8_13'!C21</f>
        <v>0</v>
      </c>
      <c r="D21" s="7">
        <f>'Folha 8_13'!D21</f>
        <v>0</v>
      </c>
      <c r="E21" s="7">
        <f>'Folha 8_13'!E21</f>
        <v>0</v>
      </c>
      <c r="F21" s="7">
        <f>'Folha 8_13'!F21</f>
        <v>0</v>
      </c>
      <c r="G21" s="7">
        <f>'Folha 8_13'!G21</f>
        <v>0</v>
      </c>
      <c r="H21" s="7">
        <f>'Folha 8_13'!H21</f>
        <v>0</v>
      </c>
      <c r="I21" s="7">
        <f>'Folha 8_13'!I21</f>
        <v>0</v>
      </c>
      <c r="J21" s="7">
        <f>'Folha 8_13'!J21</f>
        <v>0</v>
      </c>
      <c r="K21" s="5"/>
      <c r="L21" s="8" t="s">
        <v>97</v>
      </c>
      <c r="M21" s="8" t="s">
        <v>97</v>
      </c>
      <c r="N21" s="8" t="s">
        <v>97</v>
      </c>
      <c r="O21" s="8">
        <f t="shared" si="1"/>
        <v>0</v>
      </c>
    </row>
    <row r="22" spans="1:15" x14ac:dyDescent="0.25">
      <c r="A22" s="5" t="str">
        <f>'Folha 1_13'!A22</f>
        <v>D95</v>
      </c>
      <c r="B22" s="6" t="str">
        <f>'Folha 1_13'!B22</f>
        <v>Inflação ano</v>
      </c>
      <c r="C22" s="7">
        <f>'Folha 8_13'!C22</f>
        <v>0</v>
      </c>
      <c r="D22" s="7">
        <f>'Folha 8_13'!D22</f>
        <v>0</v>
      </c>
      <c r="E22" s="7">
        <f>'Folha 8_13'!E22</f>
        <v>0</v>
      </c>
      <c r="F22" s="7">
        <f>'Folha 8_13'!F22</f>
        <v>0</v>
      </c>
      <c r="G22" s="7">
        <f>'Folha 8_13'!G22</f>
        <v>0</v>
      </c>
      <c r="H22" s="7">
        <f>'Folha 8_13'!H22</f>
        <v>0</v>
      </c>
      <c r="I22" s="7">
        <f>'Folha 8_13'!I22</f>
        <v>0</v>
      </c>
      <c r="J22" s="7">
        <f>'Folha 8_13'!J22</f>
        <v>0</v>
      </c>
      <c r="K22" s="5"/>
      <c r="L22" s="8" t="s">
        <v>97</v>
      </c>
      <c r="M22" s="8" t="s">
        <v>97</v>
      </c>
      <c r="N22" s="8" t="s">
        <v>97</v>
      </c>
      <c r="O22" s="8">
        <f t="shared" ref="O22:O23" si="2">SUM(C22:K22)</f>
        <v>0</v>
      </c>
    </row>
    <row r="23" spans="1:15" ht="25.5" x14ac:dyDescent="0.25">
      <c r="A23" s="5" t="str">
        <f>'Folha 1_13'!A23</f>
        <v>D78</v>
      </c>
      <c r="B23" s="6" t="str">
        <f>'Folha 1_13'!B23</f>
        <v>Número de não conformidades registradas em auditoria de terceria parte (NBR ISO 9001)</v>
      </c>
      <c r="C23" s="7">
        <f>'Folha 8_13'!C23</f>
        <v>0</v>
      </c>
      <c r="D23" s="7">
        <f>'Folha 8_13'!D23</f>
        <v>0</v>
      </c>
      <c r="E23" s="7">
        <f>'Folha 8_13'!E23</f>
        <v>0</v>
      </c>
      <c r="F23" s="7">
        <f>'Folha 8_13'!F23</f>
        <v>0</v>
      </c>
      <c r="G23" s="7">
        <f>'Folha 8_13'!G23</f>
        <v>0</v>
      </c>
      <c r="H23" s="7">
        <f>'Folha 8_13'!H23</f>
        <v>0</v>
      </c>
      <c r="I23" s="7">
        <f>'Folha 8_13'!I23</f>
        <v>0</v>
      </c>
      <c r="J23" s="7">
        <f>'Folha 8_13'!J23</f>
        <v>0</v>
      </c>
      <c r="K23" s="5"/>
      <c r="L23" s="8" t="s">
        <v>97</v>
      </c>
      <c r="M23" s="8" t="s">
        <v>97</v>
      </c>
      <c r="N23" s="8" t="s">
        <v>97</v>
      </c>
      <c r="O23" s="8">
        <f t="shared" si="2"/>
        <v>0</v>
      </c>
    </row>
    <row r="24" spans="1:15" x14ac:dyDescent="0.25">
      <c r="A24" s="32" t="s">
        <v>109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</row>
  </sheetData>
  <sheetProtection algorithmName="SHA-512" hashValue="0HL/AuEx+3InSbgHweecGJ4fiCVWoOBt3XPgsQrr9yMYAnIGXyYNm02qdP/Is4+MwPxI9iemPLtnsPJuNQdCCQ==" saltValue="1VtF4B+QwFRCqabB7UPBYQ==" spinCount="100000" sheet="1" formatCells="0" formatColumns="0" formatRows="0" autoFilter="0"/>
  <mergeCells count="12">
    <mergeCell ref="K9:O9"/>
    <mergeCell ref="A11:O11"/>
    <mergeCell ref="A24:O24"/>
    <mergeCell ref="A1:O1"/>
    <mergeCell ref="A3:E3"/>
    <mergeCell ref="F3:H3"/>
    <mergeCell ref="I3:O3"/>
    <mergeCell ref="A5:O5"/>
    <mergeCell ref="K6:O6"/>
    <mergeCell ref="K7:O7"/>
    <mergeCell ref="K8:O8"/>
    <mergeCell ref="K10:O10"/>
  </mergeCells>
  <pageMargins left="0.51181102362204722" right="0.51181102362204722" top="0.78740157480314965" bottom="0.78740157480314965" header="0.31496062992125984" footer="0.31496062992125984"/>
  <pageSetup paperSize="9" scale="7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10">
    <tabColor theme="3"/>
  </sheetPr>
  <dimension ref="A1:O24"/>
  <sheetViews>
    <sheetView view="pageBreakPreview" topLeftCell="A2" zoomScaleNormal="100" zoomScaleSheetLayoutView="100" workbookViewId="0">
      <selection activeCell="L20" sqref="L20"/>
    </sheetView>
  </sheetViews>
  <sheetFormatPr defaultRowHeight="15" x14ac:dyDescent="0.25"/>
  <cols>
    <col min="1" max="1" width="6.5703125" style="10" customWidth="1"/>
    <col min="2" max="2" width="44.140625" style="11" customWidth="1"/>
    <col min="3" max="15" width="9.140625" style="11" customWidth="1"/>
  </cols>
  <sheetData>
    <row r="1" spans="1:15" ht="24" customHeight="1" thickBot="1" x14ac:dyDescent="0.3">
      <c r="A1" s="22" t="s">
        <v>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4"/>
    </row>
    <row r="3" spans="1:15" ht="18.75" customHeight="1" x14ac:dyDescent="0.25">
      <c r="A3" s="26" t="str">
        <f>'Folha 1_13'!$A$3</f>
        <v>ANO:</v>
      </c>
      <c r="B3" s="26"/>
      <c r="C3" s="26"/>
      <c r="D3" s="26"/>
      <c r="E3" s="26"/>
      <c r="F3" s="26" t="s">
        <v>38</v>
      </c>
      <c r="G3" s="26"/>
      <c r="H3" s="26"/>
      <c r="I3" s="25" t="s">
        <v>25</v>
      </c>
      <c r="J3" s="25"/>
      <c r="K3" s="25"/>
      <c r="L3" s="25"/>
      <c r="M3" s="25"/>
      <c r="N3" s="25"/>
      <c r="O3" s="25"/>
    </row>
    <row r="4" spans="1:15" ht="18.7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18.75" customHeight="1" x14ac:dyDescent="0.25">
      <c r="A5" s="34" t="s">
        <v>22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</row>
    <row r="6" spans="1:15" ht="14.25" customHeight="1" x14ac:dyDescent="0.25">
      <c r="A6" s="4" t="s">
        <v>1</v>
      </c>
      <c r="B6" s="4" t="s">
        <v>0</v>
      </c>
      <c r="C6" s="4" t="s">
        <v>26</v>
      </c>
      <c r="D6" s="4" t="s">
        <v>27</v>
      </c>
      <c r="E6" s="4" t="s">
        <v>4</v>
      </c>
      <c r="F6" s="4" t="s">
        <v>20</v>
      </c>
      <c r="G6" s="4" t="s">
        <v>6</v>
      </c>
      <c r="H6" s="4" t="s">
        <v>5</v>
      </c>
      <c r="I6" s="4" t="s">
        <v>21</v>
      </c>
      <c r="J6" s="4" t="s">
        <v>3</v>
      </c>
      <c r="K6" s="36" t="s">
        <v>28</v>
      </c>
      <c r="L6" s="36"/>
      <c r="M6" s="36"/>
      <c r="N6" s="36"/>
      <c r="O6" s="36"/>
    </row>
    <row r="7" spans="1:15" ht="27" customHeight="1" x14ac:dyDescent="0.25">
      <c r="A7" s="5" t="str">
        <f>'Folha 1_13'!A7</f>
        <v>I46</v>
      </c>
      <c r="B7" s="6" t="str">
        <f>'Folha 1_13'!B7</f>
        <v>SAC solucionadas (%)</v>
      </c>
      <c r="C7" s="14"/>
      <c r="D7" s="14"/>
      <c r="E7" s="14"/>
      <c r="F7" s="14"/>
      <c r="G7" s="14"/>
      <c r="H7" s="14"/>
      <c r="I7" s="14"/>
      <c r="J7" s="15"/>
      <c r="K7" s="27" t="s">
        <v>104</v>
      </c>
      <c r="L7" s="28"/>
      <c r="M7" s="28"/>
      <c r="N7" s="28"/>
      <c r="O7" s="28"/>
    </row>
    <row r="8" spans="1:15" ht="27" customHeight="1" x14ac:dyDescent="0.25">
      <c r="A8" s="5" t="str">
        <f>'Folha 1_13'!A8</f>
        <v>I47</v>
      </c>
      <c r="B8" s="6" t="str">
        <f>'Folha 1_13'!B8</f>
        <v>SAP solucionadas (%)</v>
      </c>
      <c r="C8" s="14"/>
      <c r="D8" s="14"/>
      <c r="E8" s="14"/>
      <c r="F8" s="14"/>
      <c r="G8" s="14"/>
      <c r="H8" s="14"/>
      <c r="I8" s="14"/>
      <c r="J8" s="15"/>
      <c r="K8" s="27" t="s">
        <v>104</v>
      </c>
      <c r="L8" s="28"/>
      <c r="M8" s="28"/>
      <c r="N8" s="28"/>
      <c r="O8" s="28"/>
    </row>
    <row r="9" spans="1:15" ht="25.5" customHeight="1" x14ac:dyDescent="0.25">
      <c r="A9" s="5" t="str">
        <f>'Folha 1_13'!A9</f>
        <v>I48</v>
      </c>
      <c r="B9" s="6" t="str">
        <f>'Folha 1_13'!B9</f>
        <v>NCBI solucionadas (%)</v>
      </c>
      <c r="C9" s="14"/>
      <c r="D9" s="14"/>
      <c r="E9" s="14"/>
      <c r="F9" s="14"/>
      <c r="G9" s="14"/>
      <c r="H9" s="14"/>
      <c r="I9" s="14"/>
      <c r="J9" s="15"/>
      <c r="K9" s="27" t="s">
        <v>104</v>
      </c>
      <c r="L9" s="28"/>
      <c r="M9" s="28"/>
      <c r="N9" s="28"/>
      <c r="O9" s="28"/>
    </row>
    <row r="10" spans="1:15" ht="25.5" customHeight="1" x14ac:dyDescent="0.25">
      <c r="A10" s="5" t="str">
        <f>'Folha 1_13'!A10</f>
        <v>------</v>
      </c>
      <c r="B10" s="6" t="str">
        <f>'Folha 1_13'!B10</f>
        <v>Número de gestores</v>
      </c>
      <c r="C10" s="2"/>
      <c r="D10" s="2"/>
      <c r="E10" s="2"/>
      <c r="F10" s="2"/>
      <c r="G10" s="2"/>
      <c r="H10" s="2"/>
      <c r="I10" s="2"/>
      <c r="J10" s="2"/>
      <c r="K10" s="27" t="s">
        <v>104</v>
      </c>
      <c r="L10" s="28"/>
      <c r="M10" s="28"/>
      <c r="N10" s="28"/>
      <c r="O10" s="28"/>
    </row>
    <row r="11" spans="1:15" x14ac:dyDescent="0.25">
      <c r="A11" s="35" t="s">
        <v>23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</row>
    <row r="12" spans="1:15" x14ac:dyDescent="0.25">
      <c r="A12" s="4" t="s">
        <v>1</v>
      </c>
      <c r="B12" s="4" t="s">
        <v>0</v>
      </c>
      <c r="C12" s="4" t="s">
        <v>7</v>
      </c>
      <c r="D12" s="4" t="s">
        <v>8</v>
      </c>
      <c r="E12" s="4" t="s">
        <v>9</v>
      </c>
      <c r="F12" s="4" t="s">
        <v>10</v>
      </c>
      <c r="G12" s="4" t="s">
        <v>11</v>
      </c>
      <c r="H12" s="4" t="s">
        <v>12</v>
      </c>
      <c r="I12" s="4" t="s">
        <v>13</v>
      </c>
      <c r="J12" s="4" t="s">
        <v>14</v>
      </c>
      <c r="K12" s="4" t="s">
        <v>15</v>
      </c>
      <c r="L12" s="4" t="s">
        <v>16</v>
      </c>
      <c r="M12" s="4" t="s">
        <v>17</v>
      </c>
      <c r="N12" s="4" t="s">
        <v>18</v>
      </c>
      <c r="O12" s="4" t="s">
        <v>19</v>
      </c>
    </row>
    <row r="13" spans="1:15" ht="25.5" x14ac:dyDescent="0.25">
      <c r="A13" s="16" t="str">
        <f>'Folha 1_13'!A13</f>
        <v>I12</v>
      </c>
      <c r="B13" s="20" t="str">
        <f>'Folha 1_13'!B13</f>
        <v xml:space="preserve">Cumprimento às exigências fiscais municipais, federais e estaduais (número de falhas) </v>
      </c>
      <c r="C13" s="12">
        <f>'Folha 9_13'!C13</f>
        <v>0</v>
      </c>
      <c r="D13" s="12">
        <f>'Folha 9_13'!D13</f>
        <v>0</v>
      </c>
      <c r="E13" s="12">
        <f>'Folha 9_13'!E13</f>
        <v>0</v>
      </c>
      <c r="F13" s="12">
        <f>'Folha 9_13'!F13</f>
        <v>0</v>
      </c>
      <c r="G13" s="12">
        <f>'Folha 9_13'!G13</f>
        <v>0</v>
      </c>
      <c r="H13" s="12">
        <f>'Folha 9_13'!H13</f>
        <v>0</v>
      </c>
      <c r="I13" s="12">
        <f>'Folha 9_13'!I13</f>
        <v>0</v>
      </c>
      <c r="J13" s="12">
        <f>'Folha 9_13'!J13</f>
        <v>0</v>
      </c>
      <c r="K13" s="12">
        <f>'Folha 9_13'!K13</f>
        <v>0</v>
      </c>
      <c r="L13" s="16"/>
      <c r="M13" s="8" t="s">
        <v>97</v>
      </c>
      <c r="N13" s="8" t="s">
        <v>97</v>
      </c>
      <c r="O13" s="8">
        <f t="shared" ref="O13:O17" si="0">L13</f>
        <v>0</v>
      </c>
    </row>
    <row r="14" spans="1:15" ht="25.5" x14ac:dyDescent="0.25">
      <c r="A14" s="16" t="str">
        <f>'Folha 1_13'!A14</f>
        <v>I49</v>
      </c>
      <c r="B14" s="20" t="str">
        <f>'Folha 1_13'!B14</f>
        <v>Ensaios acreditados na ABNT NBR ISO/IEC 17025. (Nº)</v>
      </c>
      <c r="C14" s="12">
        <f>'Folha 9_13'!C14</f>
        <v>0</v>
      </c>
      <c r="D14" s="12">
        <f>'Folha 9_13'!D14</f>
        <v>0</v>
      </c>
      <c r="E14" s="12">
        <f>'Folha 9_13'!E14</f>
        <v>0</v>
      </c>
      <c r="F14" s="12">
        <f>'Folha 9_13'!F14</f>
        <v>0</v>
      </c>
      <c r="G14" s="12">
        <f>'Folha 9_13'!G14</f>
        <v>0</v>
      </c>
      <c r="H14" s="12">
        <f>'Folha 9_13'!H14</f>
        <v>0</v>
      </c>
      <c r="I14" s="12">
        <f>'Folha 9_13'!I14</f>
        <v>0</v>
      </c>
      <c r="J14" s="12">
        <f>'Folha 9_13'!J14</f>
        <v>0</v>
      </c>
      <c r="K14" s="12">
        <f>'Folha 9_13'!K14</f>
        <v>0</v>
      </c>
      <c r="L14" s="16"/>
      <c r="M14" s="8" t="s">
        <v>97</v>
      </c>
      <c r="N14" s="8" t="s">
        <v>97</v>
      </c>
      <c r="O14" s="8">
        <f t="shared" si="0"/>
        <v>0</v>
      </c>
    </row>
    <row r="15" spans="1:15" x14ac:dyDescent="0.25">
      <c r="A15" s="16" t="str">
        <f>'Folha 1_13'!A15</f>
        <v>I50</v>
      </c>
      <c r="B15" s="20" t="str">
        <f>'Folha 1_13'!B15</f>
        <v>Habilitação do Ital junto à Reblas - Anvisa</v>
      </c>
      <c r="C15" s="12">
        <f>'Folha 9_13'!C15</f>
        <v>0</v>
      </c>
      <c r="D15" s="12">
        <f>'Folha 9_13'!D15</f>
        <v>0</v>
      </c>
      <c r="E15" s="12">
        <f>'Folha 9_13'!E15</f>
        <v>0</v>
      </c>
      <c r="F15" s="12">
        <f>'Folha 9_13'!F15</f>
        <v>0</v>
      </c>
      <c r="G15" s="12">
        <f>'Folha 9_13'!G15</f>
        <v>0</v>
      </c>
      <c r="H15" s="12">
        <f>'Folha 9_13'!H15</f>
        <v>0</v>
      </c>
      <c r="I15" s="12">
        <f>'Folha 9_13'!I15</f>
        <v>0</v>
      </c>
      <c r="J15" s="12">
        <f>'Folha 9_13'!J15</f>
        <v>0</v>
      </c>
      <c r="K15" s="12">
        <f>'Folha 9_13'!K15</f>
        <v>0</v>
      </c>
      <c r="L15" s="16"/>
      <c r="M15" s="8" t="s">
        <v>97</v>
      </c>
      <c r="N15" s="8" t="s">
        <v>97</v>
      </c>
      <c r="O15" s="8">
        <f t="shared" si="0"/>
        <v>0</v>
      </c>
    </row>
    <row r="16" spans="1:15" ht="25.5" x14ac:dyDescent="0.25">
      <c r="A16" s="16" t="str">
        <f>'Folha 1_13'!A16</f>
        <v>I51</v>
      </c>
      <c r="B16" s="20" t="str">
        <f>'Folha 1_13'!B16</f>
        <v>Certificação do Sistema de Gestão da Qualidade - NBR ISO 9001 (Nº)</v>
      </c>
      <c r="C16" s="12">
        <f>'Folha 9_13'!C16</f>
        <v>0</v>
      </c>
      <c r="D16" s="12">
        <f>'Folha 9_13'!D16</f>
        <v>0</v>
      </c>
      <c r="E16" s="12">
        <f>'Folha 9_13'!E16</f>
        <v>0</v>
      </c>
      <c r="F16" s="12">
        <f>'Folha 9_13'!F16</f>
        <v>0</v>
      </c>
      <c r="G16" s="12">
        <f>'Folha 9_13'!G16</f>
        <v>0</v>
      </c>
      <c r="H16" s="12">
        <f>'Folha 9_13'!H16</f>
        <v>0</v>
      </c>
      <c r="I16" s="12">
        <f>'Folha 9_13'!I16</f>
        <v>0</v>
      </c>
      <c r="J16" s="12">
        <f>'Folha 9_13'!J16</f>
        <v>0</v>
      </c>
      <c r="K16" s="12">
        <f>'Folha 9_13'!K16</f>
        <v>0</v>
      </c>
      <c r="L16" s="16"/>
      <c r="M16" s="8" t="s">
        <v>97</v>
      </c>
      <c r="N16" s="8" t="s">
        <v>97</v>
      </c>
      <c r="O16" s="8">
        <f t="shared" si="0"/>
        <v>0</v>
      </c>
    </row>
    <row r="17" spans="1:15" x14ac:dyDescent="0.25">
      <c r="A17" s="16" t="str">
        <f>'Folha 1_13'!A17</f>
        <v>I53</v>
      </c>
      <c r="B17" s="20" t="str">
        <f>'Folha 1_13'!B17</f>
        <v>Qualificação de fornecedores (%)</v>
      </c>
      <c r="C17" s="12">
        <f>'Folha 9_13'!C17</f>
        <v>0</v>
      </c>
      <c r="D17" s="12">
        <f>'Folha 9_13'!D17</f>
        <v>0</v>
      </c>
      <c r="E17" s="12">
        <f>'Folha 9_13'!E17</f>
        <v>0</v>
      </c>
      <c r="F17" s="12">
        <f>'Folha 9_13'!F17</f>
        <v>0</v>
      </c>
      <c r="G17" s="12">
        <f>'Folha 9_13'!G17</f>
        <v>0</v>
      </c>
      <c r="H17" s="12">
        <f>'Folha 9_13'!H17</f>
        <v>0</v>
      </c>
      <c r="I17" s="12">
        <f>'Folha 9_13'!I17</f>
        <v>0</v>
      </c>
      <c r="J17" s="12">
        <f>'Folha 9_13'!J17</f>
        <v>0</v>
      </c>
      <c r="K17" s="12">
        <f>'Folha 9_13'!K17</f>
        <v>0</v>
      </c>
      <c r="L17" s="16"/>
      <c r="M17" s="8" t="s">
        <v>97</v>
      </c>
      <c r="N17" s="8" t="s">
        <v>97</v>
      </c>
      <c r="O17" s="8">
        <f t="shared" si="0"/>
        <v>0</v>
      </c>
    </row>
    <row r="18" spans="1:15" x14ac:dyDescent="0.25">
      <c r="A18" s="16" t="str">
        <f>'Folha 1_13'!A18</f>
        <v>I60</v>
      </c>
      <c r="B18" s="20" t="str">
        <f>'Folha 1_13'!B18</f>
        <v>Consumo de água (m3)</v>
      </c>
      <c r="C18" s="12">
        <f>'Folha 9_13'!C18</f>
        <v>0</v>
      </c>
      <c r="D18" s="12">
        <f>'Folha 9_13'!D18</f>
        <v>0</v>
      </c>
      <c r="E18" s="12">
        <f>'Folha 9_13'!E18</f>
        <v>0</v>
      </c>
      <c r="F18" s="12">
        <f>'Folha 9_13'!F18</f>
        <v>0</v>
      </c>
      <c r="G18" s="12">
        <f>'Folha 9_13'!G18</f>
        <v>0</v>
      </c>
      <c r="H18" s="12">
        <f>'Folha 9_13'!H18</f>
        <v>0</v>
      </c>
      <c r="I18" s="12">
        <f>'Folha 9_13'!I18</f>
        <v>0</v>
      </c>
      <c r="J18" s="12">
        <f>'Folha 9_13'!J18</f>
        <v>0</v>
      </c>
      <c r="K18" s="12">
        <f>'Folha 9_13'!K18</f>
        <v>0</v>
      </c>
      <c r="L18" s="16"/>
      <c r="M18" s="8" t="s">
        <v>97</v>
      </c>
      <c r="N18" s="8" t="s">
        <v>97</v>
      </c>
      <c r="O18" s="8">
        <f>SUM(C18:L18)</f>
        <v>0</v>
      </c>
    </row>
    <row r="19" spans="1:15" x14ac:dyDescent="0.25">
      <c r="A19" s="16" t="str">
        <f>'Folha 1_13'!A19</f>
        <v>I61</v>
      </c>
      <c r="B19" s="20" t="str">
        <f>'Folha 1_13'!B19</f>
        <v>Consumo de energia elétrica (kWh)</v>
      </c>
      <c r="C19" s="12">
        <f>'Folha 9_13'!C19</f>
        <v>0</v>
      </c>
      <c r="D19" s="12">
        <f>'Folha 9_13'!D19</f>
        <v>0</v>
      </c>
      <c r="E19" s="12">
        <f>'Folha 9_13'!E19</f>
        <v>0</v>
      </c>
      <c r="F19" s="12">
        <f>'Folha 9_13'!F19</f>
        <v>0</v>
      </c>
      <c r="G19" s="12">
        <f>'Folha 9_13'!G19</f>
        <v>0</v>
      </c>
      <c r="H19" s="12">
        <f>'Folha 9_13'!H19</f>
        <v>0</v>
      </c>
      <c r="I19" s="12">
        <f>'Folha 9_13'!I19</f>
        <v>0</v>
      </c>
      <c r="J19" s="12">
        <f>'Folha 9_13'!J19</f>
        <v>0</v>
      </c>
      <c r="K19" s="12">
        <f>'Folha 9_13'!K19</f>
        <v>0</v>
      </c>
      <c r="L19" s="16"/>
      <c r="M19" s="8" t="s">
        <v>97</v>
      </c>
      <c r="N19" s="8" t="s">
        <v>97</v>
      </c>
      <c r="O19" s="8">
        <f t="shared" ref="O19:O21" si="1">SUM(C19:L19)</f>
        <v>0</v>
      </c>
    </row>
    <row r="20" spans="1:15" ht="25.5" x14ac:dyDescent="0.25">
      <c r="A20" s="16" t="str">
        <f>'Folha 1_13'!A20</f>
        <v>I62</v>
      </c>
      <c r="B20" s="20" t="str">
        <f>'Folha 1_13'!B20</f>
        <v>Ações de conscientização - meio ambiente por ano (Nº)</v>
      </c>
      <c r="C20" s="12">
        <f>'Folha 9_13'!C20</f>
        <v>0</v>
      </c>
      <c r="D20" s="12">
        <f>'Folha 9_13'!D20</f>
        <v>0</v>
      </c>
      <c r="E20" s="12">
        <f>'Folha 9_13'!E20</f>
        <v>0</v>
      </c>
      <c r="F20" s="12">
        <f>'Folha 9_13'!F20</f>
        <v>0</v>
      </c>
      <c r="G20" s="12">
        <f>'Folha 9_13'!G20</f>
        <v>0</v>
      </c>
      <c r="H20" s="12">
        <f>'Folha 9_13'!H20</f>
        <v>0</v>
      </c>
      <c r="I20" s="12">
        <f>'Folha 9_13'!I20</f>
        <v>0</v>
      </c>
      <c r="J20" s="12">
        <f>'Folha 9_13'!J20</f>
        <v>0</v>
      </c>
      <c r="K20" s="12">
        <f>'Folha 9_13'!K20</f>
        <v>0</v>
      </c>
      <c r="L20" s="16"/>
      <c r="M20" s="8" t="s">
        <v>97</v>
      </c>
      <c r="N20" s="8" t="s">
        <v>97</v>
      </c>
      <c r="O20" s="8">
        <f t="shared" si="1"/>
        <v>0</v>
      </c>
    </row>
    <row r="21" spans="1:15" ht="25.5" x14ac:dyDescent="0.25">
      <c r="A21" s="16" t="str">
        <f>'Folha 1_13'!A21</f>
        <v>I63</v>
      </c>
      <c r="B21" s="20" t="str">
        <f>'Folha 1_13'!B21</f>
        <v>Denúncias procedentes registradas pela CIC (Ética)</v>
      </c>
      <c r="C21" s="12">
        <f>'Folha 9_13'!C21</f>
        <v>0</v>
      </c>
      <c r="D21" s="12">
        <f>'Folha 9_13'!D21</f>
        <v>0</v>
      </c>
      <c r="E21" s="12">
        <f>'Folha 9_13'!E21</f>
        <v>0</v>
      </c>
      <c r="F21" s="12">
        <f>'Folha 9_13'!F21</f>
        <v>0</v>
      </c>
      <c r="G21" s="12">
        <f>'Folha 9_13'!G21</f>
        <v>0</v>
      </c>
      <c r="H21" s="12">
        <f>'Folha 9_13'!H21</f>
        <v>0</v>
      </c>
      <c r="I21" s="12">
        <f>'Folha 9_13'!I21</f>
        <v>0</v>
      </c>
      <c r="J21" s="12">
        <f>'Folha 9_13'!J21</f>
        <v>0</v>
      </c>
      <c r="K21" s="12">
        <f>'Folha 9_13'!K21</f>
        <v>0</v>
      </c>
      <c r="L21" s="16"/>
      <c r="M21" s="8" t="s">
        <v>97</v>
      </c>
      <c r="N21" s="8" t="s">
        <v>97</v>
      </c>
      <c r="O21" s="8">
        <f t="shared" si="1"/>
        <v>0</v>
      </c>
    </row>
    <row r="22" spans="1:15" x14ac:dyDescent="0.25">
      <c r="A22" s="16" t="str">
        <f>'Folha 1_13'!A22</f>
        <v>D95</v>
      </c>
      <c r="B22" s="20" t="str">
        <f>'Folha 1_13'!B22</f>
        <v>Inflação ano</v>
      </c>
      <c r="C22" s="12">
        <f>'Folha 9_13'!C22</f>
        <v>0</v>
      </c>
      <c r="D22" s="12">
        <f>'Folha 9_13'!D22</f>
        <v>0</v>
      </c>
      <c r="E22" s="12">
        <f>'Folha 9_13'!E22</f>
        <v>0</v>
      </c>
      <c r="F22" s="12">
        <f>'Folha 9_13'!F22</f>
        <v>0</v>
      </c>
      <c r="G22" s="12">
        <f>'Folha 9_13'!G22</f>
        <v>0</v>
      </c>
      <c r="H22" s="12">
        <f>'Folha 9_13'!H22</f>
        <v>0</v>
      </c>
      <c r="I22" s="12">
        <f>'Folha 9_13'!I22</f>
        <v>0</v>
      </c>
      <c r="J22" s="12">
        <f>'Folha 9_13'!J22</f>
        <v>0</v>
      </c>
      <c r="K22" s="12">
        <f>'Folha 9_13'!K22</f>
        <v>0</v>
      </c>
      <c r="L22" s="16"/>
      <c r="M22" s="8" t="s">
        <v>97</v>
      </c>
      <c r="N22" s="8" t="s">
        <v>97</v>
      </c>
      <c r="O22" s="8">
        <f t="shared" ref="O22:O23" si="2">SUM(C22:L22)</f>
        <v>0</v>
      </c>
    </row>
    <row r="23" spans="1:15" ht="25.5" x14ac:dyDescent="0.25">
      <c r="A23" s="16" t="str">
        <f>'Folha 1_13'!A23</f>
        <v>D78</v>
      </c>
      <c r="B23" s="20" t="str">
        <f>'Folha 1_13'!B23</f>
        <v>Número de não conformidades registradas em auditoria de terceria parte (NBR ISO 9001)</v>
      </c>
      <c r="C23" s="12">
        <f>'Folha 9_13'!C23</f>
        <v>0</v>
      </c>
      <c r="D23" s="12">
        <f>'Folha 9_13'!D23</f>
        <v>0</v>
      </c>
      <c r="E23" s="12">
        <f>'Folha 9_13'!E23</f>
        <v>0</v>
      </c>
      <c r="F23" s="12">
        <f>'Folha 9_13'!F23</f>
        <v>0</v>
      </c>
      <c r="G23" s="12">
        <f>'Folha 9_13'!G23</f>
        <v>0</v>
      </c>
      <c r="H23" s="12">
        <f>'Folha 9_13'!H23</f>
        <v>0</v>
      </c>
      <c r="I23" s="12">
        <f>'Folha 9_13'!I23</f>
        <v>0</v>
      </c>
      <c r="J23" s="12">
        <f>'Folha 9_13'!J23</f>
        <v>0</v>
      </c>
      <c r="K23" s="12">
        <f>'Folha 9_13'!K23</f>
        <v>0</v>
      </c>
      <c r="L23" s="16"/>
      <c r="M23" s="8" t="s">
        <v>97</v>
      </c>
      <c r="N23" s="8" t="s">
        <v>97</v>
      </c>
      <c r="O23" s="8">
        <f t="shared" si="2"/>
        <v>0</v>
      </c>
    </row>
    <row r="24" spans="1:15" x14ac:dyDescent="0.25">
      <c r="A24" s="32" t="s">
        <v>108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</row>
  </sheetData>
  <sheetProtection algorithmName="SHA-512" hashValue="QqaXUJlu9aO36TZp64ldvVOf5JrbS1TrtIokn15rpZRTEtTbXi0yhU12eWbOSoqaWRQ9n6WYKMi5R302XyrK8A==" saltValue="J/JEYbQ1B4oEEZwAyrOXmA==" spinCount="100000" sheet="1" formatCells="0" formatColumns="0" formatRows="0" autoFilter="0"/>
  <mergeCells count="12">
    <mergeCell ref="K9:O9"/>
    <mergeCell ref="A11:O11"/>
    <mergeCell ref="A24:O24"/>
    <mergeCell ref="A1:O1"/>
    <mergeCell ref="A3:E3"/>
    <mergeCell ref="F3:H3"/>
    <mergeCell ref="I3:O3"/>
    <mergeCell ref="A5:O5"/>
    <mergeCell ref="K6:O6"/>
    <mergeCell ref="K7:O7"/>
    <mergeCell ref="K8:O8"/>
    <mergeCell ref="K10:O10"/>
  </mergeCells>
  <pageMargins left="0.51181102362204722" right="0.51181102362204722" top="0.78740157480314965" bottom="0.78740157480314965" header="0.31496062992125984" footer="0.31496062992125984"/>
  <pageSetup paperSize="9" scale="68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1">
    <tabColor theme="3"/>
  </sheetPr>
  <dimension ref="A1:O24"/>
  <sheetViews>
    <sheetView view="pageBreakPreview" zoomScaleNormal="100" zoomScaleSheetLayoutView="100" workbookViewId="0">
      <selection activeCell="L20" sqref="L20"/>
    </sheetView>
  </sheetViews>
  <sheetFormatPr defaultRowHeight="15" x14ac:dyDescent="0.25"/>
  <cols>
    <col min="1" max="1" width="5.28515625" style="10" customWidth="1"/>
    <col min="2" max="2" width="44.140625" style="11" customWidth="1"/>
    <col min="3" max="15" width="9.140625" style="11" customWidth="1"/>
  </cols>
  <sheetData>
    <row r="1" spans="1:15" ht="24" customHeight="1" thickBot="1" x14ac:dyDescent="0.3">
      <c r="A1" s="22" t="s">
        <v>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4"/>
    </row>
    <row r="3" spans="1:15" ht="18.75" customHeight="1" x14ac:dyDescent="0.25">
      <c r="A3" s="26" t="str">
        <f>'Folha 1_13'!$A$3</f>
        <v>ANO:</v>
      </c>
      <c r="B3" s="26"/>
      <c r="C3" s="26"/>
      <c r="D3" s="26"/>
      <c r="E3" s="26"/>
      <c r="F3" s="26" t="s">
        <v>39</v>
      </c>
      <c r="G3" s="26"/>
      <c r="H3" s="26"/>
      <c r="I3" s="25" t="s">
        <v>25</v>
      </c>
      <c r="J3" s="25"/>
      <c r="K3" s="25"/>
      <c r="L3" s="25"/>
      <c r="M3" s="25"/>
      <c r="N3" s="25"/>
      <c r="O3" s="25"/>
    </row>
    <row r="4" spans="1:15" ht="18.7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18.75" customHeight="1" x14ac:dyDescent="0.25">
      <c r="A5" s="34" t="s">
        <v>22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</row>
    <row r="6" spans="1:15" ht="14.25" customHeight="1" x14ac:dyDescent="0.25">
      <c r="A6" s="4" t="s">
        <v>1</v>
      </c>
      <c r="B6" s="4" t="s">
        <v>0</v>
      </c>
      <c r="C6" s="4" t="s">
        <v>26</v>
      </c>
      <c r="D6" s="4" t="s">
        <v>27</v>
      </c>
      <c r="E6" s="4" t="s">
        <v>4</v>
      </c>
      <c r="F6" s="4" t="s">
        <v>20</v>
      </c>
      <c r="G6" s="4" t="s">
        <v>6</v>
      </c>
      <c r="H6" s="4" t="s">
        <v>5</v>
      </c>
      <c r="I6" s="4" t="s">
        <v>21</v>
      </c>
      <c r="J6" s="4" t="s">
        <v>3</v>
      </c>
      <c r="K6" s="36" t="s">
        <v>28</v>
      </c>
      <c r="L6" s="36"/>
      <c r="M6" s="36"/>
      <c r="N6" s="36"/>
      <c r="O6" s="36"/>
    </row>
    <row r="7" spans="1:15" ht="23.25" customHeight="1" x14ac:dyDescent="0.25">
      <c r="A7" s="5" t="str">
        <f>'Folha 1_13'!A7</f>
        <v>I46</v>
      </c>
      <c r="B7" s="6" t="str">
        <f>'Folha 1_13'!B7</f>
        <v>SAC solucionadas (%)</v>
      </c>
      <c r="C7" s="14"/>
      <c r="D7" s="14"/>
      <c r="E7" s="14"/>
      <c r="F7" s="14"/>
      <c r="G7" s="14"/>
      <c r="H7" s="14"/>
      <c r="I7" s="14"/>
      <c r="J7" s="15"/>
      <c r="K7" s="27" t="s">
        <v>104</v>
      </c>
      <c r="L7" s="28"/>
      <c r="M7" s="28"/>
      <c r="N7" s="28"/>
      <c r="O7" s="28"/>
    </row>
    <row r="8" spans="1:15" ht="27" customHeight="1" x14ac:dyDescent="0.25">
      <c r="A8" s="5" t="str">
        <f>'Folha 1_13'!A8</f>
        <v>I47</v>
      </c>
      <c r="B8" s="6" t="str">
        <f>'Folha 1_13'!B8</f>
        <v>SAP solucionadas (%)</v>
      </c>
      <c r="C8" s="14"/>
      <c r="D8" s="14"/>
      <c r="E8" s="14"/>
      <c r="F8" s="14"/>
      <c r="G8" s="14"/>
      <c r="H8" s="14"/>
      <c r="I8" s="14"/>
      <c r="J8" s="15"/>
      <c r="K8" s="27" t="s">
        <v>104</v>
      </c>
      <c r="L8" s="28"/>
      <c r="M8" s="28"/>
      <c r="N8" s="28"/>
      <c r="O8" s="28"/>
    </row>
    <row r="9" spans="1:15" ht="27" customHeight="1" x14ac:dyDescent="0.25">
      <c r="A9" s="5" t="str">
        <f>'Folha 1_13'!A9</f>
        <v>I48</v>
      </c>
      <c r="B9" s="6" t="str">
        <f>'Folha 1_13'!B9</f>
        <v>NCBI solucionadas (%)</v>
      </c>
      <c r="C9" s="14"/>
      <c r="D9" s="14"/>
      <c r="E9" s="14"/>
      <c r="F9" s="14"/>
      <c r="G9" s="14"/>
      <c r="H9" s="14"/>
      <c r="I9" s="14"/>
      <c r="J9" s="15"/>
      <c r="K9" s="27" t="s">
        <v>104</v>
      </c>
      <c r="L9" s="28"/>
      <c r="M9" s="28"/>
      <c r="N9" s="28"/>
      <c r="O9" s="28"/>
    </row>
    <row r="10" spans="1:15" ht="25.5" customHeight="1" x14ac:dyDescent="0.25">
      <c r="A10" s="5" t="str">
        <f>'Folha 1_13'!A10</f>
        <v>------</v>
      </c>
      <c r="B10" s="6" t="str">
        <f>'Folha 1_13'!B10</f>
        <v>Número de gestores</v>
      </c>
      <c r="C10" s="14"/>
      <c r="D10" s="14"/>
      <c r="E10" s="14"/>
      <c r="F10" s="14"/>
      <c r="G10" s="14"/>
      <c r="H10" s="14"/>
      <c r="I10" s="14"/>
      <c r="J10" s="15"/>
      <c r="K10" s="27" t="s">
        <v>104</v>
      </c>
      <c r="L10" s="28"/>
      <c r="M10" s="28"/>
      <c r="N10" s="28"/>
      <c r="O10" s="28"/>
    </row>
    <row r="11" spans="1:15" x14ac:dyDescent="0.25">
      <c r="A11" s="35" t="s">
        <v>23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</row>
    <row r="12" spans="1:15" x14ac:dyDescent="0.25">
      <c r="A12" s="4" t="s">
        <v>1</v>
      </c>
      <c r="B12" s="4" t="s">
        <v>0</v>
      </c>
      <c r="C12" s="4" t="s">
        <v>7</v>
      </c>
      <c r="D12" s="4" t="s">
        <v>8</v>
      </c>
      <c r="E12" s="4" t="s">
        <v>9</v>
      </c>
      <c r="F12" s="4" t="s">
        <v>10</v>
      </c>
      <c r="G12" s="4" t="s">
        <v>11</v>
      </c>
      <c r="H12" s="4" t="s">
        <v>12</v>
      </c>
      <c r="I12" s="4" t="s">
        <v>13</v>
      </c>
      <c r="J12" s="4" t="s">
        <v>14</v>
      </c>
      <c r="K12" s="4" t="s">
        <v>15</v>
      </c>
      <c r="L12" s="4" t="s">
        <v>16</v>
      </c>
      <c r="M12" s="4" t="s">
        <v>17</v>
      </c>
      <c r="N12" s="4" t="s">
        <v>18</v>
      </c>
      <c r="O12" s="4" t="s">
        <v>19</v>
      </c>
    </row>
    <row r="13" spans="1:15" ht="25.5" x14ac:dyDescent="0.25">
      <c r="A13" s="5" t="str">
        <f>'Folha 1_13'!A13</f>
        <v>I12</v>
      </c>
      <c r="B13" s="6" t="str">
        <f>'Folha 1_13'!B13</f>
        <v xml:space="preserve">Cumprimento às exigências fiscais municipais, federais e estaduais (número de falhas) </v>
      </c>
      <c r="C13" s="7">
        <f>'Folha 10_13'!C13</f>
        <v>0</v>
      </c>
      <c r="D13" s="7">
        <f>'Folha 10_13'!D13</f>
        <v>0</v>
      </c>
      <c r="E13" s="7">
        <f>'Folha 10_13'!E13</f>
        <v>0</v>
      </c>
      <c r="F13" s="7">
        <f>'Folha 10_13'!F13</f>
        <v>0</v>
      </c>
      <c r="G13" s="7">
        <f>'Folha 10_13'!G13</f>
        <v>0</v>
      </c>
      <c r="H13" s="7">
        <f>'Folha 10_13'!H13</f>
        <v>0</v>
      </c>
      <c r="I13" s="7">
        <f>'Folha 10_13'!I13</f>
        <v>0</v>
      </c>
      <c r="J13" s="7">
        <f>'Folha 10_13'!J13</f>
        <v>0</v>
      </c>
      <c r="K13" s="7">
        <f>'Folha 10_13'!K13</f>
        <v>0</v>
      </c>
      <c r="L13" s="7">
        <f>'Folha 10_13'!L13</f>
        <v>0</v>
      </c>
      <c r="M13" s="16"/>
      <c r="N13" s="8" t="s">
        <v>97</v>
      </c>
      <c r="O13" s="8">
        <f t="shared" ref="O13:O17" si="0">M13</f>
        <v>0</v>
      </c>
    </row>
    <row r="14" spans="1:15" ht="25.5" x14ac:dyDescent="0.25">
      <c r="A14" s="5" t="str">
        <f>'Folha 1_13'!A14</f>
        <v>I49</v>
      </c>
      <c r="B14" s="6" t="str">
        <f>'Folha 1_13'!B14</f>
        <v>Ensaios acreditados na ABNT NBR ISO/IEC 17025. (Nº)</v>
      </c>
      <c r="C14" s="7">
        <f>'Folha 10_13'!C14</f>
        <v>0</v>
      </c>
      <c r="D14" s="7">
        <f>'Folha 10_13'!D14</f>
        <v>0</v>
      </c>
      <c r="E14" s="7">
        <f>'Folha 10_13'!E14</f>
        <v>0</v>
      </c>
      <c r="F14" s="7">
        <f>'Folha 10_13'!F14</f>
        <v>0</v>
      </c>
      <c r="G14" s="7">
        <f>'Folha 10_13'!G14</f>
        <v>0</v>
      </c>
      <c r="H14" s="7">
        <f>'Folha 10_13'!H14</f>
        <v>0</v>
      </c>
      <c r="I14" s="7">
        <f>'Folha 10_13'!I14</f>
        <v>0</v>
      </c>
      <c r="J14" s="7">
        <f>'Folha 10_13'!J14</f>
        <v>0</v>
      </c>
      <c r="K14" s="7">
        <f>'Folha 10_13'!K14</f>
        <v>0</v>
      </c>
      <c r="L14" s="7">
        <f>'Folha 10_13'!L14</f>
        <v>0</v>
      </c>
      <c r="M14" s="16"/>
      <c r="N14" s="8" t="s">
        <v>97</v>
      </c>
      <c r="O14" s="8">
        <f t="shared" si="0"/>
        <v>0</v>
      </c>
    </row>
    <row r="15" spans="1:15" x14ac:dyDescent="0.25">
      <c r="A15" s="5" t="str">
        <f>'Folha 1_13'!A15</f>
        <v>I50</v>
      </c>
      <c r="B15" s="6" t="str">
        <f>'Folha 1_13'!B15</f>
        <v>Habilitação do Ital junto à Reblas - Anvisa</v>
      </c>
      <c r="C15" s="7">
        <f>'Folha 10_13'!C15</f>
        <v>0</v>
      </c>
      <c r="D15" s="7">
        <f>'Folha 10_13'!D15</f>
        <v>0</v>
      </c>
      <c r="E15" s="7">
        <f>'Folha 10_13'!E15</f>
        <v>0</v>
      </c>
      <c r="F15" s="7">
        <f>'Folha 10_13'!F15</f>
        <v>0</v>
      </c>
      <c r="G15" s="7">
        <f>'Folha 10_13'!G15</f>
        <v>0</v>
      </c>
      <c r="H15" s="7">
        <f>'Folha 10_13'!H15</f>
        <v>0</v>
      </c>
      <c r="I15" s="7">
        <f>'Folha 10_13'!I15</f>
        <v>0</v>
      </c>
      <c r="J15" s="7">
        <f>'Folha 10_13'!J15</f>
        <v>0</v>
      </c>
      <c r="K15" s="7">
        <f>'Folha 10_13'!K15</f>
        <v>0</v>
      </c>
      <c r="L15" s="7">
        <f>'Folha 10_13'!L15</f>
        <v>0</v>
      </c>
      <c r="M15" s="16"/>
      <c r="N15" s="8" t="s">
        <v>97</v>
      </c>
      <c r="O15" s="8">
        <f t="shared" si="0"/>
        <v>0</v>
      </c>
    </row>
    <row r="16" spans="1:15" ht="25.5" x14ac:dyDescent="0.25">
      <c r="A16" s="5" t="str">
        <f>'Folha 1_13'!A16</f>
        <v>I51</v>
      </c>
      <c r="B16" s="6" t="str">
        <f>'Folha 1_13'!B16</f>
        <v>Certificação do Sistema de Gestão da Qualidade - NBR ISO 9001 (Nº)</v>
      </c>
      <c r="C16" s="7">
        <f>'Folha 10_13'!C16</f>
        <v>0</v>
      </c>
      <c r="D16" s="7">
        <f>'Folha 10_13'!D16</f>
        <v>0</v>
      </c>
      <c r="E16" s="7">
        <f>'Folha 10_13'!E16</f>
        <v>0</v>
      </c>
      <c r="F16" s="7">
        <f>'Folha 10_13'!F16</f>
        <v>0</v>
      </c>
      <c r="G16" s="7">
        <f>'Folha 10_13'!G16</f>
        <v>0</v>
      </c>
      <c r="H16" s="7">
        <f>'Folha 10_13'!H16</f>
        <v>0</v>
      </c>
      <c r="I16" s="7">
        <f>'Folha 10_13'!I16</f>
        <v>0</v>
      </c>
      <c r="J16" s="7">
        <f>'Folha 10_13'!J16</f>
        <v>0</v>
      </c>
      <c r="K16" s="7">
        <f>'Folha 10_13'!K16</f>
        <v>0</v>
      </c>
      <c r="L16" s="7">
        <f>'Folha 10_13'!L16</f>
        <v>0</v>
      </c>
      <c r="M16" s="16"/>
      <c r="N16" s="8" t="s">
        <v>97</v>
      </c>
      <c r="O16" s="8">
        <f t="shared" si="0"/>
        <v>0</v>
      </c>
    </row>
    <row r="17" spans="1:15" x14ac:dyDescent="0.25">
      <c r="A17" s="5" t="str">
        <f>'Folha 1_13'!A17</f>
        <v>I53</v>
      </c>
      <c r="B17" s="6" t="str">
        <f>'Folha 1_13'!B17</f>
        <v>Qualificação de fornecedores (%)</v>
      </c>
      <c r="C17" s="7">
        <f>'Folha 10_13'!C17</f>
        <v>0</v>
      </c>
      <c r="D17" s="7">
        <f>'Folha 10_13'!D17</f>
        <v>0</v>
      </c>
      <c r="E17" s="7">
        <f>'Folha 10_13'!E17</f>
        <v>0</v>
      </c>
      <c r="F17" s="7">
        <f>'Folha 10_13'!F17</f>
        <v>0</v>
      </c>
      <c r="G17" s="7">
        <f>'Folha 10_13'!G17</f>
        <v>0</v>
      </c>
      <c r="H17" s="7">
        <f>'Folha 10_13'!H17</f>
        <v>0</v>
      </c>
      <c r="I17" s="7">
        <f>'Folha 10_13'!I17</f>
        <v>0</v>
      </c>
      <c r="J17" s="7">
        <f>'Folha 10_13'!J17</f>
        <v>0</v>
      </c>
      <c r="K17" s="7">
        <f>'Folha 10_13'!K17</f>
        <v>0</v>
      </c>
      <c r="L17" s="7">
        <f>'Folha 10_13'!L17</f>
        <v>0</v>
      </c>
      <c r="M17" s="16"/>
      <c r="N17" s="8" t="s">
        <v>97</v>
      </c>
      <c r="O17" s="8">
        <f t="shared" si="0"/>
        <v>0</v>
      </c>
    </row>
    <row r="18" spans="1:15" x14ac:dyDescent="0.25">
      <c r="A18" s="5" t="str">
        <f>'Folha 1_13'!A18</f>
        <v>I60</v>
      </c>
      <c r="B18" s="6" t="str">
        <f>'Folha 1_13'!B18</f>
        <v>Consumo de água (m3)</v>
      </c>
      <c r="C18" s="7">
        <f>'Folha 10_13'!C18</f>
        <v>0</v>
      </c>
      <c r="D18" s="7">
        <f>'Folha 10_13'!D18</f>
        <v>0</v>
      </c>
      <c r="E18" s="7">
        <f>'Folha 10_13'!E18</f>
        <v>0</v>
      </c>
      <c r="F18" s="7">
        <f>'Folha 10_13'!F18</f>
        <v>0</v>
      </c>
      <c r="G18" s="7">
        <f>'Folha 10_13'!G18</f>
        <v>0</v>
      </c>
      <c r="H18" s="7">
        <f>'Folha 10_13'!H18</f>
        <v>0</v>
      </c>
      <c r="I18" s="7">
        <f>'Folha 10_13'!I18</f>
        <v>0</v>
      </c>
      <c r="J18" s="7">
        <f>'Folha 10_13'!J18</f>
        <v>0</v>
      </c>
      <c r="K18" s="7">
        <f>'Folha 10_13'!K18</f>
        <v>0</v>
      </c>
      <c r="L18" s="7">
        <f>'Folha 10_13'!L18</f>
        <v>0</v>
      </c>
      <c r="M18" s="16"/>
      <c r="N18" s="8" t="s">
        <v>97</v>
      </c>
      <c r="O18" s="8">
        <f>SUM(C18:M18)</f>
        <v>0</v>
      </c>
    </row>
    <row r="19" spans="1:15" x14ac:dyDescent="0.25">
      <c r="A19" s="5" t="str">
        <f>'Folha 1_13'!A19</f>
        <v>I61</v>
      </c>
      <c r="B19" s="6" t="str">
        <f>'Folha 1_13'!B19</f>
        <v>Consumo de energia elétrica (kWh)</v>
      </c>
      <c r="C19" s="7">
        <f>'Folha 10_13'!C19</f>
        <v>0</v>
      </c>
      <c r="D19" s="7">
        <f>'Folha 10_13'!D19</f>
        <v>0</v>
      </c>
      <c r="E19" s="7">
        <f>'Folha 10_13'!E19</f>
        <v>0</v>
      </c>
      <c r="F19" s="7">
        <f>'Folha 10_13'!F19</f>
        <v>0</v>
      </c>
      <c r="G19" s="7">
        <f>'Folha 10_13'!G19</f>
        <v>0</v>
      </c>
      <c r="H19" s="7">
        <f>'Folha 10_13'!H19</f>
        <v>0</v>
      </c>
      <c r="I19" s="7">
        <f>'Folha 10_13'!I19</f>
        <v>0</v>
      </c>
      <c r="J19" s="7">
        <f>'Folha 10_13'!J19</f>
        <v>0</v>
      </c>
      <c r="K19" s="7">
        <f>'Folha 10_13'!K19</f>
        <v>0</v>
      </c>
      <c r="L19" s="7">
        <f>'Folha 10_13'!L19</f>
        <v>0</v>
      </c>
      <c r="M19" s="16"/>
      <c r="N19" s="8" t="s">
        <v>97</v>
      </c>
      <c r="O19" s="8">
        <f t="shared" ref="O19:O21" si="1">SUM(C19:M19)</f>
        <v>0</v>
      </c>
    </row>
    <row r="20" spans="1:15" ht="25.5" x14ac:dyDescent="0.25">
      <c r="A20" s="5" t="str">
        <f>'Folha 1_13'!A20</f>
        <v>I62</v>
      </c>
      <c r="B20" s="6" t="str">
        <f>'Folha 1_13'!B20</f>
        <v>Ações de conscientização - meio ambiente por ano (Nº)</v>
      </c>
      <c r="C20" s="7">
        <f>'Folha 10_13'!C20</f>
        <v>0</v>
      </c>
      <c r="D20" s="7">
        <f>'Folha 10_13'!D20</f>
        <v>0</v>
      </c>
      <c r="E20" s="7">
        <f>'Folha 10_13'!E20</f>
        <v>0</v>
      </c>
      <c r="F20" s="7">
        <f>'Folha 10_13'!F20</f>
        <v>0</v>
      </c>
      <c r="G20" s="7">
        <f>'Folha 10_13'!G20</f>
        <v>0</v>
      </c>
      <c r="H20" s="7">
        <f>'Folha 10_13'!H20</f>
        <v>0</v>
      </c>
      <c r="I20" s="7">
        <f>'Folha 10_13'!I20</f>
        <v>0</v>
      </c>
      <c r="J20" s="7">
        <f>'Folha 10_13'!J20</f>
        <v>0</v>
      </c>
      <c r="K20" s="7">
        <f>'Folha 10_13'!K20</f>
        <v>0</v>
      </c>
      <c r="L20" s="7">
        <f>'Folha 10_13'!L20</f>
        <v>0</v>
      </c>
      <c r="M20" s="16"/>
      <c r="N20" s="8" t="s">
        <v>97</v>
      </c>
      <c r="O20" s="8">
        <f t="shared" si="1"/>
        <v>0</v>
      </c>
    </row>
    <row r="21" spans="1:15" ht="25.5" x14ac:dyDescent="0.25">
      <c r="A21" s="5" t="str">
        <f>'Folha 1_13'!A21</f>
        <v>I63</v>
      </c>
      <c r="B21" s="6" t="str">
        <f>'Folha 1_13'!B21</f>
        <v>Denúncias procedentes registradas pela CIC (Ética)</v>
      </c>
      <c r="C21" s="7">
        <f>'Folha 10_13'!C21</f>
        <v>0</v>
      </c>
      <c r="D21" s="7">
        <f>'Folha 10_13'!D21</f>
        <v>0</v>
      </c>
      <c r="E21" s="7">
        <f>'Folha 10_13'!E21</f>
        <v>0</v>
      </c>
      <c r="F21" s="7">
        <f>'Folha 10_13'!F21</f>
        <v>0</v>
      </c>
      <c r="G21" s="7">
        <f>'Folha 10_13'!G21</f>
        <v>0</v>
      </c>
      <c r="H21" s="7">
        <f>'Folha 10_13'!H21</f>
        <v>0</v>
      </c>
      <c r="I21" s="7">
        <f>'Folha 10_13'!I21</f>
        <v>0</v>
      </c>
      <c r="J21" s="7">
        <f>'Folha 10_13'!J21</f>
        <v>0</v>
      </c>
      <c r="K21" s="7">
        <f>'Folha 10_13'!K21</f>
        <v>0</v>
      </c>
      <c r="L21" s="7">
        <f>'Folha 10_13'!L21</f>
        <v>0</v>
      </c>
      <c r="M21" s="16"/>
      <c r="N21" s="8" t="s">
        <v>97</v>
      </c>
      <c r="O21" s="8">
        <f t="shared" si="1"/>
        <v>0</v>
      </c>
    </row>
    <row r="22" spans="1:15" x14ac:dyDescent="0.25">
      <c r="A22" s="5" t="str">
        <f>'Folha 1_13'!A22</f>
        <v>D95</v>
      </c>
      <c r="B22" s="6" t="str">
        <f>'Folha 1_13'!B22</f>
        <v>Inflação ano</v>
      </c>
      <c r="C22" s="7">
        <f>'Folha 10_13'!C22</f>
        <v>0</v>
      </c>
      <c r="D22" s="7">
        <f>'Folha 10_13'!D22</f>
        <v>0</v>
      </c>
      <c r="E22" s="7">
        <f>'Folha 10_13'!E22</f>
        <v>0</v>
      </c>
      <c r="F22" s="7">
        <f>'Folha 10_13'!F22</f>
        <v>0</v>
      </c>
      <c r="G22" s="7">
        <f>'Folha 10_13'!G22</f>
        <v>0</v>
      </c>
      <c r="H22" s="7">
        <f>'Folha 10_13'!H22</f>
        <v>0</v>
      </c>
      <c r="I22" s="7">
        <f>'Folha 10_13'!I22</f>
        <v>0</v>
      </c>
      <c r="J22" s="7">
        <f>'Folha 10_13'!J22</f>
        <v>0</v>
      </c>
      <c r="K22" s="7">
        <f>'Folha 10_13'!K22</f>
        <v>0</v>
      </c>
      <c r="L22" s="7">
        <f>'Folha 10_13'!L22</f>
        <v>0</v>
      </c>
      <c r="M22" s="16"/>
      <c r="N22" s="8" t="s">
        <v>97</v>
      </c>
      <c r="O22" s="8">
        <f t="shared" ref="O22:O23" si="2">SUM(C22:M22)</f>
        <v>0</v>
      </c>
    </row>
    <row r="23" spans="1:15" ht="25.5" x14ac:dyDescent="0.25">
      <c r="A23" s="5" t="str">
        <f>'Folha 1_13'!A23</f>
        <v>D78</v>
      </c>
      <c r="B23" s="6" t="str">
        <f>'Folha 1_13'!B23</f>
        <v>Número de não conformidades registradas em auditoria de terceria parte (NBR ISO 9001)</v>
      </c>
      <c r="C23" s="7">
        <f>'Folha 10_13'!C23</f>
        <v>0</v>
      </c>
      <c r="D23" s="7">
        <f>'Folha 10_13'!D23</f>
        <v>0</v>
      </c>
      <c r="E23" s="7">
        <f>'Folha 10_13'!E23</f>
        <v>0</v>
      </c>
      <c r="F23" s="7">
        <f>'Folha 10_13'!F23</f>
        <v>0</v>
      </c>
      <c r="G23" s="7">
        <f>'Folha 10_13'!G23</f>
        <v>0</v>
      </c>
      <c r="H23" s="7">
        <f>'Folha 10_13'!H23</f>
        <v>0</v>
      </c>
      <c r="I23" s="7">
        <f>'Folha 10_13'!I23</f>
        <v>0</v>
      </c>
      <c r="J23" s="7">
        <f>'Folha 10_13'!J23</f>
        <v>0</v>
      </c>
      <c r="K23" s="7">
        <f>'Folha 10_13'!K23</f>
        <v>0</v>
      </c>
      <c r="L23" s="7">
        <f>'Folha 10_13'!L23</f>
        <v>0</v>
      </c>
      <c r="M23" s="16"/>
      <c r="N23" s="8" t="s">
        <v>97</v>
      </c>
      <c r="O23" s="8">
        <f t="shared" si="2"/>
        <v>0</v>
      </c>
    </row>
    <row r="24" spans="1:15" x14ac:dyDescent="0.25">
      <c r="A24" s="32" t="s">
        <v>107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</row>
  </sheetData>
  <sheetProtection algorithmName="SHA-512" hashValue="RRVEsX180Hsrb+JOu+4cpZjfbkTqN6zY0x5CuTL5Spx5uuYPe5CDzQx++OeezlDaeboA/yaN9Blyt4LNmLjd+g==" saltValue="HVmGJMW5sR/sSV7pdYfUpg==" spinCount="100000" sheet="1" formatCells="0" formatColumns="0" formatRows="0" autoFilter="0"/>
  <mergeCells count="12">
    <mergeCell ref="K9:O9"/>
    <mergeCell ref="A11:O11"/>
    <mergeCell ref="A24:O24"/>
    <mergeCell ref="A1:O1"/>
    <mergeCell ref="A3:E3"/>
    <mergeCell ref="F3:H3"/>
    <mergeCell ref="I3:O3"/>
    <mergeCell ref="A5:O5"/>
    <mergeCell ref="K6:O6"/>
    <mergeCell ref="K7:O7"/>
    <mergeCell ref="K8:O8"/>
    <mergeCell ref="K10:O10"/>
  </mergeCells>
  <pageMargins left="0.51181102362204722" right="0.51181102362204722" top="0.78740157480314965" bottom="0.78740157480314965" header="0.31496062992125984" footer="0.31496062992125984"/>
  <pageSetup paperSize="9" scale="7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12">
    <tabColor theme="3"/>
  </sheetPr>
  <dimension ref="A1:O24"/>
  <sheetViews>
    <sheetView view="pageBreakPreview" zoomScaleNormal="100" zoomScaleSheetLayoutView="100" workbookViewId="0">
      <selection activeCell="L20" sqref="L20"/>
    </sheetView>
  </sheetViews>
  <sheetFormatPr defaultRowHeight="15" x14ac:dyDescent="0.25"/>
  <cols>
    <col min="1" max="1" width="6" style="10" customWidth="1"/>
    <col min="2" max="2" width="44.140625" style="11" customWidth="1"/>
    <col min="3" max="15" width="9.140625" style="11" customWidth="1"/>
  </cols>
  <sheetData>
    <row r="1" spans="1:15" ht="24" customHeight="1" thickBot="1" x14ac:dyDescent="0.3">
      <c r="A1" s="22" t="s">
        <v>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4"/>
    </row>
    <row r="3" spans="1:15" ht="18.75" customHeight="1" x14ac:dyDescent="0.25">
      <c r="A3" s="26" t="str">
        <f>'Folha 1_13'!$A$3</f>
        <v>ANO:</v>
      </c>
      <c r="B3" s="26"/>
      <c r="C3" s="26"/>
      <c r="D3" s="26"/>
      <c r="E3" s="26"/>
      <c r="F3" s="26" t="s">
        <v>40</v>
      </c>
      <c r="G3" s="26"/>
      <c r="H3" s="26"/>
      <c r="I3" s="25" t="s">
        <v>25</v>
      </c>
      <c r="J3" s="25"/>
      <c r="K3" s="25"/>
      <c r="L3" s="25"/>
      <c r="M3" s="25"/>
      <c r="N3" s="25"/>
      <c r="O3" s="25"/>
    </row>
    <row r="4" spans="1:15" ht="18.7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18.75" customHeight="1" x14ac:dyDescent="0.25">
      <c r="A5" s="34" t="s">
        <v>22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</row>
    <row r="6" spans="1:15" ht="14.25" customHeight="1" x14ac:dyDescent="0.25">
      <c r="A6" s="4" t="s">
        <v>1</v>
      </c>
      <c r="B6" s="4" t="s">
        <v>0</v>
      </c>
      <c r="C6" s="4" t="s">
        <v>26</v>
      </c>
      <c r="D6" s="4" t="s">
        <v>27</v>
      </c>
      <c r="E6" s="4" t="s">
        <v>4</v>
      </c>
      <c r="F6" s="4" t="s">
        <v>20</v>
      </c>
      <c r="G6" s="4" t="s">
        <v>6</v>
      </c>
      <c r="H6" s="4" t="s">
        <v>5</v>
      </c>
      <c r="I6" s="4" t="s">
        <v>21</v>
      </c>
      <c r="J6" s="4" t="s">
        <v>3</v>
      </c>
      <c r="K6" s="36" t="s">
        <v>28</v>
      </c>
      <c r="L6" s="36"/>
      <c r="M6" s="36"/>
      <c r="N6" s="36"/>
      <c r="O6" s="36"/>
    </row>
    <row r="7" spans="1:15" ht="25.5" customHeight="1" x14ac:dyDescent="0.25">
      <c r="A7" s="5" t="str">
        <f>'Folha 1_13'!A7</f>
        <v>I46</v>
      </c>
      <c r="B7" s="6" t="str">
        <f>'Folha 1_13'!B7</f>
        <v>SAC solucionadas (%)</v>
      </c>
      <c r="C7" s="14"/>
      <c r="D7" s="14"/>
      <c r="E7" s="14"/>
      <c r="F7" s="14"/>
      <c r="G7" s="14"/>
      <c r="H7" s="14"/>
      <c r="I7" s="14"/>
      <c r="J7" s="15"/>
      <c r="K7" s="27" t="s">
        <v>104</v>
      </c>
      <c r="L7" s="28"/>
      <c r="M7" s="28"/>
      <c r="N7" s="28"/>
      <c r="O7" s="28"/>
    </row>
    <row r="8" spans="1:15" ht="25.5" customHeight="1" x14ac:dyDescent="0.25">
      <c r="A8" s="5" t="str">
        <f>'Folha 1_13'!A8</f>
        <v>I47</v>
      </c>
      <c r="B8" s="6" t="str">
        <f>'Folha 1_13'!B8</f>
        <v>SAP solucionadas (%)</v>
      </c>
      <c r="C8" s="14"/>
      <c r="D8" s="14"/>
      <c r="E8" s="14"/>
      <c r="F8" s="14"/>
      <c r="G8" s="14"/>
      <c r="H8" s="14"/>
      <c r="I8" s="14"/>
      <c r="J8" s="15"/>
      <c r="K8" s="27" t="s">
        <v>104</v>
      </c>
      <c r="L8" s="28"/>
      <c r="M8" s="28"/>
      <c r="N8" s="28"/>
      <c r="O8" s="28"/>
    </row>
    <row r="9" spans="1:15" ht="25.5" customHeight="1" x14ac:dyDescent="0.25">
      <c r="A9" s="5" t="str">
        <f>'Folha 1_13'!A9</f>
        <v>I48</v>
      </c>
      <c r="B9" s="6" t="str">
        <f>'Folha 1_13'!B9</f>
        <v>NCBI solucionadas (%)</v>
      </c>
      <c r="C9" s="14"/>
      <c r="D9" s="14"/>
      <c r="E9" s="14"/>
      <c r="F9" s="14"/>
      <c r="G9" s="14"/>
      <c r="H9" s="14"/>
      <c r="I9" s="14"/>
      <c r="J9" s="15"/>
      <c r="K9" s="27" t="s">
        <v>104</v>
      </c>
      <c r="L9" s="28"/>
      <c r="M9" s="28"/>
      <c r="N9" s="28"/>
      <c r="O9" s="28"/>
    </row>
    <row r="10" spans="1:15" ht="25.5" customHeight="1" x14ac:dyDescent="0.25">
      <c r="A10" s="5" t="str">
        <f>'Folha 1_13'!A10</f>
        <v>------</v>
      </c>
      <c r="B10" s="6" t="str">
        <f>'Folha 1_13'!B10</f>
        <v>Número de gestores</v>
      </c>
      <c r="C10" s="2"/>
      <c r="D10" s="2"/>
      <c r="E10" s="2"/>
      <c r="F10" s="2"/>
      <c r="G10" s="2"/>
      <c r="H10" s="2"/>
      <c r="I10" s="2"/>
      <c r="J10" s="2"/>
      <c r="K10" s="27" t="s">
        <v>104</v>
      </c>
      <c r="L10" s="28"/>
      <c r="M10" s="28"/>
      <c r="N10" s="28"/>
      <c r="O10" s="28"/>
    </row>
    <row r="11" spans="1:15" x14ac:dyDescent="0.25">
      <c r="A11" s="35" t="s">
        <v>23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</row>
    <row r="12" spans="1:15" x14ac:dyDescent="0.25">
      <c r="A12" s="4" t="s">
        <v>1</v>
      </c>
      <c r="B12" s="4" t="s">
        <v>0</v>
      </c>
      <c r="C12" s="4" t="s">
        <v>7</v>
      </c>
      <c r="D12" s="4" t="s">
        <v>8</v>
      </c>
      <c r="E12" s="4" t="s">
        <v>9</v>
      </c>
      <c r="F12" s="4" t="s">
        <v>10</v>
      </c>
      <c r="G12" s="4" t="s">
        <v>11</v>
      </c>
      <c r="H12" s="4" t="s">
        <v>12</v>
      </c>
      <c r="I12" s="4" t="s">
        <v>13</v>
      </c>
      <c r="J12" s="4" t="s">
        <v>14</v>
      </c>
      <c r="K12" s="4" t="s">
        <v>15</v>
      </c>
      <c r="L12" s="4" t="s">
        <v>16</v>
      </c>
      <c r="M12" s="4" t="s">
        <v>17</v>
      </c>
      <c r="N12" s="4" t="s">
        <v>18</v>
      </c>
      <c r="O12" s="4" t="s">
        <v>19</v>
      </c>
    </row>
    <row r="13" spans="1:15" ht="25.5" x14ac:dyDescent="0.25">
      <c r="A13" s="5" t="str">
        <f>'Folha 1_13'!A13</f>
        <v>I12</v>
      </c>
      <c r="B13" s="6" t="str">
        <f>'Folha 1_13'!B13</f>
        <v xml:space="preserve">Cumprimento às exigências fiscais municipais, federais e estaduais (número de falhas) </v>
      </c>
      <c r="C13" s="7">
        <f>'Folha 11_13'!C13</f>
        <v>0</v>
      </c>
      <c r="D13" s="7">
        <f>'Folha 11_13'!D13</f>
        <v>0</v>
      </c>
      <c r="E13" s="7">
        <f>'Folha 11_13'!E13</f>
        <v>0</v>
      </c>
      <c r="F13" s="7">
        <f>'Folha 11_13'!F13</f>
        <v>0</v>
      </c>
      <c r="G13" s="7">
        <f>'Folha 11_13'!G13</f>
        <v>0</v>
      </c>
      <c r="H13" s="7">
        <f>'Folha 11_13'!H13</f>
        <v>0</v>
      </c>
      <c r="I13" s="7">
        <f>'Folha 11_13'!I13</f>
        <v>0</v>
      </c>
      <c r="J13" s="7">
        <f>'Folha 11_13'!J13</f>
        <v>0</v>
      </c>
      <c r="K13" s="7">
        <f>'Folha 11_13'!K13</f>
        <v>0</v>
      </c>
      <c r="L13" s="7">
        <f>'Folha 11_13'!L13</f>
        <v>0</v>
      </c>
      <c r="M13" s="7">
        <f>'Folha 11_13'!M13</f>
        <v>0</v>
      </c>
      <c r="N13" s="16"/>
      <c r="O13" s="7">
        <f>N13</f>
        <v>0</v>
      </c>
    </row>
    <row r="14" spans="1:15" ht="25.5" x14ac:dyDescent="0.25">
      <c r="A14" s="5" t="str">
        <f>'Folha 1_13'!A14</f>
        <v>I49</v>
      </c>
      <c r="B14" s="6" t="str">
        <f>'Folha 1_13'!B14</f>
        <v>Ensaios acreditados na ABNT NBR ISO/IEC 17025. (Nº)</v>
      </c>
      <c r="C14" s="7">
        <f>'Folha 11_13'!C14</f>
        <v>0</v>
      </c>
      <c r="D14" s="7">
        <f>'Folha 11_13'!D14</f>
        <v>0</v>
      </c>
      <c r="E14" s="7">
        <f>'Folha 11_13'!E14</f>
        <v>0</v>
      </c>
      <c r="F14" s="7">
        <f>'Folha 11_13'!F14</f>
        <v>0</v>
      </c>
      <c r="G14" s="7">
        <f>'Folha 11_13'!G14</f>
        <v>0</v>
      </c>
      <c r="H14" s="7">
        <f>'Folha 11_13'!H14</f>
        <v>0</v>
      </c>
      <c r="I14" s="7">
        <f>'Folha 11_13'!I14</f>
        <v>0</v>
      </c>
      <c r="J14" s="7">
        <f>'Folha 11_13'!J14</f>
        <v>0</v>
      </c>
      <c r="K14" s="7">
        <f>'Folha 11_13'!K14</f>
        <v>0</v>
      </c>
      <c r="L14" s="7">
        <f>'Folha 11_13'!L14</f>
        <v>0</v>
      </c>
      <c r="M14" s="7">
        <f>'Folha 11_13'!M14</f>
        <v>0</v>
      </c>
      <c r="N14" s="16"/>
      <c r="O14" s="7">
        <f t="shared" ref="O14:O17" si="0">N14</f>
        <v>0</v>
      </c>
    </row>
    <row r="15" spans="1:15" x14ac:dyDescent="0.25">
      <c r="A15" s="5" t="str">
        <f>'Folha 1_13'!A15</f>
        <v>I50</v>
      </c>
      <c r="B15" s="6" t="str">
        <f>'Folha 1_13'!B15</f>
        <v>Habilitação do Ital junto à Reblas - Anvisa</v>
      </c>
      <c r="C15" s="7">
        <f>'Folha 11_13'!C15</f>
        <v>0</v>
      </c>
      <c r="D15" s="7">
        <f>'Folha 11_13'!D15</f>
        <v>0</v>
      </c>
      <c r="E15" s="7">
        <f>'Folha 11_13'!E15</f>
        <v>0</v>
      </c>
      <c r="F15" s="7">
        <f>'Folha 11_13'!F15</f>
        <v>0</v>
      </c>
      <c r="G15" s="7">
        <f>'Folha 11_13'!G15</f>
        <v>0</v>
      </c>
      <c r="H15" s="7">
        <f>'Folha 11_13'!H15</f>
        <v>0</v>
      </c>
      <c r="I15" s="7">
        <f>'Folha 11_13'!I15</f>
        <v>0</v>
      </c>
      <c r="J15" s="7">
        <f>'Folha 11_13'!J15</f>
        <v>0</v>
      </c>
      <c r="K15" s="7">
        <f>'Folha 11_13'!K15</f>
        <v>0</v>
      </c>
      <c r="L15" s="7">
        <f>'Folha 11_13'!L15</f>
        <v>0</v>
      </c>
      <c r="M15" s="7">
        <f>'Folha 11_13'!M15</f>
        <v>0</v>
      </c>
      <c r="N15" s="16"/>
      <c r="O15" s="7">
        <f t="shared" si="0"/>
        <v>0</v>
      </c>
    </row>
    <row r="16" spans="1:15" ht="25.5" x14ac:dyDescent="0.25">
      <c r="A16" s="5" t="str">
        <f>'Folha 1_13'!A16</f>
        <v>I51</v>
      </c>
      <c r="B16" s="6" t="str">
        <f>'Folha 1_13'!B16</f>
        <v>Certificação do Sistema de Gestão da Qualidade - NBR ISO 9001 (Nº)</v>
      </c>
      <c r="C16" s="7">
        <f>'Folha 11_13'!C16</f>
        <v>0</v>
      </c>
      <c r="D16" s="7">
        <f>'Folha 11_13'!D16</f>
        <v>0</v>
      </c>
      <c r="E16" s="7">
        <f>'Folha 11_13'!E16</f>
        <v>0</v>
      </c>
      <c r="F16" s="7">
        <f>'Folha 11_13'!F16</f>
        <v>0</v>
      </c>
      <c r="G16" s="7">
        <f>'Folha 11_13'!G16</f>
        <v>0</v>
      </c>
      <c r="H16" s="7">
        <f>'Folha 11_13'!H16</f>
        <v>0</v>
      </c>
      <c r="I16" s="7">
        <f>'Folha 11_13'!I16</f>
        <v>0</v>
      </c>
      <c r="J16" s="7">
        <f>'Folha 11_13'!J16</f>
        <v>0</v>
      </c>
      <c r="K16" s="7">
        <f>'Folha 11_13'!K16</f>
        <v>0</v>
      </c>
      <c r="L16" s="7">
        <f>'Folha 11_13'!L16</f>
        <v>0</v>
      </c>
      <c r="M16" s="7">
        <f>'Folha 11_13'!M16</f>
        <v>0</v>
      </c>
      <c r="N16" s="16"/>
      <c r="O16" s="7">
        <f t="shared" si="0"/>
        <v>0</v>
      </c>
    </row>
    <row r="17" spans="1:15" x14ac:dyDescent="0.25">
      <c r="A17" s="5" t="str">
        <f>'Folha 1_13'!A17</f>
        <v>I53</v>
      </c>
      <c r="B17" s="6" t="str">
        <f>'Folha 1_13'!B17</f>
        <v>Qualificação de fornecedores (%)</v>
      </c>
      <c r="C17" s="7">
        <f>'Folha 11_13'!C17</f>
        <v>0</v>
      </c>
      <c r="D17" s="7">
        <f>'Folha 11_13'!D17</f>
        <v>0</v>
      </c>
      <c r="E17" s="7">
        <f>'Folha 11_13'!E17</f>
        <v>0</v>
      </c>
      <c r="F17" s="7">
        <f>'Folha 11_13'!F17</f>
        <v>0</v>
      </c>
      <c r="G17" s="7">
        <f>'Folha 11_13'!G17</f>
        <v>0</v>
      </c>
      <c r="H17" s="7">
        <f>'Folha 11_13'!H17</f>
        <v>0</v>
      </c>
      <c r="I17" s="7">
        <f>'Folha 11_13'!I17</f>
        <v>0</v>
      </c>
      <c r="J17" s="7">
        <f>'Folha 11_13'!J17</f>
        <v>0</v>
      </c>
      <c r="K17" s="7">
        <f>'Folha 11_13'!K17</f>
        <v>0</v>
      </c>
      <c r="L17" s="7">
        <f>'Folha 11_13'!L17</f>
        <v>0</v>
      </c>
      <c r="M17" s="7">
        <f>'Folha 11_13'!M17</f>
        <v>0</v>
      </c>
      <c r="N17" s="16"/>
      <c r="O17" s="7">
        <f t="shared" si="0"/>
        <v>0</v>
      </c>
    </row>
    <row r="18" spans="1:15" x14ac:dyDescent="0.25">
      <c r="A18" s="5" t="str">
        <f>'Folha 1_13'!A18</f>
        <v>I60</v>
      </c>
      <c r="B18" s="6" t="str">
        <f>'Folha 1_13'!B18</f>
        <v>Consumo de água (m3)</v>
      </c>
      <c r="C18" s="7">
        <f>'Folha 11_13'!C18</f>
        <v>0</v>
      </c>
      <c r="D18" s="7">
        <f>'Folha 11_13'!D18</f>
        <v>0</v>
      </c>
      <c r="E18" s="7">
        <f>'Folha 11_13'!E18</f>
        <v>0</v>
      </c>
      <c r="F18" s="7">
        <f>'Folha 11_13'!F18</f>
        <v>0</v>
      </c>
      <c r="G18" s="7">
        <f>'Folha 11_13'!G18</f>
        <v>0</v>
      </c>
      <c r="H18" s="7">
        <f>'Folha 11_13'!H18</f>
        <v>0</v>
      </c>
      <c r="I18" s="7">
        <f>'Folha 11_13'!I18</f>
        <v>0</v>
      </c>
      <c r="J18" s="7">
        <f>'Folha 11_13'!J18</f>
        <v>0</v>
      </c>
      <c r="K18" s="7">
        <f>'Folha 11_13'!K18</f>
        <v>0</v>
      </c>
      <c r="L18" s="7">
        <f>'Folha 11_13'!L18</f>
        <v>0</v>
      </c>
      <c r="M18" s="7">
        <f>'Folha 11_13'!M18</f>
        <v>0</v>
      </c>
      <c r="N18" s="16"/>
      <c r="O18" s="7">
        <f>SUM(C18:N18)</f>
        <v>0</v>
      </c>
    </row>
    <row r="19" spans="1:15" x14ac:dyDescent="0.25">
      <c r="A19" s="5" t="str">
        <f>'Folha 1_13'!A19</f>
        <v>I61</v>
      </c>
      <c r="B19" s="6" t="str">
        <f>'Folha 1_13'!B19</f>
        <v>Consumo de energia elétrica (kWh)</v>
      </c>
      <c r="C19" s="7">
        <f>'Folha 11_13'!C19</f>
        <v>0</v>
      </c>
      <c r="D19" s="7">
        <f>'Folha 11_13'!D19</f>
        <v>0</v>
      </c>
      <c r="E19" s="7">
        <f>'Folha 11_13'!E19</f>
        <v>0</v>
      </c>
      <c r="F19" s="7">
        <f>'Folha 11_13'!F19</f>
        <v>0</v>
      </c>
      <c r="G19" s="7">
        <f>'Folha 11_13'!G19</f>
        <v>0</v>
      </c>
      <c r="H19" s="7">
        <f>'Folha 11_13'!H19</f>
        <v>0</v>
      </c>
      <c r="I19" s="7">
        <f>'Folha 11_13'!I19</f>
        <v>0</v>
      </c>
      <c r="J19" s="7">
        <f>'Folha 11_13'!J19</f>
        <v>0</v>
      </c>
      <c r="K19" s="7">
        <f>'Folha 11_13'!K19</f>
        <v>0</v>
      </c>
      <c r="L19" s="7">
        <f>'Folha 11_13'!L19</f>
        <v>0</v>
      </c>
      <c r="M19" s="7">
        <f>'Folha 11_13'!M19</f>
        <v>0</v>
      </c>
      <c r="N19" s="16"/>
      <c r="O19" s="7">
        <f t="shared" ref="O19:O21" si="1">SUM(C19:N19)</f>
        <v>0</v>
      </c>
    </row>
    <row r="20" spans="1:15" ht="25.5" x14ac:dyDescent="0.25">
      <c r="A20" s="5" t="str">
        <f>'Folha 1_13'!A20</f>
        <v>I62</v>
      </c>
      <c r="B20" s="6" t="str">
        <f>'Folha 1_13'!B20</f>
        <v>Ações de conscientização - meio ambiente por ano (Nº)</v>
      </c>
      <c r="C20" s="7">
        <f>'Folha 11_13'!C20</f>
        <v>0</v>
      </c>
      <c r="D20" s="7">
        <f>'Folha 11_13'!D20</f>
        <v>0</v>
      </c>
      <c r="E20" s="7">
        <f>'Folha 11_13'!E20</f>
        <v>0</v>
      </c>
      <c r="F20" s="7">
        <f>'Folha 11_13'!F20</f>
        <v>0</v>
      </c>
      <c r="G20" s="7">
        <f>'Folha 11_13'!G20</f>
        <v>0</v>
      </c>
      <c r="H20" s="7">
        <f>'Folha 11_13'!H20</f>
        <v>0</v>
      </c>
      <c r="I20" s="7">
        <f>'Folha 11_13'!I20</f>
        <v>0</v>
      </c>
      <c r="J20" s="7">
        <f>'Folha 11_13'!J20</f>
        <v>0</v>
      </c>
      <c r="K20" s="7">
        <f>'Folha 11_13'!K20</f>
        <v>0</v>
      </c>
      <c r="L20" s="7">
        <f>'Folha 11_13'!L20</f>
        <v>0</v>
      </c>
      <c r="M20" s="7">
        <f>'Folha 11_13'!M20</f>
        <v>0</v>
      </c>
      <c r="N20" s="16"/>
      <c r="O20" s="7">
        <f t="shared" si="1"/>
        <v>0</v>
      </c>
    </row>
    <row r="21" spans="1:15" ht="25.5" x14ac:dyDescent="0.25">
      <c r="A21" s="5" t="str">
        <f>'Folha 1_13'!A21</f>
        <v>I63</v>
      </c>
      <c r="B21" s="6" t="str">
        <f>'Folha 1_13'!B21</f>
        <v>Denúncias procedentes registradas pela CIC (Ética)</v>
      </c>
      <c r="C21" s="7">
        <f>'Folha 11_13'!C21</f>
        <v>0</v>
      </c>
      <c r="D21" s="7">
        <f>'Folha 11_13'!D21</f>
        <v>0</v>
      </c>
      <c r="E21" s="7">
        <f>'Folha 11_13'!E21</f>
        <v>0</v>
      </c>
      <c r="F21" s="7">
        <f>'Folha 11_13'!F21</f>
        <v>0</v>
      </c>
      <c r="G21" s="7">
        <f>'Folha 11_13'!G21</f>
        <v>0</v>
      </c>
      <c r="H21" s="7">
        <f>'Folha 11_13'!H21</f>
        <v>0</v>
      </c>
      <c r="I21" s="7">
        <f>'Folha 11_13'!I21</f>
        <v>0</v>
      </c>
      <c r="J21" s="7">
        <f>'Folha 11_13'!J21</f>
        <v>0</v>
      </c>
      <c r="K21" s="7">
        <f>'Folha 11_13'!K21</f>
        <v>0</v>
      </c>
      <c r="L21" s="7">
        <f>'Folha 11_13'!L21</f>
        <v>0</v>
      </c>
      <c r="M21" s="7">
        <f>'Folha 11_13'!M21</f>
        <v>0</v>
      </c>
      <c r="N21" s="16"/>
      <c r="O21" s="7">
        <f t="shared" si="1"/>
        <v>0</v>
      </c>
    </row>
    <row r="22" spans="1:15" x14ac:dyDescent="0.25">
      <c r="A22" s="5" t="str">
        <f>'Folha 1_13'!A22</f>
        <v>D95</v>
      </c>
      <c r="B22" s="6" t="str">
        <f>'Folha 1_13'!B22</f>
        <v>Inflação ano</v>
      </c>
      <c r="C22" s="7">
        <f>'Folha 11_13'!C22</f>
        <v>0</v>
      </c>
      <c r="D22" s="7">
        <f>'Folha 11_13'!D22</f>
        <v>0</v>
      </c>
      <c r="E22" s="7">
        <f>'Folha 11_13'!E22</f>
        <v>0</v>
      </c>
      <c r="F22" s="7">
        <f>'Folha 11_13'!F22</f>
        <v>0</v>
      </c>
      <c r="G22" s="7">
        <f>'Folha 11_13'!G22</f>
        <v>0</v>
      </c>
      <c r="H22" s="7">
        <f>'Folha 11_13'!H22</f>
        <v>0</v>
      </c>
      <c r="I22" s="7">
        <f>'Folha 11_13'!I22</f>
        <v>0</v>
      </c>
      <c r="J22" s="7">
        <f>'Folha 11_13'!J22</f>
        <v>0</v>
      </c>
      <c r="K22" s="7">
        <f>'Folha 11_13'!K22</f>
        <v>0</v>
      </c>
      <c r="L22" s="7">
        <f>'Folha 11_13'!L22</f>
        <v>0</v>
      </c>
      <c r="M22" s="7">
        <f>'Folha 11_13'!M22</f>
        <v>0</v>
      </c>
      <c r="N22" s="16"/>
      <c r="O22" s="7">
        <f t="shared" ref="O22:O23" si="2">SUM(C22:N22)</f>
        <v>0</v>
      </c>
    </row>
    <row r="23" spans="1:15" ht="25.5" x14ac:dyDescent="0.25">
      <c r="A23" s="5" t="str">
        <f>'Folha 1_13'!A23</f>
        <v>D78</v>
      </c>
      <c r="B23" s="6" t="str">
        <f>'Folha 1_13'!B23</f>
        <v>Número de não conformidades registradas em auditoria de terceria parte (NBR ISO 9001)</v>
      </c>
      <c r="C23" s="7">
        <f>'Folha 11_13'!C23</f>
        <v>0</v>
      </c>
      <c r="D23" s="7">
        <f>'Folha 11_13'!D23</f>
        <v>0</v>
      </c>
      <c r="E23" s="7">
        <f>'Folha 11_13'!E23</f>
        <v>0</v>
      </c>
      <c r="F23" s="7">
        <f>'Folha 11_13'!F23</f>
        <v>0</v>
      </c>
      <c r="G23" s="7">
        <f>'Folha 11_13'!G23</f>
        <v>0</v>
      </c>
      <c r="H23" s="7">
        <f>'Folha 11_13'!H23</f>
        <v>0</v>
      </c>
      <c r="I23" s="7">
        <f>'Folha 11_13'!I23</f>
        <v>0</v>
      </c>
      <c r="J23" s="7">
        <f>'Folha 11_13'!J23</f>
        <v>0</v>
      </c>
      <c r="K23" s="7">
        <f>'Folha 11_13'!K23</f>
        <v>0</v>
      </c>
      <c r="L23" s="7">
        <f>'Folha 11_13'!L23</f>
        <v>0</v>
      </c>
      <c r="M23" s="7">
        <f>'Folha 11_13'!M23</f>
        <v>0</v>
      </c>
      <c r="N23" s="16"/>
      <c r="O23" s="7">
        <f t="shared" si="2"/>
        <v>0</v>
      </c>
    </row>
    <row r="24" spans="1:15" x14ac:dyDescent="0.25">
      <c r="A24" s="32" t="s">
        <v>106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</row>
  </sheetData>
  <sheetProtection algorithmName="SHA-512" hashValue="vulj5N44P7+Sio3P8L5FFUBBPPbr3nlVhZz9Wn3DfNYiCwgdq/9wCw1EYnjb5ECW4i4/Q5pQ7AtZvZGTIb8fnw==" saltValue="IvsH49Iiu8P2ngSMfrfr5A==" spinCount="100000" sheet="1" formatCells="0" formatColumns="0" formatRows="0" autoFilter="0"/>
  <mergeCells count="12">
    <mergeCell ref="K9:O9"/>
    <mergeCell ref="A11:O11"/>
    <mergeCell ref="A24:O24"/>
    <mergeCell ref="A1:O1"/>
    <mergeCell ref="A3:E3"/>
    <mergeCell ref="F3:H3"/>
    <mergeCell ref="I3:O3"/>
    <mergeCell ref="A5:O5"/>
    <mergeCell ref="K6:O6"/>
    <mergeCell ref="K7:O7"/>
    <mergeCell ref="K8:O8"/>
    <mergeCell ref="K10:O10"/>
  </mergeCells>
  <pageMargins left="0.51181102362204722" right="0.51181102362204722" top="0.78740157480314965" bottom="0.78740157480314965" header="0.31496062992125984" footer="0.31496062992125984"/>
  <pageSetup paperSize="9" scale="7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13">
    <tabColor theme="3"/>
  </sheetPr>
  <dimension ref="A1:O36"/>
  <sheetViews>
    <sheetView tabSelected="1" view="pageBreakPreview" topLeftCell="A9" zoomScaleNormal="100" zoomScaleSheetLayoutView="100" workbookViewId="0">
      <selection activeCell="K20" sqref="K20:O20"/>
    </sheetView>
  </sheetViews>
  <sheetFormatPr defaultRowHeight="15" x14ac:dyDescent="0.25"/>
  <cols>
    <col min="1" max="1" width="6.85546875" style="10" customWidth="1"/>
    <col min="2" max="2" width="48.28515625" style="11" customWidth="1"/>
    <col min="3" max="15" width="9.140625" style="11" customWidth="1"/>
  </cols>
  <sheetData>
    <row r="1" spans="1:15" ht="24" customHeight="1" thickBot="1" x14ac:dyDescent="0.3">
      <c r="A1" s="22" t="s">
        <v>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4"/>
    </row>
    <row r="2" spans="1:15" ht="21.75" customHeight="1" x14ac:dyDescent="0.25">
      <c r="A2" s="40" t="s">
        <v>41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1:15" ht="18.75" customHeight="1" x14ac:dyDescent="0.25">
      <c r="A3" s="26" t="str">
        <f>'Folha 1_13'!$A$3</f>
        <v>ANO:</v>
      </c>
      <c r="B3" s="26"/>
      <c r="C3" s="26"/>
      <c r="D3" s="26"/>
      <c r="E3" s="26"/>
      <c r="F3" s="37" t="s">
        <v>25</v>
      </c>
      <c r="G3" s="38"/>
      <c r="H3" s="38"/>
      <c r="I3" s="38"/>
      <c r="J3" s="38"/>
      <c r="K3" s="38"/>
      <c r="L3" s="38"/>
      <c r="M3" s="38"/>
      <c r="N3" s="38"/>
      <c r="O3" s="39"/>
    </row>
    <row r="4" spans="1:15" ht="7.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18.75" customHeight="1" x14ac:dyDescent="0.25">
      <c r="A5" s="34" t="s">
        <v>65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</row>
    <row r="6" spans="1:15" ht="14.25" customHeight="1" x14ac:dyDescent="0.25">
      <c r="A6" s="4" t="s">
        <v>1</v>
      </c>
      <c r="B6" s="4" t="s">
        <v>0</v>
      </c>
      <c r="C6" s="4" t="s">
        <v>26</v>
      </c>
      <c r="D6" s="4" t="s">
        <v>27</v>
      </c>
      <c r="E6" s="4" t="s">
        <v>4</v>
      </c>
      <c r="F6" s="4" t="s">
        <v>20</v>
      </c>
      <c r="G6" s="4" t="s">
        <v>6</v>
      </c>
      <c r="H6" s="4" t="s">
        <v>5</v>
      </c>
      <c r="I6" s="4" t="s">
        <v>21</v>
      </c>
      <c r="J6" s="4" t="s">
        <v>3</v>
      </c>
      <c r="K6" s="36" t="s">
        <v>28</v>
      </c>
      <c r="L6" s="36"/>
      <c r="M6" s="36"/>
      <c r="N6" s="36"/>
      <c r="O6" s="36"/>
    </row>
    <row r="7" spans="1:15" ht="23.25" customHeight="1" x14ac:dyDescent="0.25">
      <c r="A7" s="5" t="str">
        <f>'Folha 1_13'!A7</f>
        <v>I46</v>
      </c>
      <c r="B7" s="6" t="str">
        <f>'Folha 1_13'!B7</f>
        <v>SAC solucionadas (%)</v>
      </c>
      <c r="C7" s="5">
        <f>'Folha 12_13'!C7</f>
        <v>0</v>
      </c>
      <c r="D7" s="5">
        <f>'Folha 12_13'!D7</f>
        <v>0</v>
      </c>
      <c r="E7" s="5">
        <f>'Folha 12_13'!E7</f>
        <v>0</v>
      </c>
      <c r="F7" s="5">
        <f>'Folha 12_13'!F7</f>
        <v>0</v>
      </c>
      <c r="G7" s="5">
        <f>'Folha 12_13'!G7</f>
        <v>0</v>
      </c>
      <c r="H7" s="5">
        <f>'Folha 12_13'!H7</f>
        <v>0</v>
      </c>
      <c r="I7" s="5">
        <f>'Folha 12_13'!I7</f>
        <v>0</v>
      </c>
      <c r="J7" s="13">
        <f>'Folha 12_13'!J7</f>
        <v>0</v>
      </c>
      <c r="K7" s="27" t="s">
        <v>104</v>
      </c>
      <c r="L7" s="28"/>
      <c r="M7" s="28"/>
      <c r="N7" s="28"/>
      <c r="O7" s="28"/>
    </row>
    <row r="8" spans="1:15" ht="23.25" customHeight="1" x14ac:dyDescent="0.25">
      <c r="A8" s="5" t="str">
        <f>'Folha 1_13'!A8</f>
        <v>I47</v>
      </c>
      <c r="B8" s="6" t="str">
        <f>'Folha 1_13'!B8</f>
        <v>SAP solucionadas (%)</v>
      </c>
      <c r="C8" s="5">
        <f>'Folha 12_13'!C8</f>
        <v>0</v>
      </c>
      <c r="D8" s="5">
        <f>'Folha 12_13'!D8</f>
        <v>0</v>
      </c>
      <c r="E8" s="5">
        <f>'Folha 12_13'!E8</f>
        <v>0</v>
      </c>
      <c r="F8" s="5">
        <f>'Folha 12_13'!F8</f>
        <v>0</v>
      </c>
      <c r="G8" s="5">
        <f>'Folha 12_13'!G8</f>
        <v>0</v>
      </c>
      <c r="H8" s="5">
        <f>'Folha 12_13'!H8</f>
        <v>0</v>
      </c>
      <c r="I8" s="5">
        <f>'Folha 12_13'!I8</f>
        <v>0</v>
      </c>
      <c r="J8" s="13">
        <f>'Folha 12_13'!J8</f>
        <v>0</v>
      </c>
      <c r="K8" s="27" t="s">
        <v>104</v>
      </c>
      <c r="L8" s="28"/>
      <c r="M8" s="28"/>
      <c r="N8" s="28"/>
      <c r="O8" s="28"/>
    </row>
    <row r="9" spans="1:15" ht="22.5" customHeight="1" x14ac:dyDescent="0.25">
      <c r="A9" s="5" t="str">
        <f>'Folha 1_13'!A9</f>
        <v>I48</v>
      </c>
      <c r="B9" s="6" t="str">
        <f>'Folha 1_13'!B9</f>
        <v>NCBI solucionadas (%)</v>
      </c>
      <c r="C9" s="5">
        <f>'Folha 12_13'!C9</f>
        <v>0</v>
      </c>
      <c r="D9" s="5">
        <f>'Folha 12_13'!D9</f>
        <v>0</v>
      </c>
      <c r="E9" s="5">
        <f>'Folha 12_13'!E9</f>
        <v>0</v>
      </c>
      <c r="F9" s="5">
        <f>'Folha 12_13'!F9</f>
        <v>0</v>
      </c>
      <c r="G9" s="5">
        <f>'Folha 12_13'!G9</f>
        <v>0</v>
      </c>
      <c r="H9" s="5">
        <f>'Folha 12_13'!H9</f>
        <v>0</v>
      </c>
      <c r="I9" s="5">
        <f>'Folha 12_13'!I9</f>
        <v>0</v>
      </c>
      <c r="J9" s="13">
        <f>'Folha 12_13'!J9</f>
        <v>0</v>
      </c>
      <c r="K9" s="27" t="s">
        <v>104</v>
      </c>
      <c r="L9" s="28"/>
      <c r="M9" s="28"/>
      <c r="N9" s="28"/>
      <c r="O9" s="28"/>
    </row>
    <row r="10" spans="1:15" ht="22.5" customHeight="1" x14ac:dyDescent="0.25">
      <c r="A10" s="5" t="str">
        <f>'Folha 1_13'!A10</f>
        <v>------</v>
      </c>
      <c r="B10" s="6" t="str">
        <f>'Folha 1_13'!B10</f>
        <v>Número de gestores</v>
      </c>
      <c r="C10" s="5">
        <f>'Folha 12_13'!C9</f>
        <v>0</v>
      </c>
      <c r="D10" s="5">
        <f>'Folha 12_13'!D9</f>
        <v>0</v>
      </c>
      <c r="E10" s="5">
        <f>'Folha 12_13'!E9</f>
        <v>0</v>
      </c>
      <c r="F10" s="5">
        <f>'Folha 12_13'!F9</f>
        <v>0</v>
      </c>
      <c r="G10" s="5">
        <f>'Folha 12_13'!G9</f>
        <v>0</v>
      </c>
      <c r="H10" s="5">
        <f>'Folha 12_13'!H9</f>
        <v>0</v>
      </c>
      <c r="I10" s="5">
        <f>'Folha 12_13'!I9</f>
        <v>0</v>
      </c>
      <c r="J10" s="5">
        <f>'Folha 12_13'!J9</f>
        <v>0</v>
      </c>
      <c r="K10" s="27" t="s">
        <v>104</v>
      </c>
      <c r="L10" s="28"/>
      <c r="M10" s="28"/>
      <c r="N10" s="28"/>
      <c r="O10" s="28"/>
    </row>
    <row r="11" spans="1:15" ht="23.25" customHeight="1" x14ac:dyDescent="0.25">
      <c r="A11" s="34" t="s">
        <v>66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</row>
    <row r="12" spans="1:15" ht="23.25" customHeight="1" x14ac:dyDescent="0.25">
      <c r="A12" s="4" t="s">
        <v>1</v>
      </c>
      <c r="B12" s="4" t="s">
        <v>0</v>
      </c>
      <c r="C12" s="4" t="s">
        <v>26</v>
      </c>
      <c r="D12" s="4" t="s">
        <v>27</v>
      </c>
      <c r="E12" s="4" t="s">
        <v>4</v>
      </c>
      <c r="F12" s="4" t="s">
        <v>20</v>
      </c>
      <c r="G12" s="4" t="s">
        <v>6</v>
      </c>
      <c r="H12" s="4" t="s">
        <v>5</v>
      </c>
      <c r="I12" s="4" t="s">
        <v>21</v>
      </c>
      <c r="J12" s="4" t="s">
        <v>3</v>
      </c>
      <c r="K12" s="36" t="s">
        <v>28</v>
      </c>
      <c r="L12" s="36"/>
      <c r="M12" s="36"/>
      <c r="N12" s="36"/>
      <c r="O12" s="36"/>
    </row>
    <row r="13" spans="1:15" x14ac:dyDescent="0.25">
      <c r="A13" s="5" t="s">
        <v>93</v>
      </c>
      <c r="B13" s="6" t="s">
        <v>94</v>
      </c>
      <c r="C13" s="16"/>
      <c r="D13" s="16"/>
      <c r="E13" s="16"/>
      <c r="F13" s="16"/>
      <c r="G13" s="16"/>
      <c r="H13" s="16"/>
      <c r="I13" s="16"/>
      <c r="J13" s="16"/>
      <c r="K13" s="27" t="s">
        <v>104</v>
      </c>
      <c r="L13" s="28"/>
      <c r="M13" s="28"/>
      <c r="N13" s="28"/>
      <c r="O13" s="28"/>
    </row>
    <row r="14" spans="1:15" x14ac:dyDescent="0.25">
      <c r="A14" s="5" t="s">
        <v>77</v>
      </c>
      <c r="B14" s="6" t="s">
        <v>92</v>
      </c>
      <c r="C14" s="16"/>
      <c r="D14" s="16"/>
      <c r="E14" s="16"/>
      <c r="F14" s="16"/>
      <c r="G14" s="16"/>
      <c r="H14" s="16"/>
      <c r="I14" s="16"/>
      <c r="J14" s="16"/>
      <c r="K14" s="27" t="s">
        <v>104</v>
      </c>
      <c r="L14" s="28"/>
      <c r="M14" s="28"/>
      <c r="N14" s="28"/>
      <c r="O14" s="28"/>
    </row>
    <row r="15" spans="1:15" x14ac:dyDescent="0.25">
      <c r="A15" s="5" t="s">
        <v>88</v>
      </c>
      <c r="B15" s="19" t="s">
        <v>89</v>
      </c>
      <c r="C15" s="16"/>
      <c r="D15" s="16"/>
      <c r="E15" s="16"/>
      <c r="F15" s="16"/>
      <c r="G15" s="16"/>
      <c r="H15" s="16"/>
      <c r="I15" s="16"/>
      <c r="J15" s="16"/>
      <c r="K15" s="27" t="s">
        <v>104</v>
      </c>
      <c r="L15" s="28"/>
      <c r="M15" s="28"/>
      <c r="N15" s="28"/>
      <c r="O15" s="28"/>
    </row>
    <row r="16" spans="1:15" x14ac:dyDescent="0.25">
      <c r="A16" s="5" t="s">
        <v>90</v>
      </c>
      <c r="B16" s="19" t="s">
        <v>91</v>
      </c>
      <c r="C16" s="16"/>
      <c r="D16" s="16"/>
      <c r="E16" s="16"/>
      <c r="F16" s="16"/>
      <c r="G16" s="16"/>
      <c r="H16" s="16"/>
      <c r="I16" s="16"/>
      <c r="J16" s="16"/>
      <c r="K16" s="27" t="s">
        <v>104</v>
      </c>
      <c r="L16" s="28"/>
      <c r="M16" s="28"/>
      <c r="N16" s="28"/>
      <c r="O16" s="28"/>
    </row>
    <row r="17" spans="1:15" ht="27" customHeight="1" x14ac:dyDescent="0.25">
      <c r="A17" s="5" t="s">
        <v>78</v>
      </c>
      <c r="B17" s="19" t="s">
        <v>95</v>
      </c>
      <c r="C17" s="16"/>
      <c r="D17" s="16"/>
      <c r="E17" s="16"/>
      <c r="F17" s="16"/>
      <c r="G17" s="16"/>
      <c r="H17" s="16"/>
      <c r="I17" s="16"/>
      <c r="J17" s="16"/>
      <c r="K17" s="27" t="s">
        <v>104</v>
      </c>
      <c r="L17" s="28"/>
      <c r="M17" s="28"/>
      <c r="N17" s="28"/>
      <c r="O17" s="28"/>
    </row>
    <row r="18" spans="1:15" ht="25.5" customHeight="1" x14ac:dyDescent="0.25">
      <c r="A18" s="5" t="s">
        <v>79</v>
      </c>
      <c r="B18" s="19" t="s">
        <v>84</v>
      </c>
      <c r="C18" s="16"/>
      <c r="D18" s="16"/>
      <c r="E18" s="16"/>
      <c r="F18" s="16"/>
      <c r="G18" s="16"/>
      <c r="H18" s="16"/>
      <c r="I18" s="16"/>
      <c r="J18" s="16"/>
      <c r="K18" s="27" t="s">
        <v>104</v>
      </c>
      <c r="L18" s="28"/>
      <c r="M18" s="28"/>
      <c r="N18" s="28"/>
      <c r="O18" s="28"/>
    </row>
    <row r="19" spans="1:15" ht="25.5" customHeight="1" x14ac:dyDescent="0.25">
      <c r="A19" s="5" t="s">
        <v>80</v>
      </c>
      <c r="B19" s="19" t="s">
        <v>85</v>
      </c>
      <c r="C19" s="16"/>
      <c r="D19" s="16"/>
      <c r="E19" s="16"/>
      <c r="F19" s="16"/>
      <c r="G19" s="16"/>
      <c r="H19" s="16"/>
      <c r="I19" s="16"/>
      <c r="J19" s="16"/>
      <c r="K19" s="27" t="s">
        <v>104</v>
      </c>
      <c r="L19" s="28"/>
      <c r="M19" s="28"/>
      <c r="N19" s="28"/>
      <c r="O19" s="28"/>
    </row>
    <row r="20" spans="1:15" ht="25.5" customHeight="1" x14ac:dyDescent="0.25">
      <c r="A20" s="5" t="s">
        <v>81</v>
      </c>
      <c r="B20" s="19" t="s">
        <v>96</v>
      </c>
      <c r="C20" s="16"/>
      <c r="D20" s="16"/>
      <c r="E20" s="16"/>
      <c r="F20" s="16"/>
      <c r="G20" s="16"/>
      <c r="H20" s="16"/>
      <c r="I20" s="16"/>
      <c r="J20" s="16"/>
      <c r="K20" s="27" t="s">
        <v>104</v>
      </c>
      <c r="L20" s="28"/>
      <c r="M20" s="28"/>
      <c r="N20" s="28"/>
      <c r="O20" s="28"/>
    </row>
    <row r="21" spans="1:15" ht="25.5" customHeight="1" x14ac:dyDescent="0.25">
      <c r="A21" s="5" t="s">
        <v>82</v>
      </c>
      <c r="B21" s="19" t="s">
        <v>86</v>
      </c>
      <c r="C21" s="16"/>
      <c r="D21" s="16"/>
      <c r="E21" s="16"/>
      <c r="F21" s="16"/>
      <c r="G21" s="16"/>
      <c r="H21" s="16"/>
      <c r="I21" s="16"/>
      <c r="J21" s="16"/>
      <c r="K21" s="27" t="s">
        <v>104</v>
      </c>
      <c r="L21" s="28"/>
      <c r="M21" s="28"/>
      <c r="N21" s="28"/>
      <c r="O21" s="28"/>
    </row>
    <row r="22" spans="1:15" ht="25.5" customHeight="1" x14ac:dyDescent="0.25">
      <c r="A22" s="5" t="s">
        <v>83</v>
      </c>
      <c r="B22" s="19" t="s">
        <v>87</v>
      </c>
      <c r="C22" s="16"/>
      <c r="D22" s="16"/>
      <c r="E22" s="16"/>
      <c r="F22" s="16"/>
      <c r="G22" s="16"/>
      <c r="H22" s="16"/>
      <c r="I22" s="16"/>
      <c r="J22" s="16"/>
      <c r="K22" s="27" t="s">
        <v>104</v>
      </c>
      <c r="L22" s="28"/>
      <c r="M22" s="28"/>
      <c r="N22" s="28"/>
      <c r="O22" s="28"/>
    </row>
    <row r="23" spans="1:15" x14ac:dyDescent="0.25">
      <c r="A23" s="35" t="s">
        <v>67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</row>
    <row r="24" spans="1:15" x14ac:dyDescent="0.25">
      <c r="A24" s="4" t="s">
        <v>1</v>
      </c>
      <c r="B24" s="4" t="s">
        <v>0</v>
      </c>
      <c r="C24" s="4" t="s">
        <v>7</v>
      </c>
      <c r="D24" s="4" t="s">
        <v>8</v>
      </c>
      <c r="E24" s="4" t="s">
        <v>9</v>
      </c>
      <c r="F24" s="4" t="s">
        <v>10</v>
      </c>
      <c r="G24" s="4" t="s">
        <v>11</v>
      </c>
      <c r="H24" s="4" t="s">
        <v>12</v>
      </c>
      <c r="I24" s="4" t="s">
        <v>13</v>
      </c>
      <c r="J24" s="4" t="s">
        <v>14</v>
      </c>
      <c r="K24" s="4" t="s">
        <v>15</v>
      </c>
      <c r="L24" s="4" t="s">
        <v>16</v>
      </c>
      <c r="M24" s="4" t="s">
        <v>17</v>
      </c>
      <c r="N24" s="4" t="s">
        <v>18</v>
      </c>
      <c r="O24" s="4" t="s">
        <v>19</v>
      </c>
    </row>
    <row r="25" spans="1:15" ht="25.5" x14ac:dyDescent="0.25">
      <c r="A25" s="5" t="str">
        <f>'Folha 1_13'!A13</f>
        <v>I12</v>
      </c>
      <c r="B25" s="6" t="str">
        <f>'Folha 1_13'!B13</f>
        <v xml:space="preserve">Cumprimento às exigências fiscais municipais, federais e estaduais (número de falhas) </v>
      </c>
      <c r="C25" s="7">
        <f>'Folha 12_13'!C13</f>
        <v>0</v>
      </c>
      <c r="D25" s="7">
        <f>'Folha 12_13'!D13</f>
        <v>0</v>
      </c>
      <c r="E25" s="7">
        <f>'Folha 12_13'!E13</f>
        <v>0</v>
      </c>
      <c r="F25" s="7">
        <f>'Folha 12_13'!F13</f>
        <v>0</v>
      </c>
      <c r="G25" s="7">
        <f>'Folha 12_13'!G13</f>
        <v>0</v>
      </c>
      <c r="H25" s="7">
        <f>'Folha 12_13'!H13</f>
        <v>0</v>
      </c>
      <c r="I25" s="7">
        <f>'Folha 12_13'!I13</f>
        <v>0</v>
      </c>
      <c r="J25" s="7">
        <f>'Folha 12_13'!J13</f>
        <v>0</v>
      </c>
      <c r="K25" s="7">
        <f>'Folha 12_13'!K13</f>
        <v>0</v>
      </c>
      <c r="L25" s="7">
        <f>'Folha 12_13'!L13</f>
        <v>0</v>
      </c>
      <c r="M25" s="7">
        <f>'Folha 12_13'!M13</f>
        <v>0</v>
      </c>
      <c r="N25" s="7">
        <f>'Folha 12_13'!N13</f>
        <v>0</v>
      </c>
      <c r="O25" s="7">
        <f>'Folha 12_13'!O13</f>
        <v>0</v>
      </c>
    </row>
    <row r="26" spans="1:15" ht="25.5" x14ac:dyDescent="0.25">
      <c r="A26" s="5" t="str">
        <f>'Folha 1_13'!A14</f>
        <v>I49</v>
      </c>
      <c r="B26" s="6" t="str">
        <f>'Folha 1_13'!B14</f>
        <v>Ensaios acreditados na ABNT NBR ISO/IEC 17025. (Nº)</v>
      </c>
      <c r="C26" s="7">
        <f>'Folha 12_13'!C14</f>
        <v>0</v>
      </c>
      <c r="D26" s="7">
        <f>'Folha 12_13'!D14</f>
        <v>0</v>
      </c>
      <c r="E26" s="7">
        <f>'Folha 12_13'!E14</f>
        <v>0</v>
      </c>
      <c r="F26" s="7">
        <f>'Folha 12_13'!F14</f>
        <v>0</v>
      </c>
      <c r="G26" s="7">
        <f>'Folha 12_13'!G14</f>
        <v>0</v>
      </c>
      <c r="H26" s="7">
        <f>'Folha 12_13'!H14</f>
        <v>0</v>
      </c>
      <c r="I26" s="7">
        <f>'Folha 12_13'!I14</f>
        <v>0</v>
      </c>
      <c r="J26" s="7">
        <f>'Folha 12_13'!J14</f>
        <v>0</v>
      </c>
      <c r="K26" s="7">
        <f>'Folha 12_13'!K14</f>
        <v>0</v>
      </c>
      <c r="L26" s="7">
        <f>'Folha 12_13'!L14</f>
        <v>0</v>
      </c>
      <c r="M26" s="7">
        <f>'Folha 12_13'!M14</f>
        <v>0</v>
      </c>
      <c r="N26" s="7">
        <f>'Folha 12_13'!N14</f>
        <v>0</v>
      </c>
      <c r="O26" s="7">
        <f>'Folha 12_13'!O14</f>
        <v>0</v>
      </c>
    </row>
    <row r="27" spans="1:15" x14ac:dyDescent="0.25">
      <c r="A27" s="5" t="str">
        <f>'Folha 1_13'!A15</f>
        <v>I50</v>
      </c>
      <c r="B27" s="6" t="str">
        <f>'Folha 1_13'!B15</f>
        <v>Habilitação do Ital junto à Reblas - Anvisa</v>
      </c>
      <c r="C27" s="7">
        <f>'Folha 12_13'!C15</f>
        <v>0</v>
      </c>
      <c r="D27" s="7">
        <f>'Folha 12_13'!D15</f>
        <v>0</v>
      </c>
      <c r="E27" s="7">
        <f>'Folha 12_13'!E15</f>
        <v>0</v>
      </c>
      <c r="F27" s="7">
        <f>'Folha 12_13'!F15</f>
        <v>0</v>
      </c>
      <c r="G27" s="7">
        <f>'Folha 12_13'!G15</f>
        <v>0</v>
      </c>
      <c r="H27" s="7">
        <f>'Folha 12_13'!H15</f>
        <v>0</v>
      </c>
      <c r="I27" s="7">
        <f>'Folha 12_13'!I15</f>
        <v>0</v>
      </c>
      <c r="J27" s="7">
        <f>'Folha 12_13'!J15</f>
        <v>0</v>
      </c>
      <c r="K27" s="7">
        <f>'Folha 12_13'!K15</f>
        <v>0</v>
      </c>
      <c r="L27" s="7">
        <f>'Folha 12_13'!L15</f>
        <v>0</v>
      </c>
      <c r="M27" s="7">
        <f>'Folha 12_13'!M15</f>
        <v>0</v>
      </c>
      <c r="N27" s="7">
        <f>'Folha 12_13'!N15</f>
        <v>0</v>
      </c>
      <c r="O27" s="7">
        <f>'Folha 12_13'!O15</f>
        <v>0</v>
      </c>
    </row>
    <row r="28" spans="1:15" ht="25.5" x14ac:dyDescent="0.25">
      <c r="A28" s="5" t="str">
        <f>'Folha 1_13'!A16</f>
        <v>I51</v>
      </c>
      <c r="B28" s="6" t="str">
        <f>'Folha 1_13'!B16</f>
        <v>Certificação do Sistema de Gestão da Qualidade - NBR ISO 9001 (Nº)</v>
      </c>
      <c r="C28" s="7">
        <f>'Folha 12_13'!C16</f>
        <v>0</v>
      </c>
      <c r="D28" s="7">
        <f>'Folha 12_13'!D16</f>
        <v>0</v>
      </c>
      <c r="E28" s="7">
        <f>'Folha 12_13'!E16</f>
        <v>0</v>
      </c>
      <c r="F28" s="7">
        <f>'Folha 12_13'!F16</f>
        <v>0</v>
      </c>
      <c r="G28" s="7">
        <f>'Folha 12_13'!G16</f>
        <v>0</v>
      </c>
      <c r="H28" s="7">
        <f>'Folha 12_13'!H16</f>
        <v>0</v>
      </c>
      <c r="I28" s="7">
        <f>'Folha 12_13'!I16</f>
        <v>0</v>
      </c>
      <c r="J28" s="7">
        <f>'Folha 12_13'!J16</f>
        <v>0</v>
      </c>
      <c r="K28" s="7">
        <f>'Folha 12_13'!K16</f>
        <v>0</v>
      </c>
      <c r="L28" s="7">
        <f>'Folha 12_13'!L16</f>
        <v>0</v>
      </c>
      <c r="M28" s="7">
        <f>'Folha 12_13'!M16</f>
        <v>0</v>
      </c>
      <c r="N28" s="7">
        <f>'Folha 12_13'!N16</f>
        <v>0</v>
      </c>
      <c r="O28" s="7">
        <f>'Folha 12_13'!O16</f>
        <v>0</v>
      </c>
    </row>
    <row r="29" spans="1:15" x14ac:dyDescent="0.25">
      <c r="A29" s="5" t="str">
        <f>'Folha 1_13'!A17</f>
        <v>I53</v>
      </c>
      <c r="B29" s="6" t="str">
        <f>'Folha 1_13'!B17</f>
        <v>Qualificação de fornecedores (%)</v>
      </c>
      <c r="C29" s="7">
        <f>'Folha 12_13'!C17</f>
        <v>0</v>
      </c>
      <c r="D29" s="7">
        <f>'Folha 12_13'!D17</f>
        <v>0</v>
      </c>
      <c r="E29" s="7">
        <f>'Folha 12_13'!E17</f>
        <v>0</v>
      </c>
      <c r="F29" s="7">
        <f>'Folha 12_13'!F17</f>
        <v>0</v>
      </c>
      <c r="G29" s="7">
        <f>'Folha 12_13'!G17</f>
        <v>0</v>
      </c>
      <c r="H29" s="7">
        <f>'Folha 12_13'!H17</f>
        <v>0</v>
      </c>
      <c r="I29" s="7">
        <f>'Folha 12_13'!I17</f>
        <v>0</v>
      </c>
      <c r="J29" s="7">
        <f>'Folha 12_13'!J17</f>
        <v>0</v>
      </c>
      <c r="K29" s="7">
        <f>'Folha 12_13'!K17</f>
        <v>0</v>
      </c>
      <c r="L29" s="7">
        <f>'Folha 12_13'!L17</f>
        <v>0</v>
      </c>
      <c r="M29" s="7">
        <f>'Folha 12_13'!M17</f>
        <v>0</v>
      </c>
      <c r="N29" s="7">
        <f>'Folha 12_13'!N17</f>
        <v>0</v>
      </c>
      <c r="O29" s="7">
        <f>'Folha 12_13'!O17</f>
        <v>0</v>
      </c>
    </row>
    <row r="30" spans="1:15" x14ac:dyDescent="0.25">
      <c r="A30" s="5" t="str">
        <f>'Folha 1_13'!A18</f>
        <v>I60</v>
      </c>
      <c r="B30" s="6" t="str">
        <f>'Folha 1_13'!B18</f>
        <v>Consumo de água (m3)</v>
      </c>
      <c r="C30" s="7">
        <f>'Folha 12_13'!C18</f>
        <v>0</v>
      </c>
      <c r="D30" s="7">
        <f>'Folha 12_13'!D18</f>
        <v>0</v>
      </c>
      <c r="E30" s="7">
        <f>'Folha 12_13'!E18</f>
        <v>0</v>
      </c>
      <c r="F30" s="7">
        <f>'Folha 12_13'!F18</f>
        <v>0</v>
      </c>
      <c r="G30" s="7">
        <f>'Folha 12_13'!G18</f>
        <v>0</v>
      </c>
      <c r="H30" s="7">
        <f>'Folha 12_13'!H18</f>
        <v>0</v>
      </c>
      <c r="I30" s="7">
        <f>'Folha 12_13'!I18</f>
        <v>0</v>
      </c>
      <c r="J30" s="7">
        <f>'Folha 12_13'!J18</f>
        <v>0</v>
      </c>
      <c r="K30" s="7">
        <f>'Folha 12_13'!K18</f>
        <v>0</v>
      </c>
      <c r="L30" s="7">
        <f>'Folha 12_13'!L18</f>
        <v>0</v>
      </c>
      <c r="M30" s="7">
        <f>'Folha 12_13'!M18</f>
        <v>0</v>
      </c>
      <c r="N30" s="7">
        <f>'Folha 12_13'!N18</f>
        <v>0</v>
      </c>
      <c r="O30" s="7">
        <f>'Folha 12_13'!O18</f>
        <v>0</v>
      </c>
    </row>
    <row r="31" spans="1:15" x14ac:dyDescent="0.25">
      <c r="A31" s="5" t="str">
        <f>'Folha 1_13'!A19</f>
        <v>I61</v>
      </c>
      <c r="B31" s="6" t="str">
        <f>'Folha 1_13'!B19</f>
        <v>Consumo de energia elétrica (kWh)</v>
      </c>
      <c r="C31" s="7">
        <f>'Folha 12_13'!C19</f>
        <v>0</v>
      </c>
      <c r="D31" s="7">
        <f>'Folha 12_13'!D19</f>
        <v>0</v>
      </c>
      <c r="E31" s="7">
        <f>'Folha 12_13'!E19</f>
        <v>0</v>
      </c>
      <c r="F31" s="7">
        <f>'Folha 12_13'!F19</f>
        <v>0</v>
      </c>
      <c r="G31" s="7">
        <f>'Folha 12_13'!G19</f>
        <v>0</v>
      </c>
      <c r="H31" s="7">
        <f>'Folha 12_13'!H19</f>
        <v>0</v>
      </c>
      <c r="I31" s="7">
        <f>'Folha 12_13'!I19</f>
        <v>0</v>
      </c>
      <c r="J31" s="7">
        <f>'Folha 12_13'!J19</f>
        <v>0</v>
      </c>
      <c r="K31" s="7">
        <f>'Folha 12_13'!K19</f>
        <v>0</v>
      </c>
      <c r="L31" s="7">
        <f>'Folha 12_13'!L19</f>
        <v>0</v>
      </c>
      <c r="M31" s="7">
        <f>'Folha 12_13'!M19</f>
        <v>0</v>
      </c>
      <c r="N31" s="7">
        <f>'Folha 12_13'!N19</f>
        <v>0</v>
      </c>
      <c r="O31" s="7">
        <f>'Folha 12_13'!O19</f>
        <v>0</v>
      </c>
    </row>
    <row r="32" spans="1:15" ht="25.5" x14ac:dyDescent="0.25">
      <c r="A32" s="5" t="str">
        <f>'Folha 1_13'!A20</f>
        <v>I62</v>
      </c>
      <c r="B32" s="6" t="str">
        <f>'Folha 1_13'!B20</f>
        <v>Ações de conscientização - meio ambiente por ano (Nº)</v>
      </c>
      <c r="C32" s="7">
        <f>'Folha 12_13'!C20</f>
        <v>0</v>
      </c>
      <c r="D32" s="7">
        <f>'Folha 12_13'!D20</f>
        <v>0</v>
      </c>
      <c r="E32" s="7">
        <f>'Folha 12_13'!E20</f>
        <v>0</v>
      </c>
      <c r="F32" s="7">
        <f>'Folha 12_13'!F20</f>
        <v>0</v>
      </c>
      <c r="G32" s="7">
        <f>'Folha 12_13'!G20</f>
        <v>0</v>
      </c>
      <c r="H32" s="7">
        <f>'Folha 12_13'!H20</f>
        <v>0</v>
      </c>
      <c r="I32" s="7">
        <f>'Folha 12_13'!I20</f>
        <v>0</v>
      </c>
      <c r="J32" s="7">
        <f>'Folha 12_13'!J20</f>
        <v>0</v>
      </c>
      <c r="K32" s="7">
        <f>'Folha 12_13'!K20</f>
        <v>0</v>
      </c>
      <c r="L32" s="7">
        <f>'Folha 12_13'!L20</f>
        <v>0</v>
      </c>
      <c r="M32" s="7">
        <f>'Folha 12_13'!M20</f>
        <v>0</v>
      </c>
      <c r="N32" s="7">
        <f>'Folha 12_13'!N20</f>
        <v>0</v>
      </c>
      <c r="O32" s="7">
        <f>'Folha 12_13'!O20</f>
        <v>0</v>
      </c>
    </row>
    <row r="33" spans="1:15" x14ac:dyDescent="0.25">
      <c r="A33" s="5" t="str">
        <f>'Folha 1_13'!A21</f>
        <v>I63</v>
      </c>
      <c r="B33" s="6" t="str">
        <f>'Folha 1_13'!B21</f>
        <v>Denúncias procedentes registradas pela CIC (Ética)</v>
      </c>
      <c r="C33" s="7">
        <f>'Folha 12_13'!C21</f>
        <v>0</v>
      </c>
      <c r="D33" s="7">
        <f>'Folha 12_13'!D21</f>
        <v>0</v>
      </c>
      <c r="E33" s="7">
        <f>'Folha 12_13'!E21</f>
        <v>0</v>
      </c>
      <c r="F33" s="7">
        <f>'Folha 12_13'!F21</f>
        <v>0</v>
      </c>
      <c r="G33" s="7">
        <f>'Folha 12_13'!G21</f>
        <v>0</v>
      </c>
      <c r="H33" s="7">
        <f>'Folha 12_13'!H21</f>
        <v>0</v>
      </c>
      <c r="I33" s="7">
        <f>'Folha 12_13'!I21</f>
        <v>0</v>
      </c>
      <c r="J33" s="7">
        <f>'Folha 12_13'!J21</f>
        <v>0</v>
      </c>
      <c r="K33" s="7">
        <f>'Folha 12_13'!K21</f>
        <v>0</v>
      </c>
      <c r="L33" s="7">
        <f>'Folha 12_13'!L21</f>
        <v>0</v>
      </c>
      <c r="M33" s="7">
        <f>'Folha 12_13'!M21</f>
        <v>0</v>
      </c>
      <c r="N33" s="7">
        <f>'Folha 12_13'!N21</f>
        <v>0</v>
      </c>
      <c r="O33" s="7">
        <f>'Folha 12_13'!O21</f>
        <v>0</v>
      </c>
    </row>
    <row r="34" spans="1:15" x14ac:dyDescent="0.25">
      <c r="A34" s="5" t="str">
        <f>'Folha 1_13'!A22</f>
        <v>D95</v>
      </c>
      <c r="B34" s="6" t="str">
        <f>'Folha 1_13'!B22</f>
        <v>Inflação ano</v>
      </c>
      <c r="C34" s="7">
        <f>'Folha 12_13'!C22</f>
        <v>0</v>
      </c>
      <c r="D34" s="7">
        <f>'Folha 12_13'!D22</f>
        <v>0</v>
      </c>
      <c r="E34" s="7">
        <f>'Folha 12_13'!E22</f>
        <v>0</v>
      </c>
      <c r="F34" s="7">
        <f>'Folha 12_13'!F22</f>
        <v>0</v>
      </c>
      <c r="G34" s="7">
        <f>'Folha 12_13'!G22</f>
        <v>0</v>
      </c>
      <c r="H34" s="7">
        <f>'Folha 12_13'!H22</f>
        <v>0</v>
      </c>
      <c r="I34" s="7">
        <f>'Folha 12_13'!I22</f>
        <v>0</v>
      </c>
      <c r="J34" s="7">
        <f>'Folha 12_13'!J22</f>
        <v>0</v>
      </c>
      <c r="K34" s="7">
        <f>'Folha 12_13'!K22</f>
        <v>0</v>
      </c>
      <c r="L34" s="7">
        <f>'Folha 12_13'!L22</f>
        <v>0</v>
      </c>
      <c r="M34" s="7">
        <f>'Folha 12_13'!M22</f>
        <v>0</v>
      </c>
      <c r="N34" s="7">
        <f>'Folha 12_13'!N22</f>
        <v>0</v>
      </c>
      <c r="O34" s="7">
        <f>'Folha 12_13'!O22</f>
        <v>0</v>
      </c>
    </row>
    <row r="35" spans="1:15" ht="25.5" x14ac:dyDescent="0.25">
      <c r="A35" s="5" t="str">
        <f>'Folha 1_13'!A23</f>
        <v>D78</v>
      </c>
      <c r="B35" s="6" t="str">
        <f>'Folha 1_13'!B23</f>
        <v>Número de não conformidades registradas em auditoria de terceria parte (NBR ISO 9001)</v>
      </c>
      <c r="C35" s="7">
        <f>'Folha 12_13'!C23</f>
        <v>0</v>
      </c>
      <c r="D35" s="7">
        <f>'Folha 12_13'!D23</f>
        <v>0</v>
      </c>
      <c r="E35" s="7">
        <f>'Folha 12_13'!E23</f>
        <v>0</v>
      </c>
      <c r="F35" s="7">
        <f>'Folha 12_13'!F23</f>
        <v>0</v>
      </c>
      <c r="G35" s="7">
        <f>'Folha 12_13'!G23</f>
        <v>0</v>
      </c>
      <c r="H35" s="7">
        <f>'Folha 12_13'!H23</f>
        <v>0</v>
      </c>
      <c r="I35" s="7">
        <f>'Folha 12_13'!I23</f>
        <v>0</v>
      </c>
      <c r="J35" s="7">
        <f>'Folha 12_13'!J23</f>
        <v>0</v>
      </c>
      <c r="K35" s="7">
        <f>'Folha 12_13'!K23</f>
        <v>0</v>
      </c>
      <c r="L35" s="7">
        <f>'Folha 12_13'!L23</f>
        <v>0</v>
      </c>
      <c r="M35" s="7">
        <f>'Folha 12_13'!M23</f>
        <v>0</v>
      </c>
      <c r="N35" s="7">
        <f>'Folha 12_13'!N23</f>
        <v>0</v>
      </c>
      <c r="O35" s="7">
        <f>'Folha 12_13'!O23</f>
        <v>0</v>
      </c>
    </row>
    <row r="36" spans="1:15" x14ac:dyDescent="0.25">
      <c r="A36" s="32" t="s">
        <v>105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</row>
  </sheetData>
  <sheetProtection algorithmName="SHA-512" hashValue="SC45ATRfindXQy31qoe72ldMB+g0pjBvaDOZfqMZeUXOVm5Y1dKWq7vIOK8IL+63quSSrtZ5FSk+2i8OcPuOQw==" saltValue="EGn2JGM9jSZPTXmIkVW1PQ==" spinCount="100000" sheet="1" formatCells="0" formatColumns="0" formatRows="0" autoFilter="0"/>
  <mergeCells count="24">
    <mergeCell ref="K19:O19"/>
    <mergeCell ref="K20:O20"/>
    <mergeCell ref="K22:O22"/>
    <mergeCell ref="A23:O23"/>
    <mergeCell ref="A36:O36"/>
    <mergeCell ref="K21:O21"/>
    <mergeCell ref="F3:O3"/>
    <mergeCell ref="A1:O1"/>
    <mergeCell ref="A3:E3"/>
    <mergeCell ref="A5:O5"/>
    <mergeCell ref="A2:O2"/>
    <mergeCell ref="K6:O6"/>
    <mergeCell ref="K14:O14"/>
    <mergeCell ref="K16:O16"/>
    <mergeCell ref="K17:O17"/>
    <mergeCell ref="K18:O18"/>
    <mergeCell ref="K7:O7"/>
    <mergeCell ref="K8:O8"/>
    <mergeCell ref="K9:O9"/>
    <mergeCell ref="K13:O13"/>
    <mergeCell ref="A11:O11"/>
    <mergeCell ref="K12:O12"/>
    <mergeCell ref="K15:O15"/>
    <mergeCell ref="K10:O10"/>
  </mergeCells>
  <phoneticPr fontId="9" type="noConversion"/>
  <pageMargins left="0.51181102362204722" right="0.51181102362204722" top="0.78740157480314965" bottom="0.78740157480314965" header="0.31496062992125984" footer="0.31496062992125984"/>
  <pageSetup paperSize="9"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13</vt:i4>
      </vt:variant>
      <vt:variant>
        <vt:lpstr>Intervalos Nomeados</vt:lpstr>
      </vt:variant>
      <vt:variant>
        <vt:i4>11</vt:i4>
      </vt:variant>
    </vt:vector>
  </HeadingPairs>
  <TitlesOfParts>
    <vt:vector size="24" baseType="lpstr">
      <vt:lpstr>Folha 1_13</vt:lpstr>
      <vt:lpstr>Folha 2_13 </vt:lpstr>
      <vt:lpstr>Folha 3_13</vt:lpstr>
      <vt:lpstr>Folha 4_13</vt:lpstr>
      <vt:lpstr>Folha 5_13</vt:lpstr>
      <vt:lpstr>Folha 6_13</vt:lpstr>
      <vt:lpstr>Folha 7_13</vt:lpstr>
      <vt:lpstr>Folha 8_13</vt:lpstr>
      <vt:lpstr>Folha 9_13</vt:lpstr>
      <vt:lpstr>Folha 10_13</vt:lpstr>
      <vt:lpstr>Folha 11_13</vt:lpstr>
      <vt:lpstr>Folha 12_13</vt:lpstr>
      <vt:lpstr>Folha 13_13</vt:lpstr>
      <vt:lpstr>'Folha 1_13'!Area_de_impressao</vt:lpstr>
      <vt:lpstr>'Folha 11_13'!Area_de_impressao</vt:lpstr>
      <vt:lpstr>'Folha 12_13'!Area_de_impressao</vt:lpstr>
      <vt:lpstr>'Folha 13_13'!Area_de_impressao</vt:lpstr>
      <vt:lpstr>'Folha 2_13 '!Area_de_impressao</vt:lpstr>
      <vt:lpstr>'Folha 3_13'!Area_de_impressao</vt:lpstr>
      <vt:lpstr>'Folha 4_13'!Area_de_impressao</vt:lpstr>
      <vt:lpstr>'Folha 6_13'!Area_de_impressao</vt:lpstr>
      <vt:lpstr>'Folha 7_13'!Area_de_impressao</vt:lpstr>
      <vt:lpstr>'Folha 8_13'!Area_de_impressao</vt:lpstr>
      <vt:lpstr>'Folha 9_13'!Area_de_impressao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Cinthia</dc:creator>
  <cp:lastModifiedBy>SGQ</cp:lastModifiedBy>
  <cp:lastPrinted>2024-06-04T12:26:31Z</cp:lastPrinted>
  <dcterms:created xsi:type="dcterms:W3CDTF">2017-11-10T18:25:43Z</dcterms:created>
  <dcterms:modified xsi:type="dcterms:W3CDTF">2024-06-04T13:37:23Z</dcterms:modified>
</cp:coreProperties>
</file>