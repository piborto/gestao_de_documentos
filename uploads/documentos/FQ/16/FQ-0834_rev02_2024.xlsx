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4\I 05 06 24\"/>
    </mc:Choice>
  </mc:AlternateContent>
  <xr:revisionPtr revIDLastSave="0" documentId="13_ncr:1_{580435F1-149D-4BB0-A16C-D05D94CD12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al" sheetId="2" r:id="rId1"/>
    <sheet name="Unidades" sheetId="1" r:id="rId2"/>
  </sheets>
  <definedNames>
    <definedName name="_xlnm.Print_Area" localSheetId="0">Ital!$A$1:$I$40</definedName>
    <definedName name="_xlnm.Print_Area" localSheetId="1">Unidades!$A$1:$I$23</definedName>
  </definedNames>
  <calcPr calcId="191029"/>
  <fileRecoveryPr autoRecover="0"/>
</workbook>
</file>

<file path=xl/calcChain.xml><?xml version="1.0" encoding="utf-8"?>
<calcChain xmlns="http://schemas.openxmlformats.org/spreadsheetml/2006/main">
  <c r="B8" i="1" l="1"/>
  <c r="B12" i="1"/>
  <c r="D12" i="1" s="1"/>
  <c r="C19" i="2" l="1"/>
  <c r="B19" i="2"/>
  <c r="G16" i="2"/>
  <c r="H14" i="2" s="1"/>
  <c r="D17" i="2"/>
  <c r="D18" i="2"/>
  <c r="D19" i="2" l="1"/>
  <c r="H13" i="2"/>
  <c r="H12" i="2"/>
  <c r="H11" i="2"/>
  <c r="H8" i="2"/>
  <c r="H9" i="2"/>
  <c r="H10" i="2"/>
  <c r="H16" i="2"/>
  <c r="H15" i="2"/>
  <c r="D15" i="2"/>
  <c r="D16" i="2"/>
  <c r="A2" i="1" l="1"/>
  <c r="D8" i="2"/>
  <c r="B9" i="1"/>
  <c r="D9" i="1" s="1"/>
  <c r="B10" i="1"/>
  <c r="D10" i="1" s="1"/>
  <c r="B11" i="1"/>
  <c r="D11" i="1" s="1"/>
  <c r="B13" i="1"/>
  <c r="D13" i="1" s="1"/>
  <c r="D14" i="1"/>
  <c r="D15" i="1"/>
  <c r="D8" i="1"/>
  <c r="A9" i="1"/>
  <c r="A10" i="1"/>
  <c r="A11" i="1"/>
  <c r="A12" i="1"/>
  <c r="A13" i="1"/>
  <c r="A14" i="1"/>
  <c r="A8" i="1"/>
  <c r="I8" i="2"/>
  <c r="D9" i="2"/>
  <c r="D10" i="2"/>
  <c r="D11" i="2"/>
  <c r="D12" i="2"/>
  <c r="D13" i="2"/>
  <c r="D14" i="2"/>
  <c r="G32" i="2"/>
  <c r="H27" i="2" s="1"/>
  <c r="G7" i="2"/>
  <c r="H30" i="2" l="1"/>
  <c r="H26" i="2"/>
  <c r="H24" i="2"/>
  <c r="H34" i="2"/>
  <c r="I38" i="2" s="1"/>
  <c r="H25" i="2"/>
  <c r="H32" i="2"/>
  <c r="H31" i="2"/>
  <c r="I9" i="2"/>
  <c r="I10" i="2" s="1"/>
  <c r="I11" i="2" s="1"/>
  <c r="I12" i="2" s="1"/>
  <c r="I13" i="2" s="1"/>
  <c r="I14" i="2" s="1"/>
  <c r="I15" i="2" s="1"/>
  <c r="H29" i="2"/>
  <c r="H22" i="2"/>
  <c r="I22" i="2" s="1"/>
  <c r="H28" i="2"/>
  <c r="H23" i="2"/>
  <c r="I23" i="2" l="1"/>
  <c r="I24" i="2" s="1"/>
  <c r="I25" i="2" s="1"/>
  <c r="I26" i="2" s="1"/>
  <c r="I27" i="2" s="1"/>
  <c r="I28" i="2" s="1"/>
  <c r="I29" i="2" s="1"/>
  <c r="I30" i="2" s="1"/>
  <c r="I31" i="2" s="1"/>
</calcChain>
</file>

<file path=xl/sharedStrings.xml><?xml version="1.0" encoding="utf-8"?>
<sst xmlns="http://schemas.openxmlformats.org/spreadsheetml/2006/main" count="52" uniqueCount="43">
  <si>
    <t>Unidade</t>
  </si>
  <si>
    <t>%</t>
  </si>
  <si>
    <t>% S/Total</t>
  </si>
  <si>
    <t>% Acum.</t>
  </si>
  <si>
    <t>Despesas</t>
  </si>
  <si>
    <t>Valores</t>
  </si>
  <si>
    <t>% do total</t>
  </si>
  <si>
    <t>Pessoal</t>
  </si>
  <si>
    <t>Material Consumo</t>
  </si>
  <si>
    <t>Serviços de terceiros</t>
  </si>
  <si>
    <t>Despesas de Viagens</t>
  </si>
  <si>
    <t>Veículos</t>
  </si>
  <si>
    <t>Tx. Administração</t>
  </si>
  <si>
    <t>Impostos e Taxas</t>
  </si>
  <si>
    <t>Obras e Equipamentos</t>
  </si>
  <si>
    <t>Diversos</t>
  </si>
  <si>
    <t>Total</t>
  </si>
  <si>
    <t>c) Despesas no período.</t>
  </si>
  <si>
    <t>Fonte: ERP-FUNDEPAG.</t>
  </si>
  <si>
    <t>a) Resultados ordenados pela % crescimento no período:</t>
  </si>
  <si>
    <t>b) Resultados ordenados pela % participação no período (sem DG):</t>
  </si>
  <si>
    <t>Pronto pagamento</t>
  </si>
  <si>
    <t>ÍNDICE DE RENTABILIDADE BRUTA:</t>
  </si>
  <si>
    <t>(IDEAL &gt; 1)</t>
  </si>
  <si>
    <t>tabela c)</t>
  </si>
  <si>
    <t>Quociente entre a soma dos resultados - tabela a) - e a soma das despesas,</t>
  </si>
  <si>
    <t>IGP-M (FGV)</t>
  </si>
  <si>
    <t>IPC (FIPE)</t>
  </si>
  <si>
    <t>% CRESCIMENTO CORRIGIDA</t>
  </si>
  <si>
    <t>ANO ATUAL</t>
  </si>
  <si>
    <t>ANO ANTERIOR</t>
  </si>
  <si>
    <t>1. RESULTADOS GERAIS - ITAL</t>
  </si>
  <si>
    <t>2. RESULTADOS INDIVIDUAIS - UNIDADES</t>
  </si>
  <si>
    <t>Valores (a)</t>
  </si>
  <si>
    <t>TOTAL</t>
  </si>
  <si>
    <t>RESULTADOS FINANCEIROS - Índice de sustentabilidade financeira (arrecadação/despesa FA)</t>
  </si>
  <si>
    <t>Índice de sustentabilidade financeira (arrecadação/despesa FA) - I13</t>
  </si>
  <si>
    <t>d) Índice de rentabilidade bruta / Índice de sustentabilidade financeira (I13)</t>
  </si>
  <si>
    <t>-</t>
  </si>
  <si>
    <t>ANO:               1ºSEMESTRE (   )           ANO COMPLETO (  )</t>
  </si>
  <si>
    <t xml:space="preserve">Observações:
</t>
  </si>
  <si>
    <t>FQ-08.34 (anexo à IT-08.01.04) - RA - revisão 02 de 05/06/24 - Página 1/2</t>
  </si>
  <si>
    <t>FQ-08.34 (anexo à IT-08.01.04) - RA - revisão 02 de 05/06/24 - Página 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</si>
</sst>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color rgb="FF00B0F0"/>
      <name val="Arial"/>
      <family val="2"/>
    </font>
    <font>
      <b/>
      <sz val="10"/>
      <color rgb="FFFF0000"/>
      <name val="Arial"/>
      <family val="2"/>
    </font>
    <font>
      <b/>
      <i/>
      <sz val="10"/>
      <color rgb="FFFF0000"/>
      <name val="Arial"/>
      <family val="2"/>
    </font>
    <font>
      <b/>
      <sz val="12"/>
      <name val="Arial"/>
      <family val="2"/>
    </font>
    <font>
      <b/>
      <sz val="12"/>
      <color rgb="FF00B0F0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sz val="11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4" fillId="0" borderId="2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3" fontId="4" fillId="0" borderId="1" xfId="0" applyNumberFormat="1" applyFont="1" applyBorder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3" fontId="4" fillId="0" borderId="15" xfId="0" applyNumberFormat="1" applyFont="1" applyBorder="1" applyProtection="1">
      <protection locked="0"/>
    </xf>
    <xf numFmtId="3" fontId="1" fillId="0" borderId="21" xfId="0" applyNumberFormat="1" applyFont="1" applyBorder="1"/>
    <xf numFmtId="3" fontId="4" fillId="0" borderId="2" xfId="0" applyNumberFormat="1" applyFont="1" applyBorder="1" applyProtection="1">
      <protection locked="0"/>
    </xf>
    <xf numFmtId="0" fontId="3" fillId="0" borderId="0" xfId="0" applyFont="1"/>
    <xf numFmtId="0" fontId="11" fillId="3" borderId="0" xfId="0" applyFont="1" applyFill="1" applyAlignment="1">
      <alignment horizontal="left"/>
    </xf>
    <xf numFmtId="0" fontId="6" fillId="0" borderId="0" xfId="0" applyFont="1"/>
    <xf numFmtId="0" fontId="10" fillId="0" borderId="0" xfId="0" applyFont="1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4" fontId="4" fillId="0" borderId="0" xfId="0" applyNumberFormat="1" applyFont="1"/>
    <xf numFmtId="4" fontId="4" fillId="0" borderId="0" xfId="0" applyNumberFormat="1" applyFont="1" applyAlignment="1">
      <alignment horizontal="right"/>
    </xf>
    <xf numFmtId="4" fontId="1" fillId="0" borderId="0" xfId="0" applyNumberFormat="1" applyFont="1"/>
    <xf numFmtId="4" fontId="10" fillId="0" borderId="0" xfId="0" applyNumberFormat="1" applyFont="1"/>
    <xf numFmtId="0" fontId="12" fillId="0" borderId="0" xfId="0" applyFont="1"/>
    <xf numFmtId="0" fontId="1" fillId="0" borderId="0" xfId="0" applyFont="1"/>
    <xf numFmtId="0" fontId="1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39" fontId="4" fillId="0" borderId="8" xfId="0" applyNumberFormat="1" applyFont="1" applyBorder="1" applyAlignment="1">
      <alignment horizontal="center"/>
    </xf>
    <xf numFmtId="0" fontId="1" fillId="0" borderId="16" xfId="0" applyFont="1" applyBorder="1"/>
    <xf numFmtId="39" fontId="4" fillId="0" borderId="19" xfId="0" applyNumberFormat="1" applyFont="1" applyBorder="1" applyAlignment="1">
      <alignment horizontal="center"/>
    </xf>
    <xf numFmtId="4" fontId="1" fillId="2" borderId="3" xfId="0" applyNumberFormat="1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4" fillId="0" borderId="2" xfId="0" applyFont="1" applyBorder="1"/>
    <xf numFmtId="4" fontId="4" fillId="0" borderId="2" xfId="0" applyNumberFormat="1" applyFont="1" applyBorder="1" applyAlignment="1">
      <alignment horizontal="center"/>
    </xf>
    <xf numFmtId="0" fontId="4" fillId="0" borderId="1" xfId="0" applyFont="1" applyBorder="1"/>
    <xf numFmtId="4" fontId="4" fillId="0" borderId="1" xfId="0" applyNumberFormat="1" applyFont="1" applyBorder="1" applyAlignment="1">
      <alignment horizontal="center"/>
    </xf>
    <xf numFmtId="0" fontId="4" fillId="0" borderId="15" xfId="0" applyFont="1" applyBorder="1"/>
    <xf numFmtId="4" fontId="4" fillId="0" borderId="15" xfId="0" applyNumberFormat="1" applyFont="1" applyBorder="1" applyAlignment="1">
      <alignment horizontal="center"/>
    </xf>
    <xf numFmtId="0" fontId="1" fillId="0" borderId="20" xfId="0" applyFont="1" applyBorder="1"/>
    <xf numFmtId="4" fontId="4" fillId="0" borderId="21" xfId="0" applyNumberFormat="1" applyFont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4" fontId="1" fillId="0" borderId="1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4" fontId="4" fillId="6" borderId="2" xfId="0" applyNumberFormat="1" applyFont="1" applyFill="1" applyBorder="1" applyAlignment="1">
      <alignment horizontal="center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2" xfId="0" applyNumberFormat="1" applyFont="1" applyBorder="1" applyAlignment="1" applyProtection="1">
      <alignment horizontal="center"/>
      <protection locked="0"/>
    </xf>
    <xf numFmtId="4" fontId="4" fillId="0" borderId="6" xfId="0" applyNumberFormat="1" applyFont="1" applyBorder="1" applyAlignment="1" applyProtection="1">
      <alignment horizontal="center"/>
      <protection locked="0"/>
    </xf>
    <xf numFmtId="4" fontId="1" fillId="0" borderId="18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4" fontId="4" fillId="0" borderId="0" xfId="0" applyNumberFormat="1" applyFont="1" applyProtection="1">
      <protection locked="0"/>
    </xf>
    <xf numFmtId="4" fontId="4" fillId="0" borderId="0" xfId="0" applyNumberFormat="1" applyFont="1" applyAlignment="1">
      <alignment horizontal="center"/>
    </xf>
    <xf numFmtId="4" fontId="7" fillId="0" borderId="3" xfId="0" applyNumberFormat="1" applyFont="1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1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4" fillId="0" borderId="15" xfId="0" applyFont="1" applyBorder="1" applyAlignment="1" applyProtection="1">
      <alignment horizontal="center"/>
      <protection locked="0"/>
    </xf>
    <xf numFmtId="4" fontId="4" fillId="0" borderId="1" xfId="0" applyNumberFormat="1" applyFont="1" applyBorder="1" applyAlignment="1" applyProtection="1">
      <alignment horizontal="center"/>
      <protection locked="0"/>
    </xf>
    <xf numFmtId="4" fontId="4" fillId="0" borderId="15" xfId="0" applyNumberFormat="1" applyFont="1" applyBorder="1" applyAlignment="1" applyProtection="1">
      <alignment horizontal="center"/>
      <protection locked="0"/>
    </xf>
    <xf numFmtId="4" fontId="1" fillId="0" borderId="17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4" fontId="4" fillId="0" borderId="5" xfId="0" applyNumberFormat="1" applyFont="1" applyBorder="1" applyProtection="1">
      <protection locked="0"/>
    </xf>
    <xf numFmtId="4" fontId="4" fillId="0" borderId="2" xfId="0" applyNumberFormat="1" applyFont="1" applyBorder="1" applyProtection="1">
      <protection locked="0"/>
    </xf>
    <xf numFmtId="4" fontId="4" fillId="0" borderId="6" xfId="0" applyNumberFormat="1" applyFont="1" applyBorder="1" applyProtection="1">
      <protection locked="0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9" fillId="0" borderId="0" xfId="0" applyFont="1" applyAlignment="1" applyProtection="1">
      <alignment horizontal="center"/>
      <protection locked="0"/>
    </xf>
    <xf numFmtId="0" fontId="1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4" fillId="0" borderId="0" xfId="0" applyFont="1" applyAlignment="1">
      <alignment horizontal="left"/>
    </xf>
    <xf numFmtId="0" fontId="8" fillId="7" borderId="0" xfId="0" applyFont="1" applyFill="1" applyAlignment="1">
      <alignment horizontal="left"/>
    </xf>
    <xf numFmtId="0" fontId="1" fillId="4" borderId="22" xfId="0" applyFont="1" applyFill="1" applyBorder="1" applyAlignment="1">
      <alignment horizontal="left"/>
    </xf>
    <xf numFmtId="0" fontId="1" fillId="5" borderId="23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left"/>
    </xf>
    <xf numFmtId="0" fontId="1" fillId="7" borderId="12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25" xfId="0" applyFont="1" applyBorder="1" applyAlignment="1" applyProtection="1">
      <alignment horizontal="left" vertical="top" wrapText="1"/>
      <protection locked="0"/>
    </xf>
    <xf numFmtId="0" fontId="1" fillId="0" borderId="26" xfId="0" applyFont="1" applyBorder="1" applyAlignment="1" applyProtection="1">
      <alignment horizontal="left" vertical="top"/>
      <protection locked="0"/>
    </xf>
    <xf numFmtId="0" fontId="1" fillId="0" borderId="27" xfId="0" applyFont="1" applyBorder="1" applyAlignment="1" applyProtection="1">
      <alignment horizontal="left" vertical="top"/>
      <protection locked="0"/>
    </xf>
    <xf numFmtId="0" fontId="1" fillId="0" borderId="28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29" xfId="0" applyFont="1" applyBorder="1" applyAlignment="1" applyProtection="1">
      <alignment horizontal="left" vertical="top"/>
      <protection locked="0"/>
    </xf>
    <xf numFmtId="0" fontId="1" fillId="0" borderId="30" xfId="0" applyFont="1" applyBorder="1" applyAlignment="1" applyProtection="1">
      <alignment horizontal="left" vertical="top"/>
      <protection locked="0"/>
    </xf>
    <xf numFmtId="0" fontId="1" fillId="0" borderId="22" xfId="0" applyFont="1" applyBorder="1" applyAlignment="1" applyProtection="1">
      <alignment horizontal="left" vertical="top"/>
      <protection locked="0"/>
    </xf>
    <xf numFmtId="0" fontId="1" fillId="0" borderId="31" xfId="0" applyFont="1" applyBorder="1" applyAlignment="1" applyProtection="1">
      <alignment horizontal="left" vertical="top"/>
      <protection locked="0"/>
    </xf>
    <xf numFmtId="4" fontId="4" fillId="6" borderId="2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34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8.7537778707894226E-2"/>
          <c:y val="0.12427374876711997"/>
          <c:w val="0.88358606686669927"/>
          <c:h val="0.6625407078641306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Ital!$B$7</c:f>
              <c:strCache>
                <c:ptCount val="1"/>
                <c:pt idx="0">
                  <c:v>ANO ANTERIOR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Ital!$A$8:$A$18</c:f>
              <c:numCache>
                <c:formatCode>General</c:formatCode>
                <c:ptCount val="11"/>
              </c:numCache>
            </c:numRef>
          </c:cat>
          <c:val>
            <c:numRef>
              <c:f>Ital!$B$8:$B$18</c:f>
              <c:numCache>
                <c:formatCode>#,##0.00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9DDF-429F-A38D-00A917AB6750}"/>
            </c:ext>
          </c:extLst>
        </c:ser>
        <c:ser>
          <c:idx val="1"/>
          <c:order val="1"/>
          <c:tx>
            <c:strRef>
              <c:f>Ital!$C$7</c:f>
              <c:strCache>
                <c:ptCount val="1"/>
                <c:pt idx="0">
                  <c:v>ANO ATUAL</c:v>
                </c:pt>
              </c:strCache>
            </c:strRef>
          </c:tx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Ital!$A$8:$A$18</c:f>
              <c:numCache>
                <c:formatCode>General</c:formatCode>
                <c:ptCount val="11"/>
              </c:numCache>
            </c:numRef>
          </c:cat>
          <c:val>
            <c:numRef>
              <c:f>Ital!$C$8:$C$18</c:f>
              <c:numCache>
                <c:formatCode>#,##0.00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9DDF-429F-A38D-00A917AB6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435256"/>
        <c:axId val="385653208"/>
        <c:axId val="0"/>
      </c:bar3DChart>
      <c:catAx>
        <c:axId val="162435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540000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856532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856532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62435256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0.17578589736083591"/>
                <c:y val="4.9342184515998533E-2"/>
              </c:manualLayout>
            </c:layout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1.003930960242873E-2"/>
          <c:y val="0.83094054037337095"/>
          <c:w val="0.28399941942741036"/>
          <c:h val="0.14492996599319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75000000000001132" l="0.25" r="0.25" t="0.75000000000001132" header="0.30000000000000032" footer="0.3000000000000003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47625</xdr:rowOff>
    </xdr:from>
    <xdr:to>
      <xdr:col>3</xdr:col>
      <xdr:colOff>609600</xdr:colOff>
      <xdr:row>35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528286-5834-422D-A5A5-2ACB176F2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view="pageBreakPreview" zoomScaleNormal="100" zoomScaleSheetLayoutView="100" workbookViewId="0">
      <selection activeCell="D21" sqref="D21"/>
    </sheetView>
  </sheetViews>
  <sheetFormatPr defaultRowHeight="12.75"/>
  <cols>
    <col min="1" max="1" width="23.42578125" customWidth="1"/>
    <col min="2" max="2" width="15" customWidth="1"/>
    <col min="3" max="3" width="14.42578125" customWidth="1"/>
    <col min="4" max="4" width="9.5703125" customWidth="1"/>
    <col min="5" max="5" width="2" customWidth="1"/>
    <col min="6" max="6" width="22.42578125" customWidth="1"/>
    <col min="7" max="7" width="15.42578125" customWidth="1"/>
    <col min="8" max="8" width="13.140625" customWidth="1"/>
    <col min="9" max="9" width="13.140625" bestFit="1" customWidth="1"/>
    <col min="10" max="10" width="10" customWidth="1"/>
    <col min="11" max="11" width="8.5703125" customWidth="1"/>
    <col min="12" max="12" width="13.140625" customWidth="1"/>
  </cols>
  <sheetData>
    <row r="1" spans="1:9" ht="38.450000000000003" customHeight="1" thickBot="1">
      <c r="A1" s="72" t="s">
        <v>35</v>
      </c>
      <c r="B1" s="73"/>
      <c r="C1" s="73"/>
      <c r="D1" s="73"/>
      <c r="E1" s="73"/>
      <c r="F1" s="73"/>
      <c r="G1" s="73"/>
      <c r="H1" s="73"/>
      <c r="I1" s="74"/>
    </row>
    <row r="2" spans="1:9" ht="15" customHeight="1">
      <c r="A2" s="75" t="s">
        <v>39</v>
      </c>
      <c r="B2" s="75"/>
      <c r="C2" s="75"/>
      <c r="D2" s="75"/>
      <c r="E2" s="75"/>
      <c r="F2" s="75"/>
      <c r="G2" s="75"/>
      <c r="H2" s="75"/>
      <c r="I2" s="75"/>
    </row>
    <row r="3" spans="1:9" ht="15" customHeight="1">
      <c r="A3" s="5"/>
      <c r="B3" s="5"/>
      <c r="C3" s="5"/>
      <c r="D3" s="5"/>
      <c r="E3" s="5"/>
      <c r="F3" s="5"/>
      <c r="G3" s="5"/>
      <c r="H3" s="5"/>
      <c r="I3" s="5"/>
    </row>
    <row r="4" spans="1:9" ht="15" customHeight="1">
      <c r="A4" s="79" t="s">
        <v>31</v>
      </c>
      <c r="B4" s="79"/>
      <c r="C4" s="79"/>
      <c r="D4" s="79"/>
      <c r="E4" s="79"/>
      <c r="F4" s="79"/>
      <c r="G4" s="79"/>
      <c r="H4" s="79"/>
      <c r="I4" s="79"/>
    </row>
    <row r="5" spans="1:9" ht="8.25" customHeight="1">
      <c r="A5" s="9"/>
      <c r="B5" s="9"/>
      <c r="C5" s="9"/>
      <c r="D5" s="9"/>
      <c r="E5" s="9"/>
      <c r="F5" s="9"/>
      <c r="G5" s="9"/>
      <c r="H5" s="9"/>
      <c r="I5" s="9"/>
    </row>
    <row r="6" spans="1:9" ht="13.5" thickBot="1">
      <c r="A6" s="82" t="s">
        <v>19</v>
      </c>
      <c r="B6" s="82"/>
      <c r="C6" s="82"/>
      <c r="D6" s="82"/>
      <c r="E6" s="13"/>
      <c r="F6" s="81" t="s">
        <v>20</v>
      </c>
      <c r="G6" s="81"/>
      <c r="H6" s="81"/>
      <c r="I6" s="81"/>
    </row>
    <row r="7" spans="1:9" ht="14.25" thickTop="1" thickBot="1">
      <c r="A7" s="24" t="s">
        <v>0</v>
      </c>
      <c r="B7" s="25" t="s">
        <v>30</v>
      </c>
      <c r="C7" s="26" t="s">
        <v>29</v>
      </c>
      <c r="D7" s="27" t="s">
        <v>1</v>
      </c>
      <c r="E7" s="13"/>
      <c r="F7" s="61" t="s">
        <v>0</v>
      </c>
      <c r="G7" s="62" t="str">
        <f>C7</f>
        <v>ANO ATUAL</v>
      </c>
      <c r="H7" s="63" t="s">
        <v>2</v>
      </c>
      <c r="I7" s="61" t="s">
        <v>3</v>
      </c>
    </row>
    <row r="8" spans="1:9" ht="13.5" thickTop="1">
      <c r="A8" s="2"/>
      <c r="B8" s="69"/>
      <c r="C8" s="50"/>
      <c r="D8" s="28" t="str">
        <f>IFERROR((C8-B8)/ABS(B8)*100,"-")</f>
        <v>-</v>
      </c>
      <c r="E8" s="13"/>
      <c r="F8" s="60"/>
      <c r="G8" s="65"/>
      <c r="H8" s="38" t="str">
        <f>IFERROR(G8/G$16*100,"-")</f>
        <v>-</v>
      </c>
      <c r="I8" s="38" t="str">
        <f>H8</f>
        <v>-</v>
      </c>
    </row>
    <row r="9" spans="1:9">
      <c r="A9" s="2"/>
      <c r="B9" s="70"/>
      <c r="C9" s="51"/>
      <c r="D9" s="28" t="str">
        <f t="shared" ref="D9:D14" si="0">IFERROR((C9-B9)/ABS(B9)*100,"-")</f>
        <v>-</v>
      </c>
      <c r="E9" s="13"/>
      <c r="F9" s="60"/>
      <c r="G9" s="65"/>
      <c r="H9" s="38" t="str">
        <f t="shared" ref="H9:H16" si="1">IFERROR(G9/G$16*100,"-")</f>
        <v>-</v>
      </c>
      <c r="I9" s="38" t="str">
        <f t="shared" ref="I9:I15" si="2">IFERROR(H9+I8,"-")</f>
        <v>-</v>
      </c>
    </row>
    <row r="10" spans="1:9">
      <c r="A10" s="3"/>
      <c r="B10" s="71"/>
      <c r="C10" s="52"/>
      <c r="D10" s="28" t="str">
        <f t="shared" si="0"/>
        <v>-</v>
      </c>
      <c r="E10" s="13"/>
      <c r="F10" s="60"/>
      <c r="G10" s="65"/>
      <c r="H10" s="38" t="str">
        <f t="shared" si="1"/>
        <v>-</v>
      </c>
      <c r="I10" s="38" t="str">
        <f t="shared" si="2"/>
        <v>-</v>
      </c>
    </row>
    <row r="11" spans="1:9">
      <c r="A11" s="3"/>
      <c r="B11" s="71"/>
      <c r="C11" s="52"/>
      <c r="D11" s="28" t="str">
        <f t="shared" si="0"/>
        <v>-</v>
      </c>
      <c r="E11" s="23"/>
      <c r="F11" s="60"/>
      <c r="G11" s="65"/>
      <c r="H11" s="38" t="str">
        <f t="shared" si="1"/>
        <v>-</v>
      </c>
      <c r="I11" s="38" t="str">
        <f t="shared" si="2"/>
        <v>-</v>
      </c>
    </row>
    <row r="12" spans="1:9">
      <c r="A12" s="3"/>
      <c r="B12" s="71"/>
      <c r="C12" s="52"/>
      <c r="D12" s="28" t="str">
        <f t="shared" si="0"/>
        <v>-</v>
      </c>
      <c r="E12" s="13"/>
      <c r="F12" s="60"/>
      <c r="G12" s="65"/>
      <c r="H12" s="38" t="str">
        <f t="shared" si="1"/>
        <v>-</v>
      </c>
      <c r="I12" s="38" t="str">
        <f t="shared" si="2"/>
        <v>-</v>
      </c>
    </row>
    <row r="13" spans="1:9">
      <c r="A13" s="3"/>
      <c r="B13" s="71"/>
      <c r="C13" s="52"/>
      <c r="D13" s="28" t="str">
        <f t="shared" si="0"/>
        <v>-</v>
      </c>
      <c r="E13" s="13"/>
      <c r="F13" s="60"/>
      <c r="G13" s="65"/>
      <c r="H13" s="38" t="str">
        <f t="shared" si="1"/>
        <v>-</v>
      </c>
      <c r="I13" s="38" t="str">
        <f t="shared" si="2"/>
        <v>-</v>
      </c>
    </row>
    <row r="14" spans="1:9">
      <c r="A14" s="3"/>
      <c r="B14" s="65"/>
      <c r="C14" s="52"/>
      <c r="D14" s="28" t="str">
        <f t="shared" si="0"/>
        <v>-</v>
      </c>
      <c r="E14" s="13"/>
      <c r="F14" s="60"/>
      <c r="G14" s="65"/>
      <c r="H14" s="38" t="str">
        <f t="shared" si="1"/>
        <v>-</v>
      </c>
      <c r="I14" s="38" t="str">
        <f t="shared" si="2"/>
        <v>-</v>
      </c>
    </row>
    <row r="15" spans="1:9" ht="13.5" thickBot="1">
      <c r="A15" s="3"/>
      <c r="B15" s="56"/>
      <c r="C15" s="52"/>
      <c r="D15" s="28" t="str">
        <f t="shared" ref="D15:D18" si="3">IFERROR((C15-B15)/ABS(B15)*100,"-")</f>
        <v>-</v>
      </c>
      <c r="E15" s="13"/>
      <c r="F15" s="64" t="s">
        <v>38</v>
      </c>
      <c r="G15" s="66" t="s">
        <v>38</v>
      </c>
      <c r="H15" s="40" t="str">
        <f t="shared" si="1"/>
        <v>-</v>
      </c>
      <c r="I15" s="40" t="str">
        <f t="shared" si="2"/>
        <v>-</v>
      </c>
    </row>
    <row r="16" spans="1:9" ht="13.5" thickBot="1">
      <c r="A16" s="3"/>
      <c r="B16" s="65"/>
      <c r="C16" s="52"/>
      <c r="D16" s="28" t="str">
        <f t="shared" si="3"/>
        <v>-</v>
      </c>
      <c r="E16" s="13"/>
      <c r="F16" s="29" t="s">
        <v>34</v>
      </c>
      <c r="G16" s="67">
        <f>SUM(G8:G15)</f>
        <v>0</v>
      </c>
      <c r="H16" s="42" t="str">
        <f t="shared" si="1"/>
        <v>-</v>
      </c>
      <c r="I16" s="30"/>
    </row>
    <row r="17" spans="1:12">
      <c r="A17" s="3"/>
      <c r="B17" s="65"/>
      <c r="C17" s="52"/>
      <c r="D17" s="28" t="str">
        <f t="shared" si="3"/>
        <v>-</v>
      </c>
      <c r="E17" s="13"/>
      <c r="F17" s="55"/>
      <c r="G17" s="56"/>
      <c r="H17" s="57"/>
      <c r="I17" s="57"/>
    </row>
    <row r="18" spans="1:12" ht="13.5" thickBot="1">
      <c r="A18" s="3"/>
      <c r="B18" s="65"/>
      <c r="C18" s="52"/>
      <c r="D18" s="28" t="str">
        <f t="shared" si="3"/>
        <v>-</v>
      </c>
      <c r="E18" s="13"/>
      <c r="F18" s="55"/>
      <c r="G18" s="56"/>
      <c r="H18" s="57"/>
      <c r="I18" s="57"/>
    </row>
    <row r="19" spans="1:12" ht="13.5" thickBot="1">
      <c r="A19" s="29" t="s">
        <v>34</v>
      </c>
      <c r="B19" s="67">
        <f>SUM(B8:B18)</f>
        <v>0</v>
      </c>
      <c r="C19" s="53">
        <f>SUM(C8:C18)</f>
        <v>0</v>
      </c>
      <c r="D19" s="30" t="str">
        <f>IFERROR((C19-B19)/ABS(B19)*100,"-")</f>
        <v>-</v>
      </c>
      <c r="E19" s="18"/>
      <c r="F19" s="13"/>
      <c r="G19" s="13"/>
      <c r="H19" s="13"/>
      <c r="I19" s="13"/>
    </row>
    <row r="20" spans="1:12" ht="13.5" thickBot="1">
      <c r="A20" s="13"/>
      <c r="B20" s="13"/>
      <c r="C20" s="13"/>
      <c r="D20" s="18"/>
      <c r="E20" s="18"/>
      <c r="F20" s="80" t="s">
        <v>17</v>
      </c>
      <c r="G20" s="80"/>
      <c r="H20" s="80"/>
      <c r="I20" s="80"/>
    </row>
    <row r="21" spans="1:12" ht="14.25" thickTop="1" thickBot="1">
      <c r="A21" s="76" t="s">
        <v>28</v>
      </c>
      <c r="B21" s="31" t="s">
        <v>26</v>
      </c>
      <c r="C21" s="31" t="s">
        <v>27</v>
      </c>
      <c r="D21" s="18"/>
      <c r="E21" s="18"/>
      <c r="F21" s="32" t="s">
        <v>4</v>
      </c>
      <c r="G21" s="33" t="s">
        <v>5</v>
      </c>
      <c r="H21" s="33" t="s">
        <v>6</v>
      </c>
      <c r="I21" s="34" t="s">
        <v>3</v>
      </c>
    </row>
    <row r="22" spans="1:12" ht="14.25" thickTop="1" thickBot="1">
      <c r="A22" s="77"/>
      <c r="B22" s="58"/>
      <c r="C22" s="58"/>
      <c r="D22" s="18"/>
      <c r="E22" s="13"/>
      <c r="F22" s="35" t="s">
        <v>7</v>
      </c>
      <c r="G22" s="8"/>
      <c r="H22" s="36" t="str">
        <f>IFERROR(G22/G$32*100,"-")</f>
        <v>-</v>
      </c>
      <c r="I22" s="36" t="str">
        <f>H22</f>
        <v>-</v>
      </c>
    </row>
    <row r="23" spans="1:12" ht="15" thickTop="1">
      <c r="A23" s="9"/>
      <c r="B23" s="59"/>
      <c r="C23" s="59"/>
      <c r="D23" s="9"/>
      <c r="E23" s="9"/>
      <c r="F23" s="37" t="s">
        <v>9</v>
      </c>
      <c r="G23" s="4"/>
      <c r="H23" s="38" t="str">
        <f>IFERROR(G23/G$32*100,"-")</f>
        <v>-</v>
      </c>
      <c r="I23" s="38" t="str">
        <f t="shared" ref="I23:I31" si="4">IFERROR(I22+H23,"-")</f>
        <v>-</v>
      </c>
    </row>
    <row r="24" spans="1:12" ht="14.25">
      <c r="A24" s="9"/>
      <c r="B24" s="9"/>
      <c r="C24" s="9"/>
      <c r="D24" s="9"/>
      <c r="E24" s="9"/>
      <c r="F24" s="37" t="s">
        <v>12</v>
      </c>
      <c r="G24" s="4"/>
      <c r="H24" s="38" t="str">
        <f>IFERROR(G24/G$32*100,"-")</f>
        <v>-</v>
      </c>
      <c r="I24" s="38" t="str">
        <f t="shared" si="4"/>
        <v>-</v>
      </c>
      <c r="L24" s="1"/>
    </row>
    <row r="25" spans="1:12" ht="14.25">
      <c r="A25" s="9"/>
      <c r="B25" s="9"/>
      <c r="C25" s="9"/>
      <c r="D25" s="9"/>
      <c r="E25" s="9"/>
      <c r="F25" s="37" t="s">
        <v>8</v>
      </c>
      <c r="G25" s="4"/>
      <c r="H25" s="38" t="str">
        <f>IFERROR(G25/G$32*100,"-")</f>
        <v>-</v>
      </c>
      <c r="I25" s="38" t="str">
        <f t="shared" si="4"/>
        <v>-</v>
      </c>
    </row>
    <row r="26" spans="1:12" ht="14.25">
      <c r="A26" s="9"/>
      <c r="B26" s="9"/>
      <c r="C26" s="9"/>
      <c r="D26" s="9"/>
      <c r="E26" s="9"/>
      <c r="F26" s="37" t="s">
        <v>13</v>
      </c>
      <c r="G26" s="4"/>
      <c r="H26" s="38" t="str">
        <f t="shared" ref="H26:H32" si="5">IFERROR(G26/G$32*100,"-")</f>
        <v>-</v>
      </c>
      <c r="I26" s="38" t="str">
        <f t="shared" si="4"/>
        <v>-</v>
      </c>
    </row>
    <row r="27" spans="1:12" ht="14.25">
      <c r="A27" s="9"/>
      <c r="B27" s="9"/>
      <c r="C27" s="9"/>
      <c r="D27" s="9"/>
      <c r="E27" s="9"/>
      <c r="F27" s="37" t="s">
        <v>21</v>
      </c>
      <c r="G27" s="4"/>
      <c r="H27" s="38" t="str">
        <f t="shared" si="5"/>
        <v>-</v>
      </c>
      <c r="I27" s="38" t="str">
        <f t="shared" si="4"/>
        <v>-</v>
      </c>
    </row>
    <row r="28" spans="1:12" ht="14.25">
      <c r="A28" s="9"/>
      <c r="B28" s="9"/>
      <c r="C28" s="9"/>
      <c r="D28" s="9"/>
      <c r="E28" s="9"/>
      <c r="F28" s="37" t="s">
        <v>15</v>
      </c>
      <c r="G28" s="4"/>
      <c r="H28" s="38" t="str">
        <f t="shared" si="5"/>
        <v>-</v>
      </c>
      <c r="I28" s="38" t="str">
        <f t="shared" si="4"/>
        <v>-</v>
      </c>
    </row>
    <row r="29" spans="1:12" ht="14.25">
      <c r="A29" s="9"/>
      <c r="B29" s="9"/>
      <c r="C29" s="9"/>
      <c r="D29" s="9"/>
      <c r="E29" s="9"/>
      <c r="F29" s="37" t="s">
        <v>14</v>
      </c>
      <c r="G29" s="4"/>
      <c r="H29" s="38" t="str">
        <f t="shared" si="5"/>
        <v>-</v>
      </c>
      <c r="I29" s="38" t="str">
        <f t="shared" si="4"/>
        <v>-</v>
      </c>
    </row>
    <row r="30" spans="1:12" ht="14.25">
      <c r="A30" s="9"/>
      <c r="B30" s="9"/>
      <c r="C30" s="9"/>
      <c r="D30" s="9"/>
      <c r="E30" s="9"/>
      <c r="F30" s="37" t="s">
        <v>10</v>
      </c>
      <c r="G30" s="4"/>
      <c r="H30" s="38" t="str">
        <f t="shared" si="5"/>
        <v>-</v>
      </c>
      <c r="I30" s="38" t="str">
        <f t="shared" si="4"/>
        <v>-</v>
      </c>
    </row>
    <row r="31" spans="1:12" ht="15" thickBot="1">
      <c r="A31" s="9"/>
      <c r="B31" s="9"/>
      <c r="C31" s="9"/>
      <c r="D31" s="9"/>
      <c r="E31" s="9"/>
      <c r="F31" s="39" t="s">
        <v>11</v>
      </c>
      <c r="G31" s="6"/>
      <c r="H31" s="40" t="str">
        <f t="shared" si="5"/>
        <v>-</v>
      </c>
      <c r="I31" s="40" t="str">
        <f t="shared" si="4"/>
        <v>-</v>
      </c>
    </row>
    <row r="32" spans="1:12" ht="15" thickBot="1">
      <c r="A32" s="9"/>
      <c r="B32" s="9"/>
      <c r="C32" s="9"/>
      <c r="D32" s="9"/>
      <c r="E32" s="9"/>
      <c r="F32" s="41" t="s">
        <v>16</v>
      </c>
      <c r="G32" s="7">
        <f>SUM(G22:G31)</f>
        <v>0</v>
      </c>
      <c r="H32" s="42" t="str">
        <f t="shared" si="5"/>
        <v>-</v>
      </c>
      <c r="I32" s="43"/>
    </row>
    <row r="33" spans="1:9" ht="15" thickBot="1">
      <c r="A33" s="9"/>
      <c r="B33" s="9"/>
      <c r="C33" s="9"/>
      <c r="D33" s="9"/>
      <c r="E33" s="9"/>
      <c r="F33" s="13"/>
      <c r="G33" s="13"/>
      <c r="H33" s="13"/>
      <c r="I33" s="13"/>
    </row>
    <row r="34" spans="1:9" ht="15" thickBot="1">
      <c r="A34" s="9"/>
      <c r="B34" s="9"/>
      <c r="C34" s="9"/>
      <c r="D34" s="9"/>
      <c r="E34" s="9"/>
      <c r="F34" s="23" t="s">
        <v>22</v>
      </c>
      <c r="G34" s="23"/>
      <c r="H34" s="44" t="str">
        <f>IFERROR(C19/G32,"-")</f>
        <v>-</v>
      </c>
      <c r="I34" s="13" t="s">
        <v>23</v>
      </c>
    </row>
    <row r="35" spans="1:9" ht="14.25">
      <c r="A35" s="9"/>
      <c r="B35" s="9"/>
      <c r="C35" s="9"/>
      <c r="D35" s="9"/>
      <c r="E35" s="9"/>
      <c r="F35" s="13" t="s">
        <v>25</v>
      </c>
      <c r="G35" s="13"/>
      <c r="H35" s="13"/>
      <c r="I35" s="13"/>
    </row>
    <row r="36" spans="1:9" ht="15" thickBot="1">
      <c r="A36" s="9"/>
      <c r="B36" s="9"/>
      <c r="C36" s="9"/>
      <c r="D36" s="9"/>
      <c r="E36" s="9"/>
      <c r="F36" s="13" t="s">
        <v>24</v>
      </c>
      <c r="G36" s="13"/>
      <c r="H36" s="13"/>
      <c r="I36" s="13"/>
    </row>
    <row r="37" spans="1:9" ht="15" thickBot="1">
      <c r="A37" s="13" t="s">
        <v>18</v>
      </c>
      <c r="B37" s="9"/>
      <c r="C37" s="9"/>
      <c r="D37" s="9"/>
      <c r="E37" s="9"/>
      <c r="F37" s="83" t="s">
        <v>36</v>
      </c>
      <c r="G37" s="84"/>
      <c r="H37" s="84"/>
      <c r="I37" s="85"/>
    </row>
    <row r="38" spans="1:9" ht="13.5" thickBot="1">
      <c r="I38" s="54" t="str">
        <f>H34</f>
        <v>-</v>
      </c>
    </row>
    <row r="39" spans="1:9">
      <c r="I39" s="68"/>
    </row>
    <row r="40" spans="1:9">
      <c r="A40" s="78" t="s">
        <v>41</v>
      </c>
      <c r="B40" s="78"/>
      <c r="C40" s="78"/>
      <c r="D40" s="78"/>
      <c r="E40" s="78"/>
      <c r="F40" s="78"/>
      <c r="G40" s="78"/>
      <c r="H40" s="78"/>
      <c r="I40" s="78"/>
    </row>
  </sheetData>
  <sheetProtection algorithmName="SHA-512" hashValue="lV/O0LZe3WOiTVWFg7rPfSV5ocnApoXiooMKbIiqgCe+Pe4cf8nt4Dg5ARQcva78dBu/LhxD9s/2fNRGUALNiw==" saltValue="y2HV91cdKHEyuPT0rb1RuA==" spinCount="100000" sheet="1" insertRows="0" sort="0" autoFilter="0" pivotTables="0"/>
  <sortState xmlns:xlrd2="http://schemas.microsoft.com/office/spreadsheetml/2017/richdata2" ref="F8:G14">
    <sortCondition descending="1" ref="G8:G14"/>
    <sortCondition descending="1" ref="F8:F14"/>
  </sortState>
  <mergeCells count="9">
    <mergeCell ref="A1:I1"/>
    <mergeCell ref="A2:I2"/>
    <mergeCell ref="A21:A22"/>
    <mergeCell ref="A40:I40"/>
    <mergeCell ref="A4:I4"/>
    <mergeCell ref="F20:I20"/>
    <mergeCell ref="F6:I6"/>
    <mergeCell ref="A6:D6"/>
    <mergeCell ref="F37:I37"/>
  </mergeCells>
  <pageMargins left="0.25" right="0.25" top="0.75" bottom="0.75" header="0.3" footer="0.3"/>
  <pageSetup paperSize="9" scale="87" orientation="landscape" r:id="rId1"/>
  <headerFooter alignWithMargins="0">
    <oddFooter>&amp;R&amp;8&amp;D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zoomScaleNormal="100" workbookViewId="0">
      <selection activeCell="D21" sqref="D21"/>
    </sheetView>
  </sheetViews>
  <sheetFormatPr defaultRowHeight="12.75"/>
  <cols>
    <col min="1" max="1" width="23.42578125" customWidth="1"/>
    <col min="2" max="2" width="15" customWidth="1"/>
    <col min="3" max="3" width="14.42578125" customWidth="1"/>
    <col min="4" max="4" width="9.5703125" customWidth="1"/>
    <col min="5" max="5" width="2" customWidth="1"/>
    <col min="6" max="6" width="22.42578125" customWidth="1"/>
    <col min="7" max="7" width="15.42578125" customWidth="1"/>
    <col min="8" max="8" width="13.140625" customWidth="1"/>
    <col min="9" max="9" width="13.140625" bestFit="1" customWidth="1"/>
    <col min="10" max="10" width="10" customWidth="1"/>
    <col min="11" max="11" width="8.5703125" customWidth="1"/>
    <col min="12" max="12" width="13.140625" customWidth="1"/>
  </cols>
  <sheetData>
    <row r="1" spans="1:9" ht="29.45" customHeight="1" thickBot="1">
      <c r="A1" s="72" t="s">
        <v>35</v>
      </c>
      <c r="B1" s="73"/>
      <c r="C1" s="73"/>
      <c r="D1" s="73"/>
      <c r="E1" s="73"/>
      <c r="F1" s="73"/>
      <c r="G1" s="73"/>
      <c r="H1" s="73"/>
      <c r="I1" s="74"/>
    </row>
    <row r="2" spans="1:9" ht="15" customHeight="1">
      <c r="A2" s="86" t="str">
        <f>Ital!A2</f>
        <v>ANO:               1ºSEMESTRE (   )           ANO COMPLETO (  )</v>
      </c>
      <c r="B2" s="86"/>
      <c r="C2" s="86"/>
      <c r="D2" s="86"/>
      <c r="E2" s="86"/>
      <c r="F2" s="86"/>
      <c r="G2" s="86"/>
      <c r="H2" s="86"/>
      <c r="I2" s="86"/>
    </row>
    <row r="3" spans="1:9" ht="8.25" customHeight="1">
      <c r="A3" s="9"/>
      <c r="B3" s="9"/>
      <c r="C3" s="9"/>
      <c r="D3" s="9"/>
      <c r="E3" s="9"/>
      <c r="F3" s="9"/>
      <c r="G3" s="9"/>
      <c r="H3" s="9"/>
      <c r="I3" s="9"/>
    </row>
    <row r="4" spans="1:9" ht="15.6" customHeight="1">
      <c r="A4" s="79" t="s">
        <v>32</v>
      </c>
      <c r="B4" s="79"/>
      <c r="C4" s="79"/>
      <c r="D4" s="79"/>
      <c r="E4" s="79"/>
      <c r="F4" s="79"/>
      <c r="G4" s="79"/>
      <c r="H4" s="79"/>
      <c r="I4" s="79"/>
    </row>
    <row r="5" spans="1:9" ht="15.6" customHeight="1">
      <c r="A5" s="10"/>
      <c r="B5" s="10"/>
      <c r="C5" s="10"/>
      <c r="D5" s="10"/>
      <c r="E5" s="10"/>
      <c r="F5" s="10"/>
      <c r="G5" s="10"/>
      <c r="H5" s="10"/>
      <c r="I5" s="10"/>
    </row>
    <row r="6" spans="1:9" ht="13.5" thickBot="1">
      <c r="A6" s="23" t="s">
        <v>37</v>
      </c>
      <c r="B6" s="13"/>
      <c r="C6" s="13"/>
      <c r="D6" s="13"/>
      <c r="E6" s="12"/>
      <c r="F6" s="11"/>
      <c r="G6" s="13"/>
      <c r="H6" s="13"/>
      <c r="I6" s="13"/>
    </row>
    <row r="7" spans="1:9" ht="13.5" thickBot="1">
      <c r="A7" s="46" t="s">
        <v>0</v>
      </c>
      <c r="B7" s="47" t="s">
        <v>33</v>
      </c>
      <c r="C7" s="48" t="s">
        <v>4</v>
      </c>
      <c r="D7" s="34" t="s">
        <v>1</v>
      </c>
      <c r="E7" s="12"/>
      <c r="F7" s="14"/>
      <c r="G7" s="15"/>
      <c r="H7" s="16"/>
      <c r="I7" s="16"/>
    </row>
    <row r="8" spans="1:9">
      <c r="A8" s="45">
        <f>Ital!A8</f>
        <v>0</v>
      </c>
      <c r="B8" s="49">
        <f>Ital!C8</f>
        <v>0</v>
      </c>
      <c r="C8" s="50"/>
      <c r="D8" s="28" t="str">
        <f t="shared" ref="D8:D11" si="0">IFERROR(B8/C8,"-")</f>
        <v>-</v>
      </c>
      <c r="E8" s="12"/>
      <c r="F8" s="17"/>
      <c r="G8" s="18"/>
      <c r="H8" s="19"/>
      <c r="I8" s="18"/>
    </row>
    <row r="9" spans="1:9">
      <c r="A9" s="45">
        <f>Ital!A9</f>
        <v>0</v>
      </c>
      <c r="B9" s="49">
        <f>Ital!C9</f>
        <v>0</v>
      </c>
      <c r="C9" s="51"/>
      <c r="D9" s="28" t="str">
        <f t="shared" si="0"/>
        <v>-</v>
      </c>
      <c r="E9" s="12"/>
      <c r="F9" s="17"/>
      <c r="G9" s="18"/>
      <c r="H9" s="19"/>
      <c r="I9" s="18"/>
    </row>
    <row r="10" spans="1:9">
      <c r="A10" s="45">
        <f>Ital!A10</f>
        <v>0</v>
      </c>
      <c r="B10" s="49">
        <f>Ital!C10</f>
        <v>0</v>
      </c>
      <c r="C10" s="52"/>
      <c r="D10" s="28" t="str">
        <f t="shared" si="0"/>
        <v>-</v>
      </c>
      <c r="E10" s="12"/>
      <c r="F10" s="17"/>
      <c r="G10" s="18"/>
      <c r="H10" s="19"/>
      <c r="I10" s="18"/>
    </row>
    <row r="11" spans="1:9">
      <c r="A11" s="45">
        <f>Ital!A11</f>
        <v>0</v>
      </c>
      <c r="B11" s="49">
        <f>Ital!C11</f>
        <v>0</v>
      </c>
      <c r="C11" s="52"/>
      <c r="D11" s="28" t="str">
        <f t="shared" si="0"/>
        <v>-</v>
      </c>
      <c r="E11" s="11"/>
      <c r="F11" s="17"/>
      <c r="G11" s="18"/>
      <c r="H11" s="19"/>
      <c r="I11" s="18"/>
    </row>
    <row r="12" spans="1:9">
      <c r="A12" s="45">
        <f>Ital!A12</f>
        <v>0</v>
      </c>
      <c r="B12" s="49">
        <f>Ital!C12</f>
        <v>0</v>
      </c>
      <c r="C12" s="52"/>
      <c r="D12" s="28" t="str">
        <f>IFERROR(B12/C12,"-")</f>
        <v>-</v>
      </c>
      <c r="E12" s="12"/>
      <c r="F12" s="17"/>
      <c r="G12" s="18"/>
      <c r="H12" s="19"/>
      <c r="I12" s="18"/>
    </row>
    <row r="13" spans="1:9">
      <c r="A13" s="45">
        <f>Ital!A13</f>
        <v>0</v>
      </c>
      <c r="B13" s="49">
        <f>Ital!C13</f>
        <v>0</v>
      </c>
      <c r="C13" s="52"/>
      <c r="D13" s="28" t="str">
        <f t="shared" ref="D13:D14" si="1">IFERROR(B13/C13,"-")</f>
        <v>-</v>
      </c>
      <c r="E13" s="12"/>
      <c r="F13" s="17"/>
      <c r="G13" s="18"/>
      <c r="H13" s="19"/>
      <c r="I13" s="18"/>
    </row>
    <row r="14" spans="1:9">
      <c r="A14" s="45">
        <f>Ital!A14</f>
        <v>0</v>
      </c>
      <c r="B14" s="96"/>
      <c r="C14" s="52"/>
      <c r="D14" s="28" t="str">
        <f t="shared" si="1"/>
        <v>-</v>
      </c>
      <c r="E14" s="12"/>
      <c r="F14" s="17"/>
      <c r="G14" s="18"/>
      <c r="H14" s="19"/>
      <c r="I14" s="18"/>
    </row>
    <row r="15" spans="1:9" ht="13.5" hidden="1" thickBot="1">
      <c r="A15" s="45"/>
      <c r="B15" s="49"/>
      <c r="C15" s="52"/>
      <c r="D15" s="28" t="str">
        <f t="shared" ref="D15" si="2">IFERROR(C15/B15,"-")</f>
        <v>-</v>
      </c>
      <c r="E15" s="12"/>
      <c r="F15" s="17"/>
      <c r="G15" s="18"/>
      <c r="H15" s="19"/>
      <c r="I15" s="18"/>
    </row>
    <row r="16" spans="1:9" ht="13.5" thickBot="1">
      <c r="A16" s="13" t="s">
        <v>18</v>
      </c>
      <c r="B16" s="13"/>
      <c r="C16" s="13"/>
      <c r="D16" s="18"/>
      <c r="E16" s="21"/>
      <c r="F16" s="11"/>
      <c r="G16" s="13"/>
      <c r="H16" s="13"/>
      <c r="I16" s="13"/>
    </row>
    <row r="17" spans="1:9" ht="14.25">
      <c r="A17" s="87" t="s">
        <v>40</v>
      </c>
      <c r="B17" s="88"/>
      <c r="C17" s="88"/>
      <c r="D17" s="89"/>
      <c r="E17" s="22"/>
      <c r="F17" s="12"/>
      <c r="G17" s="13"/>
      <c r="H17" s="13"/>
      <c r="I17" s="13"/>
    </row>
    <row r="18" spans="1:9" ht="14.25">
      <c r="A18" s="90"/>
      <c r="B18" s="91"/>
      <c r="C18" s="91"/>
      <c r="D18" s="92"/>
      <c r="E18" s="9"/>
      <c r="F18" s="23"/>
      <c r="G18" s="23"/>
      <c r="H18" s="20"/>
      <c r="I18" s="13"/>
    </row>
    <row r="19" spans="1:9" ht="15" thickBot="1">
      <c r="A19" s="93"/>
      <c r="B19" s="94"/>
      <c r="C19" s="94"/>
      <c r="D19" s="95"/>
      <c r="E19" s="9"/>
      <c r="F19" s="13"/>
      <c r="G19" s="13"/>
      <c r="H19" s="13"/>
      <c r="I19" s="13"/>
    </row>
    <row r="20" spans="1:9" ht="14.25">
      <c r="A20" s="9"/>
      <c r="B20" s="9"/>
      <c r="C20" s="9"/>
      <c r="D20" s="9"/>
      <c r="E20" s="9"/>
      <c r="F20" s="13"/>
      <c r="G20" s="13"/>
      <c r="H20" s="13"/>
      <c r="I20" s="13"/>
    </row>
    <row r="21" spans="1:9" ht="14.25">
      <c r="B21" s="9"/>
      <c r="C21" s="9"/>
      <c r="D21" s="9"/>
      <c r="E21" s="9"/>
      <c r="F21" s="9"/>
      <c r="G21" s="9"/>
      <c r="H21" s="9"/>
      <c r="I21" s="9"/>
    </row>
    <row r="23" spans="1:9">
      <c r="A23" s="78" t="s">
        <v>42</v>
      </c>
      <c r="B23" s="78"/>
      <c r="C23" s="78"/>
      <c r="D23" s="78"/>
      <c r="E23" s="78"/>
      <c r="F23" s="78"/>
      <c r="G23" s="78"/>
      <c r="H23" s="78"/>
      <c r="I23" s="78"/>
    </row>
  </sheetData>
  <sheetProtection algorithmName="SHA-512" hashValue="ZQf61NDxjV069TL29IvqFFTqO0RCXwr8WQ16LXWJh3ytUzzESEAXu13dRYpkLOO/FwFqcNAqQWBCB7o+LsYfzQ==" saltValue="/+48TWrqkPkgO2XwY6hHqQ==" spinCount="100000" sheet="1" insertRows="0"/>
  <mergeCells count="5">
    <mergeCell ref="A1:I1"/>
    <mergeCell ref="A2:I2"/>
    <mergeCell ref="A23:I23"/>
    <mergeCell ref="A4:I4"/>
    <mergeCell ref="A17:D19"/>
  </mergeCells>
  <phoneticPr fontId="2" type="noConversion"/>
  <pageMargins left="0.25" right="0.25" top="0.75" bottom="0.75" header="0.3" footer="0.3"/>
  <pageSetup paperSize="9" orientation="landscape" r:id="rId1"/>
  <headerFooter alignWithMargins="0">
    <oddFooter>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Ital</vt:lpstr>
      <vt:lpstr>Unidades</vt:lpstr>
      <vt:lpstr>Ital!Area_de_impressao</vt:lpstr>
      <vt:lpstr>Unidades!Area_de_impressao</vt:lpstr>
    </vt:vector>
  </TitlesOfParts>
  <Company>APTA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</dc:creator>
  <cp:lastModifiedBy>SGQ</cp:lastModifiedBy>
  <cp:lastPrinted>2024-06-04T12:51:15Z</cp:lastPrinted>
  <dcterms:created xsi:type="dcterms:W3CDTF">2007-08-08T14:54:14Z</dcterms:created>
  <dcterms:modified xsi:type="dcterms:W3CDTF">2024-06-04T13:04:19Z</dcterms:modified>
</cp:coreProperties>
</file>