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89.2\qualidadera-21\Documentos SGQ - Matriz RA-56\Formulários\"/>
    </mc:Choice>
  </mc:AlternateContent>
  <xr:revisionPtr revIDLastSave="0" documentId="13_ncr:1_{3F7AD165-CA88-4FDB-A84C-655F191C3784}" xr6:coauthVersionLast="45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mp. onda" sheetId="1" r:id="rId1"/>
    <sheet name="Abs-Vis" sheetId="4" r:id="rId2"/>
    <sheet name="Abs-UV" sheetId="5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2" i="5" l="1"/>
  <c r="F56" i="5"/>
  <c r="E56" i="5"/>
  <c r="D56" i="5"/>
  <c r="C56" i="5"/>
  <c r="F48" i="5"/>
  <c r="E48" i="5"/>
  <c r="D48" i="5"/>
  <c r="C48" i="5"/>
  <c r="F40" i="5"/>
  <c r="E40" i="5"/>
  <c r="D40" i="5"/>
  <c r="C40" i="5"/>
  <c r="E32" i="5"/>
  <c r="D32" i="5"/>
  <c r="C32" i="5"/>
  <c r="G35" i="4"/>
  <c r="F35" i="4"/>
  <c r="E35" i="4"/>
  <c r="D35" i="4"/>
  <c r="C35" i="4"/>
  <c r="G27" i="4"/>
  <c r="F27" i="4"/>
  <c r="E27" i="4"/>
  <c r="D27" i="4"/>
  <c r="C27" i="4"/>
  <c r="G19" i="4"/>
  <c r="F19" i="4"/>
  <c r="E19" i="4"/>
  <c r="D19" i="4"/>
  <c r="C19" i="4"/>
  <c r="F32" i="1"/>
  <c r="F31" i="1"/>
  <c r="F33" i="1"/>
  <c r="F34" i="1"/>
  <c r="F35" i="1"/>
</calcChain>
</file>

<file path=xl/sharedStrings.xml><?xml version="1.0" encoding="utf-8"?>
<sst xmlns="http://schemas.openxmlformats.org/spreadsheetml/2006/main" count="207" uniqueCount="113">
  <si>
    <t>VERIFICAÇÃO DA PERFORMANCE DE ESPECTROFOTÔMETRO</t>
  </si>
  <si>
    <t>Verificação</t>
  </si>
  <si>
    <t>Verificação intermediária</t>
  </si>
  <si>
    <t>1- Exatidão do comprimento de onda (nm): região UV/VIS, para faixa espectral até 2 nm</t>
  </si>
  <si>
    <t xml:space="preserve">Temperatura do compartimento da cubeta: </t>
  </si>
  <si>
    <t>Termômetro:</t>
  </si>
  <si>
    <t>Data:</t>
  </si>
  <si>
    <t xml:space="preserve">Responsável pela verificação (prática): </t>
  </si>
  <si>
    <t>Espectrofotômetro:</t>
  </si>
  <si>
    <t>Identificação dos equipamentos utilizados:</t>
  </si>
  <si>
    <t>°C (temperatura recomendada: entre 20 e 25 °C)</t>
  </si>
  <si>
    <t>Valor nominal</t>
  </si>
  <si>
    <t>Leituras</t>
  </si>
  <si>
    <t>Leitura média</t>
  </si>
  <si>
    <t>Tolerância</t>
  </si>
  <si>
    <t>A</t>
  </si>
  <si>
    <t>B</t>
  </si>
  <si>
    <t>C</t>
  </si>
  <si>
    <t>Leitura A</t>
  </si>
  <si>
    <t>Leitura B</t>
  </si>
  <si>
    <t>Leitura C</t>
  </si>
  <si>
    <t>Condições de análise:</t>
  </si>
  <si>
    <t>Largura da fenda:</t>
  </si>
  <si>
    <t>nm</t>
  </si>
  <si>
    <t>Tempo de integração:</t>
  </si>
  <si>
    <t>s</t>
  </si>
  <si>
    <t>Velocidade de varredura:</t>
  </si>
  <si>
    <t>nm/min</t>
  </si>
  <si>
    <t>Intervalo de coleta de dados:</t>
  </si>
  <si>
    <t>Aprovado</t>
  </si>
  <si>
    <t>Reprovado</t>
  </si>
  <si>
    <t>Observações:</t>
  </si>
  <si>
    <r>
      <rPr>
        <b/>
        <sz val="10"/>
        <rFont val="Arial"/>
        <family val="2"/>
      </rPr>
      <t>TABELA 1.</t>
    </r>
    <r>
      <rPr>
        <sz val="10"/>
        <rFont val="Arial"/>
        <family val="2"/>
      </rPr>
      <t xml:space="preserve"> Resultados da varredura do Filtro 666-F1, em nm.</t>
    </r>
  </si>
  <si>
    <r>
      <t xml:space="preserve">FIGURA 1. </t>
    </r>
    <r>
      <rPr>
        <sz val="10"/>
        <rFont val="Arial"/>
        <family val="2"/>
      </rPr>
      <t>Espectro típico de um filtro de vidro de oxido de hólmio – 666-F1. 
(largura da fenda 1,00 nm, tempo de integração 0,2 s, velocidade de varredura de 15,00 nm/min, intervalo de coleta de dados de 0,05 nm)</t>
    </r>
  </si>
  <si>
    <t>Responsável pela verificação dos dados e aprovação do equipamento:</t>
  </si>
  <si>
    <t>2- Exatidão fotométrica (Absorbância): região do Visível para faixa espectral até 2 nm</t>
  </si>
  <si>
    <t>Filtro 666-F1:</t>
  </si>
  <si>
    <t>440,0 nm</t>
  </si>
  <si>
    <t>465,0 nm</t>
  </si>
  <si>
    <t>546,1 nm</t>
  </si>
  <si>
    <t>590,0 nm</t>
  </si>
  <si>
    <t>635,0 nm</t>
  </si>
  <si>
    <r>
      <rPr>
        <b/>
        <sz val="10"/>
        <rFont val="Arial"/>
        <family val="2"/>
      </rPr>
      <t>TABELA 2.</t>
    </r>
    <r>
      <rPr>
        <sz val="10"/>
        <rFont val="Arial"/>
        <family val="2"/>
      </rPr>
      <t xml:space="preserve"> Resultados de absorbância do Filtro</t>
    </r>
    <r>
      <rPr>
        <b/>
        <sz val="10"/>
        <rFont val="Arial"/>
        <family val="2"/>
      </rPr>
      <t xml:space="preserve"> 666-F2</t>
    </r>
    <r>
      <rPr>
        <sz val="10"/>
        <rFont val="Arial"/>
        <family val="2"/>
      </rPr>
      <t xml:space="preserve">. </t>
    </r>
  </si>
  <si>
    <r>
      <rPr>
        <b/>
        <sz val="10"/>
        <rFont val="Arial"/>
        <family val="2"/>
      </rPr>
      <t>TABELA 3.</t>
    </r>
    <r>
      <rPr>
        <sz val="10"/>
        <rFont val="Arial"/>
        <family val="2"/>
      </rPr>
      <t xml:space="preserve"> Resultados de absorbância do Filtro</t>
    </r>
    <r>
      <rPr>
        <b/>
        <sz val="10"/>
        <rFont val="Arial"/>
        <family val="2"/>
      </rPr>
      <t xml:space="preserve"> 666-F3</t>
    </r>
    <r>
      <rPr>
        <sz val="10"/>
        <rFont val="Arial"/>
        <family val="2"/>
      </rPr>
      <t xml:space="preserve">. </t>
    </r>
  </si>
  <si>
    <r>
      <rPr>
        <b/>
        <sz val="10"/>
        <rFont val="Arial"/>
        <family val="2"/>
      </rPr>
      <t>TABELA 4.</t>
    </r>
    <r>
      <rPr>
        <sz val="10"/>
        <rFont val="Arial"/>
        <family val="2"/>
      </rPr>
      <t xml:space="preserve"> Resultados de absorbância do Filtro</t>
    </r>
    <r>
      <rPr>
        <b/>
        <sz val="10"/>
        <rFont val="Arial"/>
        <family val="2"/>
      </rPr>
      <t xml:space="preserve"> 666-F4</t>
    </r>
    <r>
      <rPr>
        <sz val="10"/>
        <rFont val="Arial"/>
        <family val="2"/>
      </rPr>
      <t xml:space="preserve">. </t>
    </r>
  </si>
  <si>
    <t>3-  Exatidão fotométrica (Absorbância): região UV para faixa espectral até 2 nm</t>
  </si>
  <si>
    <t>Balança:</t>
  </si>
  <si>
    <t>Pipetador:</t>
  </si>
  <si>
    <t>Identificação dos equipamentos e reagentes utilizados:</t>
  </si>
  <si>
    <t>200,0 ± 0,3</t>
  </si>
  <si>
    <t>300,0 ± 0,3</t>
  </si>
  <si>
    <t>400,0 ± 0,3</t>
  </si>
  <si>
    <t>500,0 ± 0,3</t>
  </si>
  <si>
    <r>
      <rPr>
        <b/>
        <sz val="10"/>
        <color theme="1"/>
        <rFont val="Arial"/>
        <family val="2"/>
      </rPr>
      <t>TABELA 5.</t>
    </r>
    <r>
      <rPr>
        <sz val="10"/>
        <color theme="1"/>
        <rFont val="Arial"/>
        <family val="2"/>
      </rPr>
      <t xml:space="preserve"> Dados do preparo das soluções-padrão de K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Cr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O</t>
    </r>
    <r>
      <rPr>
        <vertAlign val="subscript"/>
        <sz val="10"/>
        <color theme="1"/>
        <rFont val="Arial"/>
        <family val="2"/>
      </rPr>
      <t>7</t>
    </r>
    <r>
      <rPr>
        <sz val="10"/>
        <color theme="1"/>
        <rFont val="Arial"/>
        <family val="2"/>
      </rPr>
      <t>.</t>
    </r>
  </si>
  <si>
    <r>
      <t>m</t>
    </r>
    <r>
      <rPr>
        <vertAlign val="subscript"/>
        <sz val="10"/>
        <color theme="1"/>
        <rFont val="Arial"/>
        <family val="2"/>
      </rPr>
      <t xml:space="preserve">nominal </t>
    </r>
    <r>
      <rPr>
        <sz val="10"/>
        <color theme="1"/>
        <rFont val="Arial"/>
        <family val="2"/>
      </rPr>
      <t>(mg)</t>
    </r>
  </si>
  <si>
    <r>
      <t>m</t>
    </r>
    <r>
      <rPr>
        <vertAlign val="subscript"/>
        <sz val="10"/>
        <color theme="1"/>
        <rFont val="Arial"/>
        <family val="2"/>
      </rPr>
      <t>pesada</t>
    </r>
    <r>
      <rPr>
        <sz val="10"/>
        <color theme="1"/>
        <rFont val="Arial"/>
        <family val="2"/>
      </rPr>
      <t xml:space="preserve"> (mg)</t>
    </r>
  </si>
  <si>
    <r>
      <rPr>
        <b/>
        <sz val="10"/>
        <rFont val="Arial"/>
        <family val="2"/>
      </rPr>
      <t>TABELA 6.</t>
    </r>
    <r>
      <rPr>
        <sz val="10"/>
        <rFont val="Arial"/>
        <family val="2"/>
      </rPr>
      <t xml:space="preserve"> Resultados de absorbância da solução-padrão de </t>
    </r>
    <r>
      <rPr>
        <b/>
        <sz val="10"/>
        <rFont val="Arial"/>
        <family val="2"/>
      </rPr>
      <t>40 mg/L</t>
    </r>
    <r>
      <rPr>
        <sz val="10"/>
        <rFont val="Arial"/>
        <family val="2"/>
      </rPr>
      <t xml:space="preserve">. </t>
    </r>
  </si>
  <si>
    <t>Branco</t>
  </si>
  <si>
    <t>235,0 nm</t>
  </si>
  <si>
    <t>257,0 nm</t>
  </si>
  <si>
    <t>313,0 nm</t>
  </si>
  <si>
    <t>350,0 nm</t>
  </si>
  <si>
    <r>
      <rPr>
        <b/>
        <sz val="10"/>
        <rFont val="Arial"/>
        <family val="2"/>
      </rPr>
      <t>TABELA 7.</t>
    </r>
    <r>
      <rPr>
        <sz val="10"/>
        <rFont val="Arial"/>
        <family val="2"/>
      </rPr>
      <t xml:space="preserve"> Resultados de absorbância da solução-padrão de </t>
    </r>
    <r>
      <rPr>
        <b/>
        <sz val="10"/>
        <rFont val="Arial"/>
        <family val="2"/>
      </rPr>
      <t>60 mg/L</t>
    </r>
    <r>
      <rPr>
        <sz val="10"/>
        <rFont val="Arial"/>
        <family val="2"/>
      </rPr>
      <t xml:space="preserve">. </t>
    </r>
  </si>
  <si>
    <r>
      <rPr>
        <b/>
        <sz val="10"/>
        <rFont val="Arial"/>
        <family val="2"/>
      </rPr>
      <t>TABELA 8.</t>
    </r>
    <r>
      <rPr>
        <sz val="10"/>
        <rFont val="Arial"/>
        <family val="2"/>
      </rPr>
      <t xml:space="preserve"> Resultados de absorbância da solução-padrão de </t>
    </r>
    <r>
      <rPr>
        <b/>
        <sz val="10"/>
        <rFont val="Arial"/>
        <family val="2"/>
      </rPr>
      <t>80 mg/L</t>
    </r>
    <r>
      <rPr>
        <sz val="10"/>
        <rFont val="Arial"/>
        <family val="2"/>
      </rPr>
      <t xml:space="preserve">. </t>
    </r>
  </si>
  <si>
    <r>
      <rPr>
        <b/>
        <sz val="10"/>
        <rFont val="Arial"/>
        <family val="2"/>
      </rPr>
      <t>TABELA 9.</t>
    </r>
    <r>
      <rPr>
        <sz val="10"/>
        <rFont val="Arial"/>
        <family val="2"/>
      </rPr>
      <t xml:space="preserve"> Resultados de absorbância da solução-padrão de </t>
    </r>
    <r>
      <rPr>
        <b/>
        <sz val="10"/>
        <rFont val="Arial"/>
        <family val="2"/>
      </rPr>
      <t>100 mg/L</t>
    </r>
    <r>
      <rPr>
        <sz val="10"/>
        <rFont val="Arial"/>
        <family val="2"/>
      </rPr>
      <t xml:space="preserve">. </t>
    </r>
  </si>
  <si>
    <t>Tolerância: ± 2% para Abs entre 0,2 a 0,4 e ± 1% para Abs entre 0,5 a 1,0</t>
  </si>
  <si>
    <t>0,4871 - 0,4969</t>
  </si>
  <si>
    <t>0,5673 - 0,5787</t>
  </si>
  <si>
    <t>0,4185 - 0,4355</t>
  </si>
  <si>
    <t>0,7336 - 0,7484</t>
  </si>
  <si>
    <t>0,8534 - 0,8706</t>
  </si>
  <si>
    <t>0,2832 - 0,2948</t>
  </si>
  <si>
    <t>0,6385 - 0,6514</t>
  </si>
  <si>
    <t>0,9811 - 1,0009</t>
  </si>
  <si>
    <t>1,1425 - 1,1655</t>
  </si>
  <si>
    <t>0,3783 - 0,3937</t>
  </si>
  <si>
    <t>0,8514 - 0,8686</t>
  </si>
  <si>
    <t>1,2306 - 1,2554</t>
  </si>
  <si>
    <t>1,4345 - 1,4635</t>
  </si>
  <si>
    <t>0,4782 - 0,4878</t>
  </si>
  <si>
    <t>1,0603 - 1,0871</t>
  </si>
  <si>
    <t>0,1882 - 0,1958</t>
  </si>
  <si>
    <r>
      <t>C</t>
    </r>
    <r>
      <rPr>
        <vertAlign val="subscript"/>
        <sz val="10"/>
        <color theme="1"/>
        <rFont val="Arial"/>
        <family val="2"/>
      </rPr>
      <t>K2Cr2O7</t>
    </r>
    <r>
      <rPr>
        <sz val="10"/>
        <color theme="1"/>
        <rFont val="Arial"/>
        <family val="2"/>
      </rPr>
      <t xml:space="preserve"> (mg/L)</t>
    </r>
  </si>
  <si>
    <r>
      <t>C = concentração; m = massa; V = volume; ID</t>
    </r>
    <r>
      <rPr>
        <i/>
        <vertAlign val="subscript"/>
        <sz val="10"/>
        <color theme="1"/>
        <rFont val="Arial"/>
        <family val="2"/>
      </rPr>
      <t>BV</t>
    </r>
    <r>
      <rPr>
        <i/>
        <sz val="10"/>
        <color theme="1"/>
        <rFont val="Arial"/>
        <family val="2"/>
      </rPr>
      <t xml:space="preserve"> = identificação dos balões volumétricos</t>
    </r>
  </si>
  <si>
    <r>
      <t>Branco: 1 mL da solução do ácido perclórico 0,1 mol.L</t>
    </r>
    <r>
      <rPr>
        <i/>
        <vertAlign val="superscript"/>
        <sz val="10"/>
        <color theme="1"/>
        <rFont val="Arial"/>
        <family val="2"/>
      </rPr>
      <t>-1</t>
    </r>
    <r>
      <rPr>
        <i/>
        <sz val="10"/>
        <color theme="1"/>
        <rFont val="Arial"/>
        <family val="2"/>
      </rPr>
      <t xml:space="preserve"> para 100 mL de água</t>
    </r>
  </si>
  <si>
    <t>269,3 - 289,3</t>
  </si>
  <si>
    <t>359,8 - 361,8</t>
  </si>
  <si>
    <t>452,4 - 454,1</t>
  </si>
  <si>
    <t>535,4 - 537,4</t>
  </si>
  <si>
    <t>636,5 - 638,5</t>
  </si>
  <si>
    <t>Filtro 666-F2, 666-F3 e 666-F4</t>
  </si>
  <si>
    <t>0,529 - 0,579</t>
  </si>
  <si>
    <t>0,250 - 0,286</t>
  </si>
  <si>
    <t>0,225 - 0,258</t>
  </si>
  <si>
    <t>0,235 - 0,269</t>
  </si>
  <si>
    <t>0,276 - 0,316</t>
  </si>
  <si>
    <t>0,283 - 0,323</t>
  </si>
  <si>
    <t>0,507 - 0,552</t>
  </si>
  <si>
    <t>0,458 - 0,508</t>
  </si>
  <si>
    <t>0,472 - 0,523</t>
  </si>
  <si>
    <t>0,528 - 0,584</t>
  </si>
  <si>
    <t>1,004 - 1,136</t>
  </si>
  <si>
    <t>0,934 - 1,050</t>
  </si>
  <si>
    <t>0,947 - 1,063</t>
  </si>
  <si>
    <t>1,008 - 1,140</t>
  </si>
  <si>
    <t>0,946 - 1,062</t>
  </si>
  <si>
    <t>FQ-07.20 (anexo à IT-07.03.04) - RA - revisão 08 de 19/09/24 - Página 1/3</t>
  </si>
  <si>
    <t>FQ-07.20 (anexo à IT-07.03.04) - RA - revisão 08 de 19/09/24 - Página 2/3</t>
  </si>
  <si>
    <r>
      <t>ID</t>
    </r>
    <r>
      <rPr>
        <vertAlign val="subscript"/>
        <sz val="10"/>
        <color theme="0"/>
        <rFont val="Arial"/>
        <family val="2"/>
      </rPr>
      <t xml:space="preserve">BV </t>
    </r>
    <r>
      <rPr>
        <sz val="10"/>
        <color theme="0"/>
        <rFont val="Arial"/>
        <family val="2"/>
      </rPr>
      <t>(100 mL)</t>
    </r>
  </si>
  <si>
    <r>
      <t>ID</t>
    </r>
    <r>
      <rPr>
        <vertAlign val="subscript"/>
        <sz val="10"/>
        <color theme="0"/>
        <rFont val="Arial"/>
        <family val="2"/>
      </rPr>
      <t>BV</t>
    </r>
    <r>
      <rPr>
        <sz val="10"/>
        <color theme="0"/>
        <rFont val="Arial"/>
        <family val="2"/>
      </rPr>
      <t xml:space="preserve"> (Diluição 100-2:100 mL)</t>
    </r>
  </si>
  <si>
    <r>
      <t>Dicromato de potássio (K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Cr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O</t>
    </r>
    <r>
      <rPr>
        <b/>
        <vertAlign val="subscript"/>
        <sz val="10"/>
        <rFont val="Arial"/>
        <family val="2"/>
      </rPr>
      <t>7</t>
    </r>
    <r>
      <rPr>
        <b/>
        <sz val="10"/>
        <rFont val="Arial"/>
        <family val="2"/>
      </rPr>
      <t>) lote:</t>
    </r>
  </si>
  <si>
    <r>
      <t>Solução de ácido perclórico (HClO</t>
    </r>
    <r>
      <rPr>
        <b/>
        <vertAlign val="subscript"/>
        <sz val="10"/>
        <rFont val="Arial"/>
        <family val="2"/>
      </rPr>
      <t>4</t>
    </r>
    <r>
      <rPr>
        <b/>
        <sz val="10"/>
        <rFont val="Arial"/>
        <family val="2"/>
      </rPr>
      <t>) 0,1 mol.L</t>
    </r>
    <r>
      <rPr>
        <b/>
        <vertAlign val="superscript"/>
        <sz val="10"/>
        <rFont val="Arial"/>
        <family val="2"/>
      </rPr>
      <t xml:space="preserve">-1 </t>
    </r>
    <r>
      <rPr>
        <b/>
        <sz val="10"/>
        <rFont val="Arial"/>
        <family val="2"/>
      </rPr>
      <t>- lote:</t>
    </r>
  </si>
  <si>
    <t>FQ-07.20 (anexo à IT-07.03.04) - RA - revisão 08 de 19/09/24 - Página 3/3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</si>
</sst>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2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0"/>
      <color indexed="8"/>
      <name val="Arial"/>
      <family val="2"/>
    </font>
    <font>
      <b/>
      <sz val="10"/>
      <color rgb="FF00B050"/>
      <name val="Arial"/>
      <family val="2"/>
    </font>
    <font>
      <sz val="10"/>
      <name val="Arial"/>
      <family val="2"/>
    </font>
    <font>
      <b/>
      <u/>
      <sz val="10"/>
      <color theme="1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vertAlign val="subscript"/>
      <sz val="10"/>
      <color theme="1"/>
      <name val="Arial"/>
      <family val="2"/>
    </font>
    <font>
      <b/>
      <sz val="10"/>
      <color rgb="FF0070C0"/>
      <name val="Arial"/>
      <family val="2"/>
    </font>
    <font>
      <b/>
      <sz val="10"/>
      <color rgb="FFFF0000"/>
      <name val="Arial"/>
      <family val="2"/>
    </font>
    <font>
      <b/>
      <sz val="12"/>
      <name val="Arial"/>
      <family val="2"/>
    </font>
    <font>
      <i/>
      <sz val="10"/>
      <color theme="1"/>
      <name val="Arial"/>
      <family val="2"/>
    </font>
    <font>
      <i/>
      <vertAlign val="subscript"/>
      <sz val="10"/>
      <color theme="1"/>
      <name val="Arial"/>
      <family val="2"/>
    </font>
    <font>
      <i/>
      <sz val="10"/>
      <color indexed="8"/>
      <name val="Arial"/>
      <family val="2"/>
    </font>
    <font>
      <i/>
      <vertAlign val="superscript"/>
      <sz val="10"/>
      <color theme="1"/>
      <name val="Arial"/>
      <family val="2"/>
    </font>
    <font>
      <sz val="11"/>
      <name val="Calibri"/>
      <family val="2"/>
      <scheme val="minor"/>
    </font>
    <font>
      <sz val="10"/>
      <color theme="0"/>
      <name val="Arial"/>
      <family val="2"/>
    </font>
    <font>
      <vertAlign val="subscript"/>
      <sz val="10"/>
      <color theme="0"/>
      <name val="Arial"/>
      <family val="2"/>
    </font>
    <font>
      <b/>
      <vertAlign val="subscript"/>
      <sz val="10"/>
      <name val="Arial"/>
      <family val="2"/>
    </font>
    <font>
      <b/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73">
    <xf numFmtId="0" fontId="0" fillId="0" borderId="0" xfId="0"/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12" fillId="0" borderId="0" xfId="0" applyFont="1" applyAlignment="1" applyProtection="1">
      <alignment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166" fontId="7" fillId="0" borderId="0" xfId="0" applyNumberFormat="1" applyFont="1" applyAlignment="1" applyProtection="1">
      <alignment horizontal="center"/>
      <protection locked="0"/>
    </xf>
    <xf numFmtId="0" fontId="7" fillId="0" borderId="0" xfId="0" applyFont="1" applyProtection="1">
      <protection locked="0"/>
    </xf>
    <xf numFmtId="166" fontId="7" fillId="0" borderId="4" xfId="0" applyNumberFormat="1" applyFont="1" applyBorder="1" applyAlignment="1" applyProtection="1">
      <alignment horizontal="center"/>
      <protection locked="0"/>
    </xf>
    <xf numFmtId="1" fontId="7" fillId="0" borderId="1" xfId="0" applyNumberFormat="1" applyFont="1" applyBorder="1" applyAlignment="1" applyProtection="1">
      <alignment horizontal="center"/>
      <protection locked="0"/>
    </xf>
    <xf numFmtId="166" fontId="7" fillId="0" borderId="1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7" fillId="0" borderId="0" xfId="0" applyFont="1"/>
    <xf numFmtId="0" fontId="10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6" fontId="7" fillId="0" borderId="0" xfId="0" applyNumberFormat="1" applyFont="1" applyAlignment="1">
      <alignment horizontal="center"/>
    </xf>
    <xf numFmtId="0" fontId="11" fillId="0" borderId="0" xfId="0" applyFont="1"/>
    <xf numFmtId="0" fontId="6" fillId="0" borderId="0" xfId="0" applyFont="1"/>
    <xf numFmtId="0" fontId="12" fillId="0" borderId="0" xfId="0" applyFont="1" applyAlignment="1" applyProtection="1">
      <alignment horizontal="center"/>
      <protection locked="0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4" fontId="7" fillId="0" borderId="0" xfId="0" applyNumberFormat="1" applyFont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4" xfId="0" applyFont="1" applyBorder="1" applyAlignment="1" applyProtection="1">
      <alignment horizont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6" fillId="0" borderId="5" xfId="0" applyFont="1" applyBorder="1"/>
    <xf numFmtId="0" fontId="6" fillId="0" borderId="7" xfId="0" applyFont="1" applyBorder="1" applyProtection="1">
      <protection locked="0"/>
    </xf>
    <xf numFmtId="0" fontId="6" fillId="0" borderId="0" xfId="0" applyFont="1" applyProtection="1"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9" fillId="0" borderId="3" xfId="0" applyFont="1" applyBorder="1" applyAlignment="1" applyProtection="1">
      <alignment horizontal="center"/>
      <protection locked="0"/>
    </xf>
    <xf numFmtId="0" fontId="16" fillId="0" borderId="3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18" fillId="0" borderId="0" xfId="0" applyFont="1"/>
    <xf numFmtId="0" fontId="20" fillId="0" borderId="0" xfId="0" applyFont="1" applyAlignment="1">
      <alignment horizontal="center"/>
    </xf>
    <xf numFmtId="0" fontId="12" fillId="0" borderId="0" xfId="0" applyFont="1"/>
    <xf numFmtId="0" fontId="10" fillId="0" borderId="0" xfId="0" applyFont="1" applyAlignment="1">
      <alignment horizontal="center"/>
    </xf>
    <xf numFmtId="166" fontId="10" fillId="0" borderId="0" xfId="0" applyNumberFormat="1" applyFont="1" applyAlignment="1" applyProtection="1">
      <alignment horizontal="center"/>
      <protection locked="0"/>
    </xf>
    <xf numFmtId="166" fontId="10" fillId="0" borderId="0" xfId="0" applyNumberFormat="1" applyFont="1" applyAlignment="1">
      <alignment horizontal="center"/>
    </xf>
    <xf numFmtId="0" fontId="10" fillId="0" borderId="0" xfId="0" applyFont="1" applyProtection="1">
      <protection locked="0"/>
    </xf>
    <xf numFmtId="165" fontId="10" fillId="0" borderId="0" xfId="0" applyNumberFormat="1" applyFont="1" applyAlignment="1" applyProtection="1">
      <alignment horizontal="center"/>
      <protection locked="0"/>
    </xf>
    <xf numFmtId="0" fontId="22" fillId="0" borderId="0" xfId="0" applyFont="1" applyProtection="1">
      <protection locked="0"/>
    </xf>
    <xf numFmtId="165" fontId="10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7" fillId="0" borderId="2" xfId="0" applyFont="1" applyBorder="1" applyAlignment="1" applyProtection="1">
      <alignment horizontal="left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 applyProtection="1">
      <alignment horizontal="center" vertical="center"/>
      <protection locked="0"/>
    </xf>
    <xf numFmtId="0" fontId="17" fillId="2" borderId="5" xfId="0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10" fillId="0" borderId="0" xfId="0" applyFont="1" applyAlignment="1">
      <alignment horizontal="left"/>
    </xf>
    <xf numFmtId="0" fontId="7" fillId="0" borderId="4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left"/>
      <protection locked="0"/>
    </xf>
    <xf numFmtId="0" fontId="1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4" fontId="4" fillId="0" borderId="4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10" fillId="0" borderId="4" xfId="0" applyFont="1" applyBorder="1" applyAlignment="1" applyProtection="1">
      <alignment horizontal="center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/>
    </xf>
    <xf numFmtId="0" fontId="7" fillId="0" borderId="2" xfId="0" applyFont="1" applyBorder="1" applyAlignment="1" applyProtection="1">
      <alignment horizontal="center"/>
      <protection locked="0"/>
    </xf>
  </cellXfs>
  <cellStyles count="2">
    <cellStyle name="Estilo 1" xfId="1" xr:uid="{00000000-0005-0000-0000-000000000000}"/>
    <cellStyle name="Normal" xfId="0" builtinId="0"/>
  </cellStyles>
  <dxfs count="177"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6" formatCode="0.0"/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6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0.0"/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6" formatCode="0.0"/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6" formatCode="0.0"/>
      <protection locked="1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6" formatCode="0.0"/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6" formatCode="0.0"/>
      <protection locked="1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6" formatCode="0.0"/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6" formatCode="0.0"/>
      <protection locked="1" hidden="0"/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0.0"/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6" formatCode="0.0"/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0.0"/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6" formatCode="0.0"/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0.0"/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6" formatCode="0.0"/>
      <protection locked="1" hidden="0"/>
    </dxf>
    <dxf>
      <fill>
        <patternFill patternType="lightHorizontal"/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0.0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0.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0.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0.0"/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protection locked="0" hidden="0"/>
    </dxf>
    <dxf>
      <fill>
        <patternFill patternType="lightHorizontal"/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8" tint="0.59996337778862885"/>
        </patternFill>
      </fill>
    </dxf>
    <dxf>
      <font>
        <b/>
        <i val="0"/>
        <strike val="0"/>
        <u val="none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552449</xdr:colOff>
      <xdr:row>13</xdr:row>
      <xdr:rowOff>171450</xdr:rowOff>
    </xdr:from>
    <xdr:to>
      <xdr:col>7</xdr:col>
      <xdr:colOff>400049</xdr:colOff>
      <xdr:row>24</xdr:row>
      <xdr:rowOff>66675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C796421-949F-42DB-8488-618BD7E3D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899" y="2743200"/>
          <a:ext cx="49149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30:G35" totalsRowShown="0" headerRowDxfId="160" dataDxfId="159">
  <autoFilter ref="B30:G35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000-000001000000}" name="Valor nominal" dataDxfId="158"/>
    <tableColumn id="2" xr3:uid="{00000000-0010-0000-0000-000002000000}" name="Leitura A" dataDxfId="157"/>
    <tableColumn id="3" xr3:uid="{00000000-0010-0000-0000-000003000000}" name="Leitura B" dataDxfId="156"/>
    <tableColumn id="4" xr3:uid="{00000000-0010-0000-0000-000004000000}" name="Leitura C" dataDxfId="155"/>
    <tableColumn id="5" xr3:uid="{00000000-0010-0000-0000-000005000000}" name="Leitura média" dataDxfId="154">
      <calculatedColumnFormula>IFERROR(AVERAGE(Tabela1[[#This Row],[Leitura A]:[Leitura C]]),"")</calculatedColumnFormula>
    </tableColumn>
    <tableColumn id="6" xr3:uid="{00000000-0010-0000-0000-000006000000}" name="Tolerância" dataDxfId="15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ela6" displayName="Tabela6" ref="B15:G20" totalsRowShown="0" headerRowDxfId="106" dataDxfId="105">
  <autoFilter ref="B15:G20" xr:uid="{00000000-0009-0000-0100-000006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100-000001000000}" name="Leituras" dataDxfId="104"/>
    <tableColumn id="2" xr3:uid="{00000000-0010-0000-0100-000002000000}" name="440,0 nm" dataDxfId="103"/>
    <tableColumn id="3" xr3:uid="{00000000-0010-0000-0100-000003000000}" name="465,0 nm" dataDxfId="102"/>
    <tableColumn id="4" xr3:uid="{00000000-0010-0000-0100-000004000000}" name="546,1 nm" dataDxfId="101"/>
    <tableColumn id="5" xr3:uid="{00000000-0010-0000-0100-000005000000}" name="590,0 nm" dataDxfId="100"/>
    <tableColumn id="6" xr3:uid="{00000000-0010-0000-0100-000006000000}" name="635,0 nm" dataDxfId="9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abela68" displayName="Tabela68" ref="B23:G28" totalsRowShown="0" headerRowDxfId="98" dataDxfId="97">
  <autoFilter ref="B23:G28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200-000001000000}" name="Leituras" dataDxfId="96"/>
    <tableColumn id="2" xr3:uid="{00000000-0010-0000-0200-000002000000}" name="440,0 nm" dataDxfId="95"/>
    <tableColumn id="3" xr3:uid="{00000000-0010-0000-0200-000003000000}" name="465,0 nm" dataDxfId="94"/>
    <tableColumn id="4" xr3:uid="{00000000-0010-0000-0200-000004000000}" name="546,1 nm" dataDxfId="93"/>
    <tableColumn id="5" xr3:uid="{00000000-0010-0000-0200-000005000000}" name="590,0 nm" dataDxfId="92"/>
    <tableColumn id="6" xr3:uid="{00000000-0010-0000-0200-000006000000}" name="635,0 nm" dataDxfId="9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Tabela6810" displayName="Tabela6810" ref="B31:G36" totalsRowShown="0" headerRowDxfId="90" dataDxfId="89">
  <autoFilter ref="B31:G36" xr:uid="{00000000-0009-0000-0100-000009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300-000001000000}" name="Leituras" dataDxfId="88"/>
    <tableColumn id="2" xr3:uid="{00000000-0010-0000-0300-000002000000}" name="440,0 nm" dataDxfId="87"/>
    <tableColumn id="3" xr3:uid="{00000000-0010-0000-0300-000003000000}" name="465,0 nm" dataDxfId="86"/>
    <tableColumn id="4" xr3:uid="{00000000-0010-0000-0300-000004000000}" name="546,1 nm" dataDxfId="85"/>
    <tableColumn id="5" xr3:uid="{00000000-0010-0000-0300-000005000000}" name="590,0 nm" dataDxfId="84"/>
    <tableColumn id="6" xr3:uid="{00000000-0010-0000-0300-000006000000}" name="635,0 nm" dataDxfId="8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Tabela611" displayName="Tabela611" ref="B27:F33" totalsRowShown="0" headerRowDxfId="34" dataDxfId="33">
  <autoFilter ref="B27:F33" xr:uid="{00000000-0009-0000-0100-00000A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400-000001000000}" name="Leituras" dataDxfId="32"/>
    <tableColumn id="2" xr3:uid="{00000000-0010-0000-0400-000002000000}" name="235,0 nm" dataDxfId="31"/>
    <tableColumn id="3" xr3:uid="{00000000-0010-0000-0400-000003000000}" name="257,0 nm" dataDxfId="30"/>
    <tableColumn id="4" xr3:uid="{00000000-0010-0000-0400-000004000000}" name="313,0 nm" dataDxfId="29"/>
    <tableColumn id="5" xr3:uid="{00000000-0010-0000-0400-000005000000}" name="350,0 nm" dataDxfId="28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5000000}" name="Tabela6812" displayName="Tabela6812" ref="B36:F41" totalsRowShown="0" headerRowDxfId="27" dataDxfId="26">
  <autoFilter ref="B36:F41" xr:uid="{00000000-0009-0000-0100-00000B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500-000001000000}" name="Leituras" dataDxfId="25"/>
    <tableColumn id="2" xr3:uid="{00000000-0010-0000-0500-000002000000}" name="235,0 nm" dataDxfId="24"/>
    <tableColumn id="3" xr3:uid="{00000000-0010-0000-0500-000003000000}" name="257,0 nm" dataDxfId="23"/>
    <tableColumn id="4" xr3:uid="{00000000-0010-0000-0500-000004000000}" name="313,0 nm" dataDxfId="22"/>
    <tableColumn id="5" xr3:uid="{00000000-0010-0000-0500-000005000000}" name="350,0 nm" dataDxfId="21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6000000}" name="Tabela681013" displayName="Tabela681013" ref="B44:F49" totalsRowShown="0" headerRowDxfId="20" dataDxfId="19">
  <autoFilter ref="B44:F49" xr:uid="{00000000-0009-0000-0100-00000C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600-000001000000}" name="Leituras" dataDxfId="18"/>
    <tableColumn id="2" xr3:uid="{00000000-0010-0000-0600-000002000000}" name="235,0 nm" dataDxfId="17"/>
    <tableColumn id="3" xr3:uid="{00000000-0010-0000-0600-000003000000}" name="257,0 nm" dataDxfId="16"/>
    <tableColumn id="4" xr3:uid="{00000000-0010-0000-0600-000004000000}" name="313,0 nm" dataDxfId="15"/>
    <tableColumn id="5" xr3:uid="{00000000-0010-0000-0600-000005000000}" name="350,0 nm" dataDxfId="14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7000000}" name="Tabela13" displayName="Tabela13" ref="B16:F20" totalsRowShown="0" headerRowDxfId="13" dataDxfId="12">
  <autoFilter ref="B16:F20" xr:uid="{00000000-0009-0000-0100-00000D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700-000001000000}" name="CK2Cr2O7 (mg/L)" dataDxfId="11"/>
    <tableColumn id="2" xr3:uid="{00000000-0010-0000-0700-000002000000}" name="mnominal (mg)" dataDxfId="10"/>
    <tableColumn id="3" xr3:uid="{00000000-0010-0000-0700-000003000000}" name="mpesada (mg)" dataDxfId="9"/>
    <tableColumn id="4" xr3:uid="{00000000-0010-0000-0700-000004000000}" name="IDBV (100 mL)" dataDxfId="8"/>
    <tableColumn id="5" xr3:uid="{00000000-0010-0000-0700-000005000000}" name="IDBV (Diluição 100-2:100 mL)" dataDxfId="7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8000000}" name="Tabela68101316" displayName="Tabela68101316" ref="B52:F57" totalsRowShown="0" headerRowDxfId="6" dataDxfId="5">
  <autoFilter ref="B52:F57" xr:uid="{00000000-0009-0000-0100-00000F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800-000001000000}" name="Leituras" dataDxfId="4"/>
    <tableColumn id="2" xr3:uid="{00000000-0010-0000-0800-000002000000}" name="235,0 nm" dataDxfId="3"/>
    <tableColumn id="3" xr3:uid="{00000000-0010-0000-0800-000003000000}" name="257,0 nm" dataDxfId="2"/>
    <tableColumn id="4" xr3:uid="{00000000-0010-0000-0800-000004000000}" name="313,0 nm" dataDxfId="1"/>
    <tableColumn id="5" xr3:uid="{00000000-0010-0000-0800-000005000000}" name="350,0 nm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6"/>
  <sheetViews>
    <sheetView workbookViewId="0">
      <selection activeCell="C4" sqref="C4"/>
    </sheetView>
  </sheetViews>
  <sheetFormatPr defaultColWidth="9.109375" defaultRowHeight="14.4" x14ac:dyDescent="0.3"/>
  <cols>
    <col min="1" max="1" width="14" style="15" customWidth="1"/>
    <col min="2" max="2" width="14" style="15" bestFit="1" customWidth="1"/>
    <col min="3" max="6" width="10.88671875" style="15" customWidth="1"/>
    <col min="7" max="7" width="18.5546875" style="15" customWidth="1"/>
    <col min="8" max="10" width="9.109375" style="15"/>
    <col min="11" max="16384" width="9.109375" style="6"/>
  </cols>
  <sheetData>
    <row r="1" spans="1:11" ht="17.399999999999999" x14ac:dyDescent="0.3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5"/>
    </row>
    <row r="3" spans="1:11" ht="15" thickBot="1" x14ac:dyDescent="0.35"/>
    <row r="4" spans="1:11" ht="15" thickBot="1" x14ac:dyDescent="0.35">
      <c r="C4" s="35"/>
      <c r="D4" s="36" t="s">
        <v>1</v>
      </c>
      <c r="E4" s="37"/>
      <c r="F4" s="35"/>
      <c r="G4" s="36" t="s">
        <v>2</v>
      </c>
      <c r="H4" s="38"/>
      <c r="I4" s="38"/>
    </row>
    <row r="6" spans="1:11" x14ac:dyDescent="0.3">
      <c r="A6" s="57" t="s">
        <v>3</v>
      </c>
      <c r="B6" s="57"/>
      <c r="C6" s="57"/>
      <c r="D6" s="57"/>
      <c r="E6" s="57"/>
      <c r="F6" s="57"/>
      <c r="G6" s="57"/>
      <c r="H6" s="7"/>
      <c r="I6" s="7"/>
      <c r="J6" s="7"/>
    </row>
    <row r="7" spans="1:11" x14ac:dyDescent="0.3">
      <c r="A7" s="11"/>
      <c r="B7" s="4"/>
      <c r="C7" s="7"/>
      <c r="D7" s="7"/>
      <c r="E7" s="7"/>
      <c r="F7" s="7"/>
      <c r="G7" s="7"/>
      <c r="H7" s="7"/>
      <c r="I7" s="7"/>
      <c r="J7" s="7"/>
    </row>
    <row r="8" spans="1:11" ht="15" thickBot="1" x14ac:dyDescent="0.35">
      <c r="A8" s="58" t="s">
        <v>7</v>
      </c>
      <c r="B8" s="58"/>
      <c r="C8" s="58"/>
      <c r="D8" s="63"/>
      <c r="E8" s="63"/>
      <c r="F8" s="63"/>
      <c r="H8" s="19" t="s">
        <v>6</v>
      </c>
      <c r="I8" s="67"/>
      <c r="J8" s="67"/>
    </row>
    <row r="9" spans="1:11" x14ac:dyDescent="0.3">
      <c r="A9" s="1"/>
      <c r="B9" s="4"/>
      <c r="E9" s="8"/>
      <c r="F9" s="8"/>
      <c r="H9" s="3"/>
      <c r="I9" s="7"/>
      <c r="J9" s="7"/>
    </row>
    <row r="10" spans="1:11" x14ac:dyDescent="0.3">
      <c r="A10" s="66" t="s">
        <v>9</v>
      </c>
      <c r="B10" s="66"/>
      <c r="C10" s="66"/>
      <c r="D10" s="66"/>
      <c r="E10" s="8"/>
      <c r="F10" s="8"/>
      <c r="H10" s="3"/>
      <c r="I10" s="7"/>
      <c r="J10" s="7"/>
    </row>
    <row r="11" spans="1:11" ht="15" thickBot="1" x14ac:dyDescent="0.35">
      <c r="A11" s="56" t="s">
        <v>8</v>
      </c>
      <c r="B11" s="56"/>
      <c r="C11" s="59"/>
      <c r="D11" s="59"/>
      <c r="E11" s="7"/>
      <c r="G11" s="19" t="s">
        <v>5</v>
      </c>
      <c r="H11" s="55"/>
      <c r="I11" s="55"/>
      <c r="J11" s="7"/>
    </row>
    <row r="12" spans="1:11" ht="15" thickBot="1" x14ac:dyDescent="0.35">
      <c r="A12" s="58" t="s">
        <v>4</v>
      </c>
      <c r="B12" s="58"/>
      <c r="C12" s="58"/>
      <c r="D12" s="58"/>
      <c r="E12" s="34"/>
      <c r="F12" s="20" t="s">
        <v>10</v>
      </c>
      <c r="G12" s="20"/>
      <c r="H12" s="20"/>
      <c r="K12" s="15"/>
    </row>
    <row r="13" spans="1:11" ht="15" thickBot="1" x14ac:dyDescent="0.35">
      <c r="A13" s="58" t="s">
        <v>36</v>
      </c>
      <c r="B13" s="58"/>
      <c r="C13" s="59"/>
      <c r="D13" s="59"/>
      <c r="F13" s="8"/>
      <c r="G13" s="9"/>
      <c r="H13" s="9"/>
      <c r="I13" s="9"/>
      <c r="J13" s="9"/>
      <c r="K13" s="9"/>
    </row>
    <row r="14" spans="1:11" x14ac:dyDescent="0.3">
      <c r="B14" s="10"/>
      <c r="C14" s="10"/>
      <c r="D14" s="4"/>
      <c r="G14" s="4"/>
      <c r="H14" s="4"/>
      <c r="I14" s="4"/>
      <c r="J14" s="4"/>
    </row>
    <row r="15" spans="1:11" x14ac:dyDescent="0.3">
      <c r="F15" s="2"/>
      <c r="G15" s="4"/>
      <c r="H15" s="4"/>
      <c r="I15" s="1"/>
      <c r="J15" s="1"/>
    </row>
    <row r="16" spans="1:11" x14ac:dyDescent="0.3">
      <c r="E16" s="7"/>
      <c r="F16" s="7"/>
      <c r="G16" s="7"/>
      <c r="H16" s="7"/>
      <c r="I16" s="7"/>
      <c r="J16" s="7"/>
    </row>
    <row r="19" spans="1:10" x14ac:dyDescent="0.3">
      <c r="E19" s="11"/>
      <c r="F19" s="11"/>
      <c r="G19" s="11"/>
    </row>
    <row r="26" spans="1:10" ht="23.25" customHeight="1" x14ac:dyDescent="0.3">
      <c r="B26" s="65" t="s">
        <v>33</v>
      </c>
      <c r="C26" s="65"/>
      <c r="D26" s="65"/>
      <c r="E26" s="65"/>
      <c r="F26" s="65"/>
      <c r="G26" s="65"/>
      <c r="H26" s="65"/>
      <c r="I26" s="65"/>
      <c r="J26" s="39"/>
    </row>
    <row r="27" spans="1:10" ht="21" customHeight="1" x14ac:dyDescent="0.3">
      <c r="A27" s="12"/>
      <c r="B27" s="65"/>
      <c r="C27" s="65"/>
      <c r="D27" s="65"/>
      <c r="E27" s="65"/>
      <c r="F27" s="65"/>
      <c r="G27" s="65"/>
      <c r="H27" s="65"/>
      <c r="I27" s="65"/>
      <c r="J27" s="39"/>
    </row>
    <row r="28" spans="1:10" ht="21" customHeight="1" x14ac:dyDescent="0.3">
      <c r="A28" s="13"/>
      <c r="B28" s="13"/>
      <c r="C28" s="13"/>
      <c r="D28" s="13"/>
      <c r="E28" s="13"/>
      <c r="F28" s="13"/>
      <c r="G28" s="13"/>
      <c r="H28" s="13"/>
      <c r="I28" s="39"/>
      <c r="J28" s="39"/>
    </row>
    <row r="29" spans="1:10" x14ac:dyDescent="0.3">
      <c r="B29" s="21" t="s">
        <v>32</v>
      </c>
      <c r="C29" s="20"/>
      <c r="D29" s="20"/>
      <c r="E29" s="20"/>
      <c r="F29" s="20"/>
    </row>
    <row r="30" spans="1:10" ht="26.4" x14ac:dyDescent="0.3">
      <c r="B30" s="22" t="s">
        <v>11</v>
      </c>
      <c r="C30" s="22" t="s">
        <v>18</v>
      </c>
      <c r="D30" s="22" t="s">
        <v>19</v>
      </c>
      <c r="E30" s="22" t="s">
        <v>20</v>
      </c>
      <c r="F30" s="23" t="s">
        <v>13</v>
      </c>
      <c r="G30" s="22" t="s">
        <v>14</v>
      </c>
    </row>
    <row r="31" spans="1:10" x14ac:dyDescent="0.3">
      <c r="B31" s="33">
        <v>279.3</v>
      </c>
      <c r="C31" s="47"/>
      <c r="D31" s="47"/>
      <c r="E31" s="47"/>
      <c r="F31" s="48" t="str">
        <f>IFERROR(AVERAGE(Tabela1[[#This Row],[Leitura A]:[Leitura C]]),"")</f>
        <v/>
      </c>
      <c r="G31" s="29" t="s">
        <v>85</v>
      </c>
    </row>
    <row r="32" spans="1:10" x14ac:dyDescent="0.3">
      <c r="B32" s="33">
        <v>360.8</v>
      </c>
      <c r="C32" s="47"/>
      <c r="D32" s="47"/>
      <c r="E32" s="47"/>
      <c r="F32" s="48" t="str">
        <f>IFERROR(AVERAGE(Tabela1[[#This Row],[Leitura A]:[Leitura C]]),"")</f>
        <v/>
      </c>
      <c r="G32" s="29" t="s">
        <v>86</v>
      </c>
    </row>
    <row r="33" spans="1:10" x14ac:dyDescent="0.3">
      <c r="B33" s="33">
        <v>453.4</v>
      </c>
      <c r="C33" s="47"/>
      <c r="D33" s="47"/>
      <c r="E33" s="47"/>
      <c r="F33" s="48" t="str">
        <f>IFERROR(AVERAGE(Tabela1[[#This Row],[Leitura A]:[Leitura C]]),"")</f>
        <v/>
      </c>
      <c r="G33" s="29" t="s">
        <v>87</v>
      </c>
    </row>
    <row r="34" spans="1:10" x14ac:dyDescent="0.3">
      <c r="B34" s="33">
        <v>536.4</v>
      </c>
      <c r="C34" s="47"/>
      <c r="D34" s="47"/>
      <c r="E34" s="47"/>
      <c r="F34" s="48" t="str">
        <f>IFERROR(AVERAGE(Tabela1[[#This Row],[Leitura A]:[Leitura C]]),"")</f>
        <v/>
      </c>
      <c r="G34" s="29" t="s">
        <v>88</v>
      </c>
    </row>
    <row r="35" spans="1:10" x14ac:dyDescent="0.3">
      <c r="B35" s="33">
        <v>637.5</v>
      </c>
      <c r="C35" s="47"/>
      <c r="D35" s="47"/>
      <c r="E35" s="47"/>
      <c r="F35" s="48" t="str">
        <f>IFERROR(AVERAGE(Tabela1[[#This Row],[Leitura A]:[Leitura C]]),"")</f>
        <v/>
      </c>
      <c r="G35" s="29" t="s">
        <v>89</v>
      </c>
    </row>
    <row r="38" spans="1:10" x14ac:dyDescent="0.3">
      <c r="A38" s="25" t="s">
        <v>21</v>
      </c>
    </row>
    <row r="40" spans="1:10" ht="15" thickBot="1" x14ac:dyDescent="0.35">
      <c r="A40" s="56" t="s">
        <v>22</v>
      </c>
      <c r="B40" s="56"/>
      <c r="C40" s="16"/>
      <c r="D40" s="20" t="s">
        <v>23</v>
      </c>
    </row>
    <row r="41" spans="1:10" ht="15" thickBot="1" x14ac:dyDescent="0.35">
      <c r="A41" s="56" t="s">
        <v>24</v>
      </c>
      <c r="B41" s="56"/>
      <c r="C41" s="17"/>
      <c r="D41" s="20" t="s">
        <v>25</v>
      </c>
    </row>
    <row r="42" spans="1:10" ht="15" thickBot="1" x14ac:dyDescent="0.35">
      <c r="A42" s="56" t="s">
        <v>26</v>
      </c>
      <c r="B42" s="56"/>
      <c r="C42" s="18"/>
      <c r="D42" s="20" t="s">
        <v>27</v>
      </c>
    </row>
    <row r="43" spans="1:10" ht="15" thickBot="1" x14ac:dyDescent="0.35">
      <c r="A43" s="56" t="s">
        <v>28</v>
      </c>
      <c r="B43" s="56"/>
      <c r="C43" s="18"/>
      <c r="D43" s="20" t="s">
        <v>23</v>
      </c>
    </row>
    <row r="44" spans="1:10" ht="15" thickBot="1" x14ac:dyDescent="0.35"/>
    <row r="45" spans="1:10" ht="15" thickBot="1" x14ac:dyDescent="0.35">
      <c r="C45" s="40"/>
      <c r="D45" s="26" t="s">
        <v>29</v>
      </c>
      <c r="F45" s="41"/>
      <c r="G45" s="26" t="s">
        <v>30</v>
      </c>
    </row>
    <row r="48" spans="1:10" ht="15" thickBot="1" x14ac:dyDescent="0.35">
      <c r="A48" s="56" t="s">
        <v>34</v>
      </c>
      <c r="B48" s="56"/>
      <c r="C48" s="56"/>
      <c r="D48" s="56"/>
      <c r="E48" s="56"/>
      <c r="F48" s="56"/>
      <c r="G48" s="63"/>
      <c r="H48" s="63"/>
      <c r="I48" s="63"/>
      <c r="J48" s="63"/>
    </row>
    <row r="50" spans="1:10" x14ac:dyDescent="0.3">
      <c r="A50" s="25" t="s">
        <v>31</v>
      </c>
      <c r="B50" s="54"/>
      <c r="C50" s="54"/>
      <c r="D50" s="54"/>
      <c r="E50" s="54"/>
      <c r="F50" s="54"/>
      <c r="G50" s="54"/>
      <c r="H50" s="54"/>
      <c r="I50" s="54"/>
      <c r="J50" s="54"/>
    </row>
    <row r="51" spans="1:10" x14ac:dyDescent="0.3">
      <c r="A51" s="54"/>
      <c r="B51" s="54"/>
      <c r="C51" s="54"/>
      <c r="D51" s="54"/>
      <c r="E51" s="54"/>
      <c r="F51" s="54"/>
      <c r="G51" s="54"/>
      <c r="H51" s="54"/>
      <c r="I51" s="54"/>
      <c r="J51" s="54"/>
    </row>
    <row r="52" spans="1:10" x14ac:dyDescent="0.3">
      <c r="A52" s="64"/>
      <c r="B52" s="64"/>
      <c r="C52" s="64"/>
      <c r="D52" s="64"/>
      <c r="E52" s="64"/>
      <c r="F52" s="64"/>
      <c r="G52" s="64"/>
      <c r="H52" s="64"/>
      <c r="I52" s="64"/>
      <c r="J52" s="64"/>
    </row>
    <row r="53" spans="1:10" x14ac:dyDescent="0.3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spans="1:10" x14ac:dyDescent="0.3">
      <c r="A54" s="9"/>
      <c r="B54" s="9"/>
      <c r="C54" s="9"/>
      <c r="D54" s="9"/>
      <c r="E54" s="9"/>
      <c r="F54" s="9"/>
      <c r="G54" s="9"/>
      <c r="H54" s="9"/>
      <c r="I54" s="9"/>
      <c r="J54" s="9"/>
    </row>
    <row r="56" spans="1:10" x14ac:dyDescent="0.3">
      <c r="A56" s="62" t="s">
        <v>106</v>
      </c>
      <c r="B56" s="62"/>
      <c r="C56" s="62"/>
      <c r="D56" s="62"/>
      <c r="E56" s="62"/>
      <c r="F56" s="62"/>
      <c r="G56" s="62"/>
      <c r="H56" s="62"/>
      <c r="I56" s="62"/>
      <c r="J56" s="62"/>
    </row>
  </sheetData>
  <sheetProtection algorithmName="SHA-512" hashValue="fckLVUgLI+VtUzEQt0tKs43PEt+837hYDXHVcbOUPDqVpUh1PX+i9VjE4N3NM9ph6bfVBXIvPsCIAUy3va1H/w==" saltValue="W/AAdsTU3PTrBnislPIi1A==" spinCount="100000" sheet="1" objects="1" scenarios="1"/>
  <mergeCells count="23">
    <mergeCell ref="A1:J1"/>
    <mergeCell ref="A56:J56"/>
    <mergeCell ref="A40:B40"/>
    <mergeCell ref="A41:B41"/>
    <mergeCell ref="A42:B42"/>
    <mergeCell ref="A43:B43"/>
    <mergeCell ref="G48:J48"/>
    <mergeCell ref="A48:F48"/>
    <mergeCell ref="A52:J52"/>
    <mergeCell ref="B26:I27"/>
    <mergeCell ref="D8:F8"/>
    <mergeCell ref="A8:C8"/>
    <mergeCell ref="A10:D10"/>
    <mergeCell ref="A12:D12"/>
    <mergeCell ref="I8:J8"/>
    <mergeCell ref="C11:D11"/>
    <mergeCell ref="B50:J50"/>
    <mergeCell ref="A51:J51"/>
    <mergeCell ref="H11:I11"/>
    <mergeCell ref="A11:B11"/>
    <mergeCell ref="A6:G6"/>
    <mergeCell ref="A13:B13"/>
    <mergeCell ref="C13:D13"/>
  </mergeCells>
  <conditionalFormatting sqref="F31">
    <cfRule type="cellIs" dxfId="176" priority="10" operator="greaterThan">
      <formula>281.3</formula>
    </cfRule>
    <cfRule type="cellIs" dxfId="175" priority="11" stopIfTrue="1" operator="lessThan">
      <formula>277.3</formula>
    </cfRule>
    <cfRule type="cellIs" dxfId="174" priority="18" stopIfTrue="1" operator="between">
      <formula>277.3</formula>
      <formula>281.3</formula>
    </cfRule>
  </conditionalFormatting>
  <conditionalFormatting sqref="F32">
    <cfRule type="cellIs" dxfId="173" priority="8" operator="greaterThan">
      <formula>362.8</formula>
    </cfRule>
    <cfRule type="cellIs" dxfId="172" priority="9" operator="lessThan">
      <formula>358.8</formula>
    </cfRule>
    <cfRule type="cellIs" dxfId="171" priority="17" operator="between">
      <formula>358.8</formula>
      <formula>362.8</formula>
    </cfRule>
  </conditionalFormatting>
  <conditionalFormatting sqref="F33">
    <cfRule type="cellIs" dxfId="170" priority="6" operator="greaterThan">
      <formula>455.4</formula>
    </cfRule>
    <cfRule type="cellIs" dxfId="169" priority="7" operator="lessThan">
      <formula>451.4</formula>
    </cfRule>
    <cfRule type="cellIs" dxfId="168" priority="15" operator="between">
      <formula>451.4</formula>
      <formula>455.4</formula>
    </cfRule>
  </conditionalFormatting>
  <conditionalFormatting sqref="F34">
    <cfRule type="cellIs" dxfId="167" priority="4" operator="greaterThan">
      <formula>538.4</formula>
    </cfRule>
    <cfRule type="cellIs" dxfId="166" priority="5" operator="lessThan">
      <formula>534.4</formula>
    </cfRule>
    <cfRule type="cellIs" dxfId="165" priority="14" operator="between">
      <formula>534.4</formula>
      <formula>538.4</formula>
    </cfRule>
  </conditionalFormatting>
  <conditionalFormatting sqref="F35">
    <cfRule type="cellIs" dxfId="164" priority="2" operator="greaterThan">
      <formula>639.5</formula>
    </cfRule>
    <cfRule type="cellIs" dxfId="163" priority="3" operator="lessThan">
      <formula>635.5</formula>
    </cfRule>
    <cfRule type="cellIs" dxfId="162" priority="13" operator="between">
      <formula>635.5</formula>
      <formula>639.5</formula>
    </cfRule>
  </conditionalFormatting>
  <pageMargins left="0.51181102362204722" right="0.51181102362204722" top="0.78740157480314965" bottom="0.78740157480314965" header="0.31496062992125984" footer="0.31496062992125984"/>
  <pageSetup paperSize="9" scale="78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03"/>
  <sheetViews>
    <sheetView workbookViewId="0">
      <selection activeCell="F35" sqref="F35"/>
    </sheetView>
  </sheetViews>
  <sheetFormatPr defaultColWidth="9.109375" defaultRowHeight="14.4" x14ac:dyDescent="0.3"/>
  <cols>
    <col min="1" max="1" width="14" style="6" customWidth="1"/>
    <col min="2" max="2" width="14" style="6" bestFit="1" customWidth="1"/>
    <col min="3" max="7" width="11.5546875" style="6" customWidth="1"/>
    <col min="8" max="16384" width="9.109375" style="6"/>
  </cols>
  <sheetData>
    <row r="1" spans="1:11" ht="17.399999999999999" x14ac:dyDescent="0.3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5"/>
    </row>
    <row r="3" spans="1:1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1" x14ac:dyDescent="0.3">
      <c r="A4" s="57" t="s">
        <v>35</v>
      </c>
      <c r="B4" s="57"/>
      <c r="C4" s="57"/>
      <c r="D4" s="57"/>
      <c r="E4" s="57"/>
      <c r="F4" s="57"/>
      <c r="G4" s="57"/>
      <c r="H4" s="7"/>
      <c r="I4" s="7"/>
      <c r="J4" s="7"/>
    </row>
    <row r="5" spans="1:11" x14ac:dyDescent="0.3">
      <c r="A5" s="11"/>
      <c r="B5" s="4"/>
      <c r="C5" s="7"/>
      <c r="D5" s="7"/>
      <c r="E5" s="7"/>
      <c r="F5" s="7"/>
      <c r="G5" s="7"/>
      <c r="H5" s="7"/>
      <c r="I5" s="7"/>
      <c r="J5" s="7"/>
    </row>
    <row r="6" spans="1:11" ht="15" thickBot="1" x14ac:dyDescent="0.35">
      <c r="A6" s="58" t="s">
        <v>7</v>
      </c>
      <c r="B6" s="58"/>
      <c r="C6" s="58"/>
      <c r="D6" s="63"/>
      <c r="E6" s="63"/>
      <c r="F6" s="63"/>
      <c r="G6" s="15"/>
      <c r="H6" s="19" t="s">
        <v>6</v>
      </c>
      <c r="I6" s="67"/>
      <c r="J6" s="67"/>
    </row>
    <row r="7" spans="1:11" x14ac:dyDescent="0.3">
      <c r="A7" s="1"/>
      <c r="B7" s="4"/>
      <c r="C7" s="15"/>
      <c r="D7" s="15"/>
      <c r="E7" s="8"/>
      <c r="F7" s="8"/>
      <c r="G7" s="15"/>
      <c r="H7" s="3"/>
      <c r="I7" s="7"/>
      <c r="J7" s="7"/>
    </row>
    <row r="8" spans="1:11" x14ac:dyDescent="0.3">
      <c r="A8" s="66" t="s">
        <v>9</v>
      </c>
      <c r="B8" s="66"/>
      <c r="C8" s="66"/>
      <c r="D8" s="66"/>
      <c r="E8" s="8"/>
      <c r="F8" s="8"/>
      <c r="G8" s="15"/>
      <c r="H8" s="3"/>
      <c r="I8" s="7"/>
      <c r="J8" s="7"/>
    </row>
    <row r="9" spans="1:11" ht="15" thickBot="1" x14ac:dyDescent="0.35">
      <c r="A9" s="56" t="s">
        <v>8</v>
      </c>
      <c r="B9" s="56"/>
      <c r="C9" s="59"/>
      <c r="D9" s="59"/>
      <c r="E9" s="7"/>
      <c r="F9" s="68" t="s">
        <v>5</v>
      </c>
      <c r="G9" s="68"/>
      <c r="H9" s="55"/>
      <c r="I9" s="55"/>
      <c r="J9" s="7"/>
    </row>
    <row r="10" spans="1:11" ht="15" thickBot="1" x14ac:dyDescent="0.35">
      <c r="A10" s="58" t="s">
        <v>4</v>
      </c>
      <c r="B10" s="58"/>
      <c r="C10" s="58"/>
      <c r="D10" s="58"/>
      <c r="E10" s="34"/>
      <c r="F10" s="20" t="s">
        <v>10</v>
      </c>
      <c r="G10" s="20"/>
      <c r="H10" s="20"/>
      <c r="I10" s="20"/>
      <c r="J10" s="15"/>
      <c r="K10" s="15"/>
    </row>
    <row r="11" spans="1:11" ht="15" thickBot="1" x14ac:dyDescent="0.35">
      <c r="A11" s="58" t="s">
        <v>90</v>
      </c>
      <c r="B11" s="58"/>
      <c r="C11" s="59"/>
      <c r="D11" s="59"/>
      <c r="E11" s="15"/>
      <c r="F11" s="8"/>
      <c r="G11" s="9"/>
      <c r="H11" s="9"/>
      <c r="I11" s="9"/>
      <c r="J11" s="9"/>
      <c r="K11" s="9"/>
    </row>
    <row r="12" spans="1:11" x14ac:dyDescent="0.3">
      <c r="A12" s="15"/>
      <c r="B12" s="15"/>
      <c r="C12" s="15"/>
      <c r="D12" s="15"/>
      <c r="E12" s="7"/>
      <c r="F12" s="7"/>
      <c r="G12" s="7"/>
      <c r="H12" s="7"/>
      <c r="I12" s="7"/>
      <c r="J12" s="7"/>
    </row>
    <row r="13" spans="1:11" ht="13.5" customHeight="1" x14ac:dyDescent="0.3">
      <c r="A13" s="13"/>
      <c r="B13" s="13"/>
      <c r="C13" s="13"/>
      <c r="D13" s="13"/>
      <c r="E13" s="13"/>
      <c r="F13" s="13"/>
      <c r="G13" s="13"/>
      <c r="H13" s="13"/>
      <c r="I13" s="39"/>
      <c r="J13" s="39"/>
    </row>
    <row r="14" spans="1:11" x14ac:dyDescent="0.3">
      <c r="A14" s="15"/>
      <c r="B14" s="21" t="s">
        <v>42</v>
      </c>
      <c r="C14" s="20"/>
      <c r="D14" s="20"/>
      <c r="E14" s="20"/>
      <c r="F14" s="15"/>
      <c r="G14" s="15"/>
      <c r="H14" s="15"/>
      <c r="I14" s="15"/>
      <c r="J14" s="15"/>
    </row>
    <row r="15" spans="1:11" x14ac:dyDescent="0.3">
      <c r="A15" s="15"/>
      <c r="B15" s="28" t="s">
        <v>12</v>
      </c>
      <c r="C15" s="24" t="s">
        <v>37</v>
      </c>
      <c r="D15" s="24" t="s">
        <v>38</v>
      </c>
      <c r="E15" s="24" t="s">
        <v>39</v>
      </c>
      <c r="F15" s="24" t="s">
        <v>40</v>
      </c>
      <c r="G15" s="24" t="s">
        <v>41</v>
      </c>
      <c r="H15" s="15"/>
      <c r="I15" s="15"/>
      <c r="J15" s="15"/>
    </row>
    <row r="16" spans="1:11" s="51" customFormat="1" x14ac:dyDescent="0.3">
      <c r="A16" s="49"/>
      <c r="B16" s="29" t="s">
        <v>15</v>
      </c>
      <c r="C16" s="50"/>
      <c r="D16" s="50"/>
      <c r="E16" s="50"/>
      <c r="F16" s="50"/>
      <c r="G16" s="50"/>
      <c r="H16" s="49"/>
      <c r="I16" s="49"/>
      <c r="J16" s="49"/>
    </row>
    <row r="17" spans="1:10" s="51" customFormat="1" x14ac:dyDescent="0.3">
      <c r="A17" s="49"/>
      <c r="B17" s="29" t="s">
        <v>16</v>
      </c>
      <c r="C17" s="50"/>
      <c r="D17" s="50"/>
      <c r="E17" s="50"/>
      <c r="F17" s="50"/>
      <c r="G17" s="50"/>
      <c r="H17" s="49"/>
      <c r="I17" s="49"/>
      <c r="J17" s="49"/>
    </row>
    <row r="18" spans="1:10" s="51" customFormat="1" x14ac:dyDescent="0.3">
      <c r="A18" s="49"/>
      <c r="B18" s="29" t="s">
        <v>17</v>
      </c>
      <c r="C18" s="50"/>
      <c r="D18" s="50"/>
      <c r="E18" s="50"/>
      <c r="F18" s="50"/>
      <c r="G18" s="50"/>
      <c r="H18" s="49"/>
      <c r="I18" s="49"/>
      <c r="J18" s="49"/>
    </row>
    <row r="19" spans="1:10" s="51" customFormat="1" x14ac:dyDescent="0.3">
      <c r="A19" s="49"/>
      <c r="B19" s="29" t="s">
        <v>13</v>
      </c>
      <c r="C19" s="52" t="str">
        <f>IFERROR(AVERAGE(C16:C18),"")</f>
        <v/>
      </c>
      <c r="D19" s="52" t="str">
        <f>IFERROR(AVERAGE(D16:D18),"")</f>
        <v/>
      </c>
      <c r="E19" s="52" t="str">
        <f>IFERROR(AVERAGE(E16:E18),"")</f>
        <v/>
      </c>
      <c r="F19" s="52" t="str">
        <f>IFERROR(AVERAGE(F16:F18),"")</f>
        <v/>
      </c>
      <c r="G19" s="52" t="str">
        <f>IFERROR(AVERAGE(G16:G18),"")</f>
        <v/>
      </c>
      <c r="H19" s="49"/>
      <c r="I19" s="49"/>
      <c r="J19" s="49"/>
    </row>
    <row r="20" spans="1:10" s="51" customFormat="1" x14ac:dyDescent="0.3">
      <c r="A20" s="49"/>
      <c r="B20" s="29" t="s">
        <v>14</v>
      </c>
      <c r="C20" s="29" t="s">
        <v>92</v>
      </c>
      <c r="D20" s="29" t="s">
        <v>93</v>
      </c>
      <c r="E20" s="29" t="s">
        <v>94</v>
      </c>
      <c r="F20" s="29" t="s">
        <v>95</v>
      </c>
      <c r="G20" s="29" t="s">
        <v>96</v>
      </c>
      <c r="H20" s="49"/>
      <c r="I20" s="49"/>
      <c r="J20" s="49"/>
    </row>
    <row r="21" spans="1:10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 spans="1:10" x14ac:dyDescent="0.3">
      <c r="A22" s="15"/>
      <c r="B22" s="21" t="s">
        <v>43</v>
      </c>
      <c r="C22" s="20"/>
      <c r="D22" s="20"/>
      <c r="E22" s="20"/>
      <c r="F22" s="15"/>
      <c r="G22" s="15"/>
      <c r="H22" s="15"/>
      <c r="I22" s="15"/>
      <c r="J22" s="15"/>
    </row>
    <row r="23" spans="1:10" x14ac:dyDescent="0.3">
      <c r="A23" s="15"/>
      <c r="B23" s="28" t="s">
        <v>12</v>
      </c>
      <c r="C23" s="24" t="s">
        <v>37</v>
      </c>
      <c r="D23" s="24" t="s">
        <v>38</v>
      </c>
      <c r="E23" s="24" t="s">
        <v>39</v>
      </c>
      <c r="F23" s="24" t="s">
        <v>40</v>
      </c>
      <c r="G23" s="24" t="s">
        <v>41</v>
      </c>
      <c r="H23" s="15"/>
      <c r="I23" s="15"/>
      <c r="J23" s="15"/>
    </row>
    <row r="24" spans="1:10" s="51" customFormat="1" x14ac:dyDescent="0.3">
      <c r="A24" s="49"/>
      <c r="B24" s="29" t="s">
        <v>15</v>
      </c>
      <c r="C24" s="50"/>
      <c r="D24" s="50"/>
      <c r="E24" s="50"/>
      <c r="F24" s="50"/>
      <c r="G24" s="50"/>
      <c r="H24" s="49"/>
      <c r="I24" s="49"/>
      <c r="J24" s="49"/>
    </row>
    <row r="25" spans="1:10" s="51" customFormat="1" x14ac:dyDescent="0.3">
      <c r="A25" s="49"/>
      <c r="B25" s="29" t="s">
        <v>16</v>
      </c>
      <c r="C25" s="50"/>
      <c r="D25" s="50"/>
      <c r="E25" s="50"/>
      <c r="F25" s="50"/>
      <c r="G25" s="50"/>
      <c r="H25" s="49"/>
      <c r="I25" s="49"/>
      <c r="J25" s="49"/>
    </row>
    <row r="26" spans="1:10" s="51" customFormat="1" x14ac:dyDescent="0.3">
      <c r="A26" s="49"/>
      <c r="B26" s="29" t="s">
        <v>17</v>
      </c>
      <c r="C26" s="50"/>
      <c r="D26" s="50"/>
      <c r="E26" s="50"/>
      <c r="F26" s="50"/>
      <c r="G26" s="50"/>
      <c r="H26" s="49"/>
      <c r="I26" s="49"/>
      <c r="J26" s="49"/>
    </row>
    <row r="27" spans="1:10" s="51" customFormat="1" x14ac:dyDescent="0.3">
      <c r="A27" s="49"/>
      <c r="B27" s="29" t="s">
        <v>13</v>
      </c>
      <c r="C27" s="52" t="str">
        <f>IFERROR(AVERAGE(C24:C26),"")</f>
        <v/>
      </c>
      <c r="D27" s="52" t="str">
        <f>IFERROR(AVERAGE(D24:D26),"")</f>
        <v/>
      </c>
      <c r="E27" s="52" t="str">
        <f>IFERROR(AVERAGE(E24:E26),"")</f>
        <v/>
      </c>
      <c r="F27" s="52" t="str">
        <f>IFERROR(AVERAGE(F24:F26),"")</f>
        <v/>
      </c>
      <c r="G27" s="52" t="str">
        <f>IFERROR(AVERAGE(G24:G26),"")</f>
        <v/>
      </c>
      <c r="H27" s="49"/>
      <c r="I27" s="49"/>
      <c r="J27" s="49"/>
    </row>
    <row r="28" spans="1:10" s="51" customFormat="1" x14ac:dyDescent="0.3">
      <c r="A28" s="49"/>
      <c r="B28" s="29" t="s">
        <v>14</v>
      </c>
      <c r="C28" s="29" t="s">
        <v>97</v>
      </c>
      <c r="D28" s="29" t="s">
        <v>98</v>
      </c>
      <c r="E28" s="29" t="s">
        <v>99</v>
      </c>
      <c r="F28" s="29" t="s">
        <v>100</v>
      </c>
      <c r="G28" s="29" t="s">
        <v>91</v>
      </c>
      <c r="H28" s="49"/>
      <c r="I28" s="49"/>
      <c r="J28" s="49"/>
    </row>
    <row r="29" spans="1:10" x14ac:dyDescent="0.3">
      <c r="A29" s="15"/>
      <c r="B29" s="27"/>
      <c r="C29" s="42"/>
      <c r="D29" s="42"/>
      <c r="E29" s="42"/>
      <c r="F29" s="42"/>
      <c r="G29" s="42"/>
      <c r="H29" s="15"/>
      <c r="I29" s="15"/>
      <c r="J29" s="15"/>
    </row>
    <row r="30" spans="1:10" x14ac:dyDescent="0.3">
      <c r="A30" s="15"/>
      <c r="B30" s="21" t="s">
        <v>44</v>
      </c>
      <c r="C30" s="20"/>
      <c r="D30" s="20"/>
      <c r="E30" s="20"/>
      <c r="F30" s="15"/>
      <c r="G30" s="15"/>
      <c r="H30" s="15"/>
      <c r="I30" s="15"/>
      <c r="J30" s="15"/>
    </row>
    <row r="31" spans="1:10" x14ac:dyDescent="0.3">
      <c r="A31" s="15"/>
      <c r="B31" s="28" t="s">
        <v>12</v>
      </c>
      <c r="C31" s="24" t="s">
        <v>37</v>
      </c>
      <c r="D31" s="24" t="s">
        <v>38</v>
      </c>
      <c r="E31" s="24" t="s">
        <v>39</v>
      </c>
      <c r="F31" s="24" t="s">
        <v>40</v>
      </c>
      <c r="G31" s="24" t="s">
        <v>41</v>
      </c>
      <c r="H31" s="15"/>
      <c r="I31" s="15"/>
      <c r="J31" s="15"/>
    </row>
    <row r="32" spans="1:10" s="51" customFormat="1" x14ac:dyDescent="0.3">
      <c r="A32" s="49"/>
      <c r="B32" s="29" t="s">
        <v>15</v>
      </c>
      <c r="C32" s="50"/>
      <c r="D32" s="50"/>
      <c r="E32" s="50"/>
      <c r="F32" s="50"/>
      <c r="G32" s="50"/>
      <c r="H32" s="49"/>
      <c r="I32" s="49"/>
      <c r="J32" s="49"/>
    </row>
    <row r="33" spans="1:10" s="51" customFormat="1" x14ac:dyDescent="0.3">
      <c r="A33" s="49"/>
      <c r="B33" s="29" t="s">
        <v>16</v>
      </c>
      <c r="C33" s="50"/>
      <c r="D33" s="50"/>
      <c r="E33" s="50"/>
      <c r="F33" s="50"/>
      <c r="G33" s="50"/>
      <c r="H33" s="49"/>
      <c r="I33" s="49"/>
      <c r="J33" s="49"/>
    </row>
    <row r="34" spans="1:10" s="51" customFormat="1" x14ac:dyDescent="0.3">
      <c r="A34" s="49"/>
      <c r="B34" s="29" t="s">
        <v>17</v>
      </c>
      <c r="C34" s="50"/>
      <c r="D34" s="50"/>
      <c r="E34" s="50"/>
      <c r="F34" s="50"/>
      <c r="G34" s="50"/>
      <c r="H34" s="49"/>
      <c r="I34" s="49"/>
      <c r="J34" s="49"/>
    </row>
    <row r="35" spans="1:10" s="51" customFormat="1" x14ac:dyDescent="0.3">
      <c r="A35" s="49"/>
      <c r="B35" s="29" t="s">
        <v>13</v>
      </c>
      <c r="C35" s="52" t="str">
        <f>IFERROR(AVERAGE(C32:C34),"")</f>
        <v/>
      </c>
      <c r="D35" s="52" t="str">
        <f>IFERROR(AVERAGE(D32:D34),"")</f>
        <v/>
      </c>
      <c r="E35" s="52" t="str">
        <f>IFERROR(AVERAGE(E32:E34),"")</f>
        <v/>
      </c>
      <c r="F35" s="52" t="str">
        <f>IFERROR(AVERAGE(F32:F34),"")</f>
        <v/>
      </c>
      <c r="G35" s="52" t="str">
        <f>IFERROR(AVERAGE(G32:G34),"")</f>
        <v/>
      </c>
      <c r="H35" s="49"/>
      <c r="I35" s="49"/>
      <c r="J35" s="49"/>
    </row>
    <row r="36" spans="1:10" s="51" customFormat="1" x14ac:dyDescent="0.3">
      <c r="A36" s="49"/>
      <c r="B36" s="29" t="s">
        <v>14</v>
      </c>
      <c r="C36" s="29" t="s">
        <v>101</v>
      </c>
      <c r="D36" s="29" t="s">
        <v>102</v>
      </c>
      <c r="E36" s="29" t="s">
        <v>103</v>
      </c>
      <c r="F36" s="29" t="s">
        <v>104</v>
      </c>
      <c r="G36" s="29" t="s">
        <v>105</v>
      </c>
      <c r="H36" s="49"/>
      <c r="I36" s="49"/>
      <c r="J36" s="49"/>
    </row>
    <row r="37" spans="1:10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spans="1:10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spans="1:10" x14ac:dyDescent="0.3">
      <c r="A39" s="25" t="s">
        <v>21</v>
      </c>
      <c r="B39" s="20"/>
      <c r="C39" s="15"/>
      <c r="D39" s="15"/>
      <c r="E39" s="15"/>
      <c r="F39" s="15"/>
      <c r="G39" s="15"/>
      <c r="H39" s="15"/>
      <c r="I39" s="15"/>
      <c r="J39" s="15"/>
    </row>
    <row r="40" spans="1:10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spans="1:10" ht="15" thickBot="1" x14ac:dyDescent="0.35">
      <c r="A41" s="56" t="s">
        <v>22</v>
      </c>
      <c r="B41" s="56"/>
      <c r="C41" s="16"/>
      <c r="D41" s="20" t="s">
        <v>23</v>
      </c>
      <c r="E41" s="15"/>
      <c r="F41" s="15"/>
      <c r="G41" s="15"/>
      <c r="H41" s="15"/>
      <c r="I41" s="15"/>
      <c r="J41" s="15"/>
    </row>
    <row r="42" spans="1:10" ht="15" thickBot="1" x14ac:dyDescent="0.35">
      <c r="A42" s="56" t="s">
        <v>24</v>
      </c>
      <c r="B42" s="56"/>
      <c r="C42" s="17"/>
      <c r="D42" s="20" t="s">
        <v>25</v>
      </c>
      <c r="E42" s="15"/>
      <c r="F42" s="15"/>
      <c r="G42" s="15"/>
      <c r="H42" s="15"/>
      <c r="I42" s="15"/>
      <c r="J42" s="15"/>
    </row>
    <row r="43" spans="1:10" ht="15" thickBot="1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 spans="1:10" ht="15" thickBot="1" x14ac:dyDescent="0.35">
      <c r="A44" s="15"/>
      <c r="B44" s="15"/>
      <c r="C44" s="40"/>
      <c r="D44" s="26" t="s">
        <v>29</v>
      </c>
      <c r="E44" s="15"/>
      <c r="F44" s="41"/>
      <c r="G44" s="26" t="s">
        <v>30</v>
      </c>
      <c r="H44" s="15"/>
      <c r="I44" s="15"/>
      <c r="J44" s="15"/>
    </row>
    <row r="45" spans="1:10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spans="1:10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spans="1:10" ht="15" thickBot="1" x14ac:dyDescent="0.35">
      <c r="A47" s="56" t="s">
        <v>34</v>
      </c>
      <c r="B47" s="56"/>
      <c r="C47" s="56"/>
      <c r="D47" s="56"/>
      <c r="E47" s="56"/>
      <c r="F47" s="56"/>
      <c r="G47" s="63"/>
      <c r="H47" s="63"/>
      <c r="I47" s="63"/>
      <c r="J47" s="63"/>
    </row>
    <row r="48" spans="1:10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spans="1:10" x14ac:dyDescent="0.3">
      <c r="A49" s="25" t="s">
        <v>31</v>
      </c>
      <c r="B49" s="54"/>
      <c r="C49" s="54"/>
      <c r="D49" s="54"/>
      <c r="E49" s="54"/>
      <c r="F49" s="54"/>
      <c r="G49" s="54"/>
      <c r="H49" s="54"/>
      <c r="I49" s="54"/>
      <c r="J49" s="54"/>
    </row>
    <row r="50" spans="1:10" x14ac:dyDescent="0.3">
      <c r="A50" s="54"/>
      <c r="B50" s="54"/>
      <c r="C50" s="54"/>
      <c r="D50" s="54"/>
      <c r="E50" s="54"/>
      <c r="F50" s="54"/>
      <c r="G50" s="54"/>
      <c r="H50" s="54"/>
      <c r="I50" s="54"/>
      <c r="J50" s="54"/>
    </row>
    <row r="51" spans="1:10" x14ac:dyDescent="0.3">
      <c r="A51" s="64"/>
      <c r="B51" s="64"/>
      <c r="C51" s="64"/>
      <c r="D51" s="64"/>
      <c r="E51" s="64"/>
      <c r="F51" s="64"/>
      <c r="G51" s="64"/>
      <c r="H51" s="64"/>
      <c r="I51" s="64"/>
      <c r="J51" s="64"/>
    </row>
    <row r="52" spans="1:10" x14ac:dyDescent="0.3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0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 spans="1:10" x14ac:dyDescent="0.3">
      <c r="A54" s="62" t="s">
        <v>107</v>
      </c>
      <c r="B54" s="62"/>
      <c r="C54" s="62"/>
      <c r="D54" s="62"/>
      <c r="E54" s="62"/>
      <c r="F54" s="62"/>
      <c r="G54" s="62"/>
      <c r="H54" s="62"/>
      <c r="I54" s="62"/>
      <c r="J54" s="62"/>
    </row>
    <row r="55" spans="1:10" x14ac:dyDescent="0.3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 spans="1:10" x14ac:dyDescent="0.3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 spans="1:10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spans="1:10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 spans="1:10" x14ac:dyDescent="0.3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spans="1:10" x14ac:dyDescent="0.3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spans="1:10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 spans="1:10" x14ac:dyDescent="0.3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spans="1:10" x14ac:dyDescent="0.3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spans="1:10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 spans="1:10" x14ac:dyDescent="0.3">
      <c r="A65" s="15"/>
      <c r="B65" s="15"/>
      <c r="C65" s="15"/>
      <c r="D65" s="15"/>
      <c r="E65" s="15"/>
      <c r="F65" s="15"/>
      <c r="G65" s="15"/>
      <c r="H65" s="15"/>
      <c r="I65" s="15"/>
      <c r="J65" s="15"/>
    </row>
    <row r="66" spans="1:10" x14ac:dyDescent="0.3">
      <c r="A66" s="15"/>
      <c r="B66" s="15"/>
      <c r="C66" s="15"/>
      <c r="D66" s="15"/>
      <c r="E66" s="15"/>
      <c r="F66" s="15"/>
      <c r="G66" s="15"/>
      <c r="H66" s="15"/>
      <c r="I66" s="15"/>
      <c r="J66" s="15"/>
    </row>
    <row r="67" spans="1:10" x14ac:dyDescent="0.3">
      <c r="A67" s="15"/>
      <c r="B67" s="15"/>
      <c r="C67" s="15"/>
      <c r="D67" s="15"/>
      <c r="E67" s="15"/>
      <c r="F67" s="15"/>
      <c r="G67" s="15"/>
      <c r="H67" s="15"/>
      <c r="I67" s="15"/>
      <c r="J67" s="15"/>
    </row>
    <row r="68" spans="1:10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</row>
    <row r="69" spans="1:10" x14ac:dyDescent="0.3">
      <c r="A69" s="15"/>
      <c r="B69" s="15"/>
      <c r="C69" s="15"/>
      <c r="D69" s="15"/>
      <c r="E69" s="15"/>
      <c r="F69" s="15"/>
      <c r="G69" s="15"/>
      <c r="H69" s="15"/>
      <c r="I69" s="15"/>
      <c r="J69" s="15"/>
    </row>
    <row r="70" spans="1:10" x14ac:dyDescent="0.3">
      <c r="A70" s="15"/>
      <c r="B70" s="15"/>
      <c r="C70" s="15"/>
      <c r="D70" s="15"/>
      <c r="E70" s="15"/>
      <c r="F70" s="15"/>
      <c r="G70" s="15"/>
      <c r="H70" s="15"/>
      <c r="I70" s="15"/>
      <c r="J70" s="15"/>
    </row>
    <row r="71" spans="1:10" x14ac:dyDescent="0.3">
      <c r="A71" s="15"/>
      <c r="B71" s="15"/>
      <c r="C71" s="15"/>
      <c r="D71" s="15"/>
      <c r="E71" s="15"/>
      <c r="F71" s="15"/>
      <c r="G71" s="15"/>
      <c r="H71" s="15"/>
      <c r="I71" s="15"/>
      <c r="J71" s="15"/>
    </row>
    <row r="72" spans="1:10" x14ac:dyDescent="0.3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 spans="1:10" x14ac:dyDescent="0.3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 spans="1:10" x14ac:dyDescent="0.3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0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</row>
    <row r="76" spans="1:10" x14ac:dyDescent="0.3">
      <c r="A76" s="15"/>
      <c r="B76" s="15"/>
      <c r="C76" s="15"/>
      <c r="D76" s="15"/>
      <c r="E76" s="15"/>
      <c r="F76" s="15"/>
      <c r="G76" s="15"/>
      <c r="H76" s="15"/>
      <c r="I76" s="15"/>
      <c r="J76" s="15"/>
    </row>
    <row r="77" spans="1:10" x14ac:dyDescent="0.3">
      <c r="A77" s="15"/>
      <c r="B77" s="15"/>
      <c r="C77" s="15"/>
      <c r="D77" s="15"/>
      <c r="E77" s="15"/>
      <c r="F77" s="15"/>
      <c r="G77" s="15"/>
      <c r="H77" s="15"/>
      <c r="I77" s="15"/>
      <c r="J77" s="15"/>
    </row>
    <row r="78" spans="1:10" x14ac:dyDescent="0.3">
      <c r="A78" s="15"/>
      <c r="B78" s="15"/>
      <c r="C78" s="15"/>
      <c r="D78" s="15"/>
      <c r="E78" s="15"/>
      <c r="F78" s="15"/>
      <c r="G78" s="15"/>
      <c r="H78" s="15"/>
      <c r="I78" s="15"/>
      <c r="J78" s="15"/>
    </row>
    <row r="79" spans="1:10" x14ac:dyDescent="0.3">
      <c r="A79" s="15"/>
      <c r="B79" s="15"/>
      <c r="C79" s="15"/>
      <c r="D79" s="15"/>
      <c r="E79" s="15"/>
      <c r="F79" s="15"/>
      <c r="G79" s="15"/>
      <c r="H79" s="15"/>
      <c r="I79" s="15"/>
      <c r="J79" s="15"/>
    </row>
    <row r="80" spans="1:10" x14ac:dyDescent="0.3">
      <c r="A80" s="15"/>
      <c r="B80" s="15"/>
      <c r="C80" s="15"/>
      <c r="D80" s="15"/>
      <c r="E80" s="15"/>
      <c r="F80" s="15"/>
      <c r="G80" s="15"/>
      <c r="H80" s="15"/>
      <c r="I80" s="15"/>
      <c r="J80" s="15"/>
    </row>
    <row r="81" spans="1:10" x14ac:dyDescent="0.3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spans="1:10" x14ac:dyDescent="0.3">
      <c r="A83" s="15"/>
      <c r="B83" s="15"/>
      <c r="C83" s="15"/>
      <c r="D83" s="15"/>
      <c r="E83" s="15"/>
      <c r="F83" s="15"/>
      <c r="G83" s="15"/>
      <c r="H83" s="15"/>
      <c r="I83" s="15"/>
      <c r="J83" s="15"/>
    </row>
    <row r="84" spans="1:10" x14ac:dyDescent="0.3">
      <c r="A84" s="15"/>
      <c r="B84" s="15"/>
      <c r="C84" s="15"/>
      <c r="D84" s="15"/>
      <c r="E84" s="15"/>
      <c r="F84" s="15"/>
      <c r="G84" s="15"/>
      <c r="H84" s="15"/>
      <c r="I84" s="15"/>
      <c r="J84" s="15"/>
    </row>
    <row r="85" spans="1:10" x14ac:dyDescent="0.3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spans="1:10" x14ac:dyDescent="0.3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spans="1:10" x14ac:dyDescent="0.3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spans="1:10" x14ac:dyDescent="0.3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spans="1:10" x14ac:dyDescent="0.3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spans="1:10" x14ac:dyDescent="0.3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 spans="1:10" x14ac:dyDescent="0.3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spans="1:10" x14ac:dyDescent="0.3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spans="1:10" x14ac:dyDescent="0.3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spans="1:10" x14ac:dyDescent="0.3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spans="1:10" x14ac:dyDescent="0.3">
      <c r="A95" s="15"/>
      <c r="B95" s="15"/>
      <c r="C95" s="15"/>
      <c r="D95" s="15"/>
      <c r="E95" s="15"/>
      <c r="F95" s="15"/>
      <c r="G95" s="15"/>
      <c r="H95" s="15"/>
      <c r="I95" s="15"/>
      <c r="J95" s="15"/>
    </row>
    <row r="96" spans="1:10" x14ac:dyDescent="0.3">
      <c r="A96" s="15"/>
      <c r="B96" s="15"/>
      <c r="C96" s="15"/>
      <c r="D96" s="15"/>
      <c r="E96" s="15"/>
      <c r="F96" s="15"/>
      <c r="G96" s="15"/>
      <c r="H96" s="15"/>
      <c r="I96" s="15"/>
      <c r="J96" s="15"/>
    </row>
    <row r="97" spans="1:10" x14ac:dyDescent="0.3">
      <c r="A97" s="15"/>
      <c r="B97" s="15"/>
      <c r="C97" s="15"/>
      <c r="D97" s="15"/>
      <c r="E97" s="15"/>
      <c r="F97" s="15"/>
      <c r="G97" s="15"/>
      <c r="H97" s="15"/>
      <c r="I97" s="15"/>
      <c r="J97" s="15"/>
    </row>
    <row r="98" spans="1:10" x14ac:dyDescent="0.3">
      <c r="A98" s="15"/>
      <c r="B98" s="15"/>
      <c r="C98" s="15"/>
      <c r="D98" s="15"/>
      <c r="E98" s="15"/>
      <c r="F98" s="15"/>
      <c r="G98" s="15"/>
      <c r="H98" s="15"/>
      <c r="I98" s="15"/>
      <c r="J98" s="15"/>
    </row>
    <row r="99" spans="1:10" x14ac:dyDescent="0.3">
      <c r="A99" s="15"/>
      <c r="B99" s="15"/>
      <c r="C99" s="15"/>
      <c r="D99" s="15"/>
      <c r="E99" s="15"/>
      <c r="F99" s="15"/>
      <c r="G99" s="15"/>
      <c r="H99" s="15"/>
      <c r="I99" s="15"/>
      <c r="J99" s="15"/>
    </row>
    <row r="100" spans="1:10" x14ac:dyDescent="0.3">
      <c r="A100" s="15"/>
      <c r="B100" s="15"/>
      <c r="C100" s="15"/>
      <c r="D100" s="15"/>
      <c r="E100" s="15"/>
      <c r="F100" s="15"/>
      <c r="G100" s="15"/>
      <c r="H100" s="15"/>
      <c r="I100" s="15"/>
      <c r="J100" s="15"/>
    </row>
    <row r="101" spans="1:10" x14ac:dyDescent="0.3">
      <c r="A101" s="15"/>
      <c r="B101" s="15"/>
      <c r="C101" s="15"/>
      <c r="D101" s="15"/>
      <c r="E101" s="15"/>
      <c r="F101" s="15"/>
      <c r="G101" s="15"/>
      <c r="H101" s="15"/>
      <c r="I101" s="15"/>
      <c r="J101" s="15"/>
    </row>
    <row r="102" spans="1:10" x14ac:dyDescent="0.3">
      <c r="A102" s="15"/>
      <c r="B102" s="15"/>
      <c r="C102" s="15"/>
      <c r="D102" s="15"/>
      <c r="E102" s="15"/>
      <c r="F102" s="15"/>
      <c r="G102" s="15"/>
      <c r="H102" s="15"/>
      <c r="I102" s="15"/>
      <c r="J102" s="15"/>
    </row>
    <row r="103" spans="1:10" x14ac:dyDescent="0.3">
      <c r="A103" s="15"/>
      <c r="B103" s="15"/>
      <c r="C103" s="15"/>
      <c r="D103" s="15"/>
      <c r="E103" s="15"/>
      <c r="F103" s="15"/>
      <c r="G103" s="15"/>
      <c r="H103" s="15"/>
      <c r="I103" s="15"/>
      <c r="J103" s="15"/>
    </row>
  </sheetData>
  <sheetProtection algorithmName="SHA-512" hashValue="eko+9Cn0ZxS9NRw1z9/Z9vSSedRblblt4Rk0Xv+FT2bwmfheiD54UiK5QYBaZzhI5mwcIUe5NP0lXYbs1bNvGw==" saltValue="+aJTqZ4vCnjHeeKtogPzXg==" spinCount="100000" sheet="1" objects="1" scenarios="1"/>
  <mergeCells count="21">
    <mergeCell ref="A1:J1"/>
    <mergeCell ref="A50:J50"/>
    <mergeCell ref="A51:J51"/>
    <mergeCell ref="A54:J54"/>
    <mergeCell ref="A8:D8"/>
    <mergeCell ref="I6:J6"/>
    <mergeCell ref="D6:F6"/>
    <mergeCell ref="A6:C6"/>
    <mergeCell ref="A42:B42"/>
    <mergeCell ref="A47:F47"/>
    <mergeCell ref="G47:J47"/>
    <mergeCell ref="B49:J49"/>
    <mergeCell ref="A9:B9"/>
    <mergeCell ref="H9:I9"/>
    <mergeCell ref="A4:G4"/>
    <mergeCell ref="A11:B11"/>
    <mergeCell ref="C11:D11"/>
    <mergeCell ref="A41:B41"/>
    <mergeCell ref="F9:G9"/>
    <mergeCell ref="A10:D10"/>
    <mergeCell ref="C9:D9"/>
  </mergeCells>
  <pageMargins left="0.51181102362204722" right="0.51181102362204722" top="0.78740157480314965" bottom="0.78740157480314965" header="0.31496062992125984" footer="0.31496062992125984"/>
  <pageSetup paperSize="9" scale="81"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74"/>
  <sheetViews>
    <sheetView tabSelected="1" topLeftCell="A28" zoomScaleNormal="100" workbookViewId="0">
      <selection activeCell="C46" sqref="C46"/>
    </sheetView>
  </sheetViews>
  <sheetFormatPr defaultColWidth="9.109375" defaultRowHeight="14.4" x14ac:dyDescent="0.3"/>
  <cols>
    <col min="1" max="1" width="12.109375" style="6" customWidth="1"/>
    <col min="2" max="2" width="14.88671875" style="6" customWidth="1"/>
    <col min="3" max="3" width="14" style="6" customWidth="1"/>
    <col min="4" max="4" width="13.88671875" style="6" customWidth="1"/>
    <col min="5" max="5" width="14.109375" style="6" customWidth="1"/>
    <col min="6" max="6" width="14" style="6" customWidth="1"/>
    <col min="7" max="7" width="6.88671875" style="6" customWidth="1"/>
    <col min="8" max="8" width="6.44140625" style="6" customWidth="1"/>
    <col min="9" max="9" width="7.33203125" style="6" customWidth="1"/>
    <col min="10" max="10" width="7.109375" style="6" customWidth="1"/>
    <col min="11" max="16384" width="9.109375" style="6"/>
  </cols>
  <sheetData>
    <row r="1" spans="1:11" ht="17.399999999999999" x14ac:dyDescent="0.3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5"/>
    </row>
    <row r="2" spans="1:11" x14ac:dyDescent="0.3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1" x14ac:dyDescent="0.3">
      <c r="A4" s="57" t="s">
        <v>45</v>
      </c>
      <c r="B4" s="57"/>
      <c r="C4" s="57"/>
      <c r="D4" s="57"/>
      <c r="E4" s="57"/>
      <c r="F4" s="57"/>
      <c r="G4" s="57"/>
      <c r="H4" s="7"/>
      <c r="I4" s="7"/>
      <c r="J4" s="7"/>
    </row>
    <row r="5" spans="1:11" x14ac:dyDescent="0.3">
      <c r="A5" s="11"/>
      <c r="B5" s="4"/>
      <c r="C5" s="7"/>
      <c r="D5" s="7"/>
      <c r="E5" s="7"/>
      <c r="F5" s="7"/>
      <c r="G5" s="7"/>
      <c r="H5" s="7"/>
      <c r="I5" s="7"/>
      <c r="J5" s="7"/>
    </row>
    <row r="6" spans="1:11" ht="15" thickBot="1" x14ac:dyDescent="0.35">
      <c r="A6" s="58" t="s">
        <v>7</v>
      </c>
      <c r="B6" s="58"/>
      <c r="C6" s="58"/>
      <c r="D6" s="63"/>
      <c r="E6" s="63"/>
      <c r="F6" s="63"/>
      <c r="G6" s="15"/>
      <c r="H6" s="19" t="s">
        <v>6</v>
      </c>
      <c r="I6" s="67"/>
      <c r="J6" s="67"/>
    </row>
    <row r="7" spans="1:11" x14ac:dyDescent="0.3">
      <c r="A7" s="1"/>
      <c r="B7" s="4"/>
      <c r="C7" s="15"/>
      <c r="D7" s="15"/>
      <c r="E7" s="8"/>
      <c r="F7" s="8"/>
      <c r="G7" s="15"/>
      <c r="H7" s="3"/>
      <c r="I7" s="7"/>
      <c r="J7" s="7"/>
    </row>
    <row r="8" spans="1:11" x14ac:dyDescent="0.3">
      <c r="A8" s="66" t="s">
        <v>48</v>
      </c>
      <c r="B8" s="66"/>
      <c r="C8" s="66"/>
      <c r="D8" s="66"/>
      <c r="E8" s="66"/>
      <c r="F8" s="8"/>
      <c r="G8" s="15"/>
      <c r="H8" s="3"/>
      <c r="I8" s="7"/>
      <c r="J8" s="7"/>
    </row>
    <row r="9" spans="1:11" ht="15" thickBot="1" x14ac:dyDescent="0.35">
      <c r="A9" s="56" t="s">
        <v>8</v>
      </c>
      <c r="B9" s="56"/>
      <c r="C9" s="59"/>
      <c r="D9" s="59"/>
      <c r="E9" s="7"/>
      <c r="F9" s="68" t="s">
        <v>5</v>
      </c>
      <c r="G9" s="68"/>
      <c r="H9" s="55"/>
      <c r="I9" s="55"/>
      <c r="J9" s="7"/>
    </row>
    <row r="10" spans="1:11" ht="15" thickBot="1" x14ac:dyDescent="0.35">
      <c r="A10" s="58" t="s">
        <v>4</v>
      </c>
      <c r="B10" s="58"/>
      <c r="C10" s="58"/>
      <c r="D10" s="58"/>
      <c r="E10" s="34"/>
      <c r="F10" s="20" t="s">
        <v>10</v>
      </c>
      <c r="G10" s="20"/>
      <c r="H10" s="20"/>
      <c r="I10" s="20"/>
      <c r="J10" s="20"/>
      <c r="K10" s="15"/>
    </row>
    <row r="11" spans="1:11" ht="15" thickBot="1" x14ac:dyDescent="0.35">
      <c r="A11" s="58" t="s">
        <v>46</v>
      </c>
      <c r="B11" s="58"/>
      <c r="C11" s="59"/>
      <c r="D11" s="59"/>
      <c r="E11" s="15"/>
      <c r="F11" s="8"/>
      <c r="G11" s="9"/>
      <c r="H11" s="9"/>
      <c r="I11" s="9"/>
      <c r="J11" s="9"/>
      <c r="K11" s="9"/>
    </row>
    <row r="12" spans="1:11" ht="15" thickBot="1" x14ac:dyDescent="0.35">
      <c r="A12" s="58" t="s">
        <v>47</v>
      </c>
      <c r="B12" s="58"/>
      <c r="C12" s="59"/>
      <c r="D12" s="59"/>
      <c r="E12" s="15"/>
      <c r="F12" s="15"/>
      <c r="G12" s="4"/>
      <c r="H12" s="4"/>
      <c r="I12" s="4"/>
      <c r="J12" s="4"/>
    </row>
    <row r="13" spans="1:11" s="51" customFormat="1" ht="27" customHeight="1" thickBot="1" x14ac:dyDescent="0.35">
      <c r="A13" s="65" t="s">
        <v>110</v>
      </c>
      <c r="B13" s="65"/>
      <c r="C13" s="69"/>
      <c r="D13" s="69"/>
      <c r="E13" s="49"/>
      <c r="F13" s="65" t="s">
        <v>111</v>
      </c>
      <c r="G13" s="65"/>
      <c r="H13" s="65"/>
      <c r="I13" s="70"/>
      <c r="J13" s="70"/>
    </row>
    <row r="14" spans="1:11" x14ac:dyDescent="0.3">
      <c r="A14" s="10"/>
      <c r="B14" s="10"/>
      <c r="C14" s="4"/>
      <c r="D14" s="4"/>
      <c r="E14" s="15"/>
      <c r="F14" s="2"/>
      <c r="G14" s="4"/>
      <c r="H14" s="4"/>
      <c r="I14" s="1"/>
      <c r="J14" s="1"/>
    </row>
    <row r="15" spans="1:11" ht="15.6" x14ac:dyDescent="0.35">
      <c r="A15" s="15"/>
      <c r="B15" s="20" t="s">
        <v>53</v>
      </c>
      <c r="C15" s="20"/>
      <c r="D15" s="20"/>
      <c r="E15" s="31"/>
      <c r="F15" s="7"/>
      <c r="G15" s="7"/>
      <c r="H15" s="7"/>
      <c r="I15" s="7"/>
      <c r="J15" s="7"/>
    </row>
    <row r="16" spans="1:11" ht="26.25" customHeight="1" x14ac:dyDescent="0.3">
      <c r="A16" s="15"/>
      <c r="B16" s="23" t="s">
        <v>82</v>
      </c>
      <c r="C16" s="23" t="s">
        <v>54</v>
      </c>
      <c r="D16" s="23" t="s">
        <v>55</v>
      </c>
      <c r="E16" s="53" t="s">
        <v>108</v>
      </c>
      <c r="F16" s="53" t="s">
        <v>109</v>
      </c>
      <c r="G16" s="7"/>
      <c r="H16" s="7"/>
      <c r="I16" s="7"/>
      <c r="J16" s="7"/>
    </row>
    <row r="17" spans="1:10" x14ac:dyDescent="0.3">
      <c r="A17" s="15"/>
      <c r="B17" s="33">
        <v>40</v>
      </c>
      <c r="C17" s="33" t="s">
        <v>49</v>
      </c>
      <c r="D17" s="14"/>
      <c r="E17" s="31"/>
      <c r="F17" s="8"/>
      <c r="G17" s="7"/>
      <c r="H17" s="7"/>
      <c r="I17" s="7"/>
      <c r="J17" s="7"/>
    </row>
    <row r="18" spans="1:10" x14ac:dyDescent="0.3">
      <c r="A18" s="15"/>
      <c r="B18" s="33">
        <v>60</v>
      </c>
      <c r="C18" s="33" t="s">
        <v>50</v>
      </c>
      <c r="D18" s="14"/>
      <c r="E18" s="31"/>
      <c r="F18" s="8"/>
      <c r="G18" s="7"/>
      <c r="H18" s="7"/>
      <c r="I18" s="7"/>
      <c r="J18" s="7"/>
    </row>
    <row r="19" spans="1:10" x14ac:dyDescent="0.3">
      <c r="A19" s="15"/>
      <c r="B19" s="33">
        <v>80</v>
      </c>
      <c r="C19" s="33" t="s">
        <v>51</v>
      </c>
      <c r="D19" s="14"/>
      <c r="E19" s="31"/>
      <c r="F19" s="8"/>
      <c r="G19" s="7"/>
      <c r="H19" s="7"/>
      <c r="I19" s="7"/>
      <c r="J19" s="7"/>
    </row>
    <row r="20" spans="1:10" x14ac:dyDescent="0.3">
      <c r="A20" s="15"/>
      <c r="B20" s="33">
        <v>100</v>
      </c>
      <c r="C20" s="33" t="s">
        <v>52</v>
      </c>
      <c r="D20" s="14"/>
      <c r="E20" s="31"/>
      <c r="F20" s="8"/>
      <c r="G20" s="7"/>
      <c r="H20" s="7"/>
      <c r="I20" s="7"/>
      <c r="J20" s="7"/>
    </row>
    <row r="21" spans="1:10" ht="15.6" x14ac:dyDescent="0.35">
      <c r="A21" s="15"/>
      <c r="B21" s="43" t="s">
        <v>83</v>
      </c>
      <c r="C21" s="43"/>
      <c r="D21" s="43"/>
      <c r="E21" s="44"/>
      <c r="F21" s="44"/>
      <c r="G21" s="7"/>
      <c r="H21" s="7"/>
      <c r="I21" s="7"/>
      <c r="J21" s="7"/>
    </row>
    <row r="22" spans="1:10" ht="15.6" x14ac:dyDescent="0.3">
      <c r="A22" s="15"/>
      <c r="B22" s="43" t="s">
        <v>84</v>
      </c>
      <c r="C22" s="43"/>
      <c r="D22" s="43"/>
      <c r="E22" s="44"/>
      <c r="F22" s="44"/>
      <c r="G22" s="7"/>
      <c r="H22" s="7"/>
      <c r="I22" s="7"/>
      <c r="J22" s="7"/>
    </row>
    <row r="23" spans="1:10" x14ac:dyDescent="0.3">
      <c r="A23" s="15"/>
      <c r="B23" s="15"/>
      <c r="C23" s="15"/>
      <c r="D23" s="15"/>
      <c r="E23" s="7"/>
      <c r="F23" s="7"/>
      <c r="G23" s="7"/>
      <c r="H23" s="7"/>
      <c r="I23" s="7"/>
      <c r="J23" s="7"/>
    </row>
    <row r="24" spans="1:10" x14ac:dyDescent="0.3">
      <c r="A24" s="15"/>
      <c r="B24" s="45" t="s">
        <v>65</v>
      </c>
      <c r="C24" s="21"/>
      <c r="D24" s="21"/>
      <c r="E24" s="46"/>
      <c r="F24" s="46"/>
      <c r="G24" s="7"/>
      <c r="H24" s="7"/>
      <c r="I24" s="7"/>
      <c r="J24" s="7"/>
    </row>
    <row r="25" spans="1:10" ht="13.5" customHeight="1" x14ac:dyDescent="0.3">
      <c r="A25" s="13"/>
      <c r="B25" s="13"/>
      <c r="C25" s="13"/>
      <c r="D25" s="13"/>
      <c r="E25" s="13"/>
      <c r="F25" s="13"/>
      <c r="G25" s="13"/>
      <c r="H25" s="13"/>
      <c r="I25" s="39"/>
      <c r="J25" s="39"/>
    </row>
    <row r="26" spans="1:10" x14ac:dyDescent="0.3">
      <c r="A26" s="15"/>
      <c r="B26" s="21" t="s">
        <v>56</v>
      </c>
      <c r="C26" s="20"/>
      <c r="D26" s="20"/>
      <c r="E26" s="20"/>
      <c r="F26" s="20"/>
      <c r="G26" s="15"/>
      <c r="H26" s="15"/>
      <c r="I26" s="15"/>
      <c r="J26" s="15"/>
    </row>
    <row r="27" spans="1:10" x14ac:dyDescent="0.3">
      <c r="A27" s="15"/>
      <c r="B27" s="28" t="s">
        <v>12</v>
      </c>
      <c r="C27" s="24" t="s">
        <v>58</v>
      </c>
      <c r="D27" s="24" t="s">
        <v>59</v>
      </c>
      <c r="E27" s="24" t="s">
        <v>60</v>
      </c>
      <c r="F27" s="24" t="s">
        <v>61</v>
      </c>
      <c r="G27" s="15"/>
      <c r="H27" s="15"/>
      <c r="I27" s="15"/>
      <c r="J27" s="15"/>
    </row>
    <row r="28" spans="1:10" x14ac:dyDescent="0.3">
      <c r="A28" s="15"/>
      <c r="B28" s="29" t="s">
        <v>57</v>
      </c>
      <c r="C28" s="30"/>
      <c r="D28" s="30"/>
      <c r="E28" s="30"/>
      <c r="F28" s="30"/>
      <c r="G28" s="15"/>
      <c r="H28" s="15"/>
      <c r="I28" s="15"/>
      <c r="J28" s="15"/>
    </row>
    <row r="29" spans="1:10" x14ac:dyDescent="0.3">
      <c r="A29" s="15"/>
      <c r="B29" s="29" t="s">
        <v>15</v>
      </c>
      <c r="C29" s="30"/>
      <c r="D29" s="30"/>
      <c r="E29" s="30"/>
      <c r="F29" s="30"/>
      <c r="G29" s="15"/>
      <c r="H29" s="15"/>
      <c r="I29" s="15"/>
      <c r="J29" s="15"/>
    </row>
    <row r="30" spans="1:10" x14ac:dyDescent="0.3">
      <c r="A30" s="15"/>
      <c r="B30" s="29" t="s">
        <v>16</v>
      </c>
      <c r="C30" s="30"/>
      <c r="D30" s="30"/>
      <c r="E30" s="30"/>
      <c r="F30" s="30"/>
      <c r="G30" s="15"/>
      <c r="H30" s="15"/>
      <c r="I30" s="15"/>
      <c r="J30" s="15"/>
    </row>
    <row r="31" spans="1:10" x14ac:dyDescent="0.3">
      <c r="A31" s="15"/>
      <c r="B31" s="29" t="s">
        <v>17</v>
      </c>
      <c r="C31" s="30"/>
      <c r="D31" s="30"/>
      <c r="E31" s="30"/>
      <c r="F31" s="30"/>
      <c r="G31" s="15"/>
      <c r="H31" s="15"/>
      <c r="I31" s="15"/>
      <c r="J31" s="15"/>
    </row>
    <row r="32" spans="1:10" x14ac:dyDescent="0.3">
      <c r="A32" s="15"/>
      <c r="B32" s="29" t="s">
        <v>13</v>
      </c>
      <c r="C32" s="32" t="str">
        <f>IFERROR(AVERAGE(C29:C31)-C28,"")</f>
        <v/>
      </c>
      <c r="D32" s="32" t="str">
        <f>IFERROR(AVERAGE(D29:D31)-D28,"")</f>
        <v/>
      </c>
      <c r="E32" s="32" t="str">
        <f>IFERROR(AVERAGE(E29:E31)-E28,"")</f>
        <v/>
      </c>
      <c r="F32" s="32" t="str">
        <f>IFERROR(AVERAGE(F29:F31)-F28,"")</f>
        <v/>
      </c>
      <c r="G32" s="15"/>
      <c r="H32" s="15"/>
      <c r="I32" s="15"/>
      <c r="J32" s="15"/>
    </row>
    <row r="33" spans="1:10" s="51" customFormat="1" x14ac:dyDescent="0.3">
      <c r="A33" s="49"/>
      <c r="B33" s="29" t="s">
        <v>14</v>
      </c>
      <c r="C33" s="29" t="s">
        <v>66</v>
      </c>
      <c r="D33" s="29" t="s">
        <v>67</v>
      </c>
      <c r="E33" s="29" t="s">
        <v>81</v>
      </c>
      <c r="F33" s="29" t="s">
        <v>68</v>
      </c>
      <c r="G33" s="49"/>
      <c r="H33" s="49"/>
      <c r="I33" s="49"/>
      <c r="J33" s="49"/>
    </row>
    <row r="34" spans="1:10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spans="1:10" x14ac:dyDescent="0.3">
      <c r="A35" s="15"/>
      <c r="B35" s="21" t="s">
        <v>62</v>
      </c>
      <c r="C35" s="20"/>
      <c r="D35" s="20"/>
      <c r="E35" s="20"/>
      <c r="F35" s="20"/>
      <c r="G35" s="15"/>
      <c r="H35" s="15"/>
      <c r="I35" s="15"/>
      <c r="J35" s="15"/>
    </row>
    <row r="36" spans="1:10" x14ac:dyDescent="0.3">
      <c r="A36" s="15"/>
      <c r="B36" s="28" t="s">
        <v>12</v>
      </c>
      <c r="C36" s="24" t="s">
        <v>58</v>
      </c>
      <c r="D36" s="24" t="s">
        <v>59</v>
      </c>
      <c r="E36" s="24" t="s">
        <v>60</v>
      </c>
      <c r="F36" s="24" t="s">
        <v>61</v>
      </c>
      <c r="G36" s="15"/>
      <c r="H36" s="15"/>
      <c r="I36" s="15"/>
      <c r="J36" s="15"/>
    </row>
    <row r="37" spans="1:10" x14ac:dyDescent="0.3">
      <c r="A37" s="15"/>
      <c r="B37" s="29" t="s">
        <v>15</v>
      </c>
      <c r="C37" s="30"/>
      <c r="D37" s="30"/>
      <c r="E37" s="30"/>
      <c r="F37" s="30"/>
      <c r="G37" s="15"/>
      <c r="H37" s="15"/>
      <c r="I37" s="15"/>
      <c r="J37" s="15"/>
    </row>
    <row r="38" spans="1:10" x14ac:dyDescent="0.3">
      <c r="A38" s="15"/>
      <c r="B38" s="29" t="s">
        <v>16</v>
      </c>
      <c r="C38" s="30"/>
      <c r="D38" s="30"/>
      <c r="E38" s="30"/>
      <c r="F38" s="30"/>
      <c r="G38" s="15"/>
      <c r="H38" s="15"/>
      <c r="I38" s="15"/>
      <c r="J38" s="15"/>
    </row>
    <row r="39" spans="1:10" x14ac:dyDescent="0.3">
      <c r="A39" s="15"/>
      <c r="B39" s="29" t="s">
        <v>17</v>
      </c>
      <c r="C39" s="30"/>
      <c r="D39" s="30"/>
      <c r="E39" s="30"/>
      <c r="F39" s="30"/>
      <c r="G39" s="15"/>
      <c r="H39" s="15"/>
      <c r="I39" s="15"/>
      <c r="J39" s="15"/>
    </row>
    <row r="40" spans="1:10" x14ac:dyDescent="0.3">
      <c r="A40" s="15"/>
      <c r="B40" s="29" t="s">
        <v>13</v>
      </c>
      <c r="C40" s="32" t="str">
        <f>IFERROR(AVERAGE(C37:C39)-C28,"")</f>
        <v/>
      </c>
      <c r="D40" s="32" t="str">
        <f>IFERROR(AVERAGE(D37:D39)-D28,"")</f>
        <v/>
      </c>
      <c r="E40" s="32" t="str">
        <f>IFERROR(AVERAGE(E37:E39)-E28,"")</f>
        <v/>
      </c>
      <c r="F40" s="32" t="str">
        <f>IFERROR(AVERAGE(F37:F39)-F28,"")</f>
        <v/>
      </c>
      <c r="G40" s="15"/>
      <c r="H40" s="15"/>
      <c r="I40" s="15"/>
      <c r="J40" s="15"/>
    </row>
    <row r="41" spans="1:10" s="51" customFormat="1" x14ac:dyDescent="0.3">
      <c r="A41" s="49"/>
      <c r="B41" s="29" t="s">
        <v>14</v>
      </c>
      <c r="C41" s="29" t="s">
        <v>69</v>
      </c>
      <c r="D41" s="29" t="s">
        <v>70</v>
      </c>
      <c r="E41" s="29" t="s">
        <v>71</v>
      </c>
      <c r="F41" s="29" t="s">
        <v>72</v>
      </c>
      <c r="G41" s="49"/>
      <c r="H41" s="49"/>
      <c r="I41" s="49"/>
      <c r="J41" s="49"/>
    </row>
    <row r="42" spans="1:10" x14ac:dyDescent="0.3">
      <c r="A42" s="15"/>
      <c r="B42" s="27"/>
      <c r="C42" s="42"/>
      <c r="D42" s="42"/>
      <c r="E42" s="42"/>
      <c r="F42" s="42"/>
      <c r="G42" s="42"/>
      <c r="H42" s="15"/>
      <c r="I42" s="15"/>
      <c r="J42" s="15"/>
    </row>
    <row r="43" spans="1:10" x14ac:dyDescent="0.3">
      <c r="A43" s="15"/>
      <c r="B43" s="21" t="s">
        <v>63</v>
      </c>
      <c r="C43" s="20"/>
      <c r="D43" s="20"/>
      <c r="E43" s="20"/>
      <c r="F43" s="20"/>
      <c r="G43" s="15"/>
      <c r="H43" s="15"/>
      <c r="I43" s="15"/>
      <c r="J43" s="15"/>
    </row>
    <row r="44" spans="1:10" x14ac:dyDescent="0.3">
      <c r="A44" s="15"/>
      <c r="B44" s="28" t="s">
        <v>12</v>
      </c>
      <c r="C44" s="24" t="s">
        <v>58</v>
      </c>
      <c r="D44" s="24" t="s">
        <v>59</v>
      </c>
      <c r="E44" s="24" t="s">
        <v>60</v>
      </c>
      <c r="F44" s="24" t="s">
        <v>61</v>
      </c>
      <c r="G44" s="15"/>
      <c r="H44" s="15"/>
      <c r="I44" s="15"/>
      <c r="J44" s="15"/>
    </row>
    <row r="45" spans="1:10" x14ac:dyDescent="0.3">
      <c r="A45" s="15"/>
      <c r="B45" s="29" t="s">
        <v>15</v>
      </c>
      <c r="C45" s="30"/>
      <c r="D45" s="30"/>
      <c r="E45" s="30"/>
      <c r="F45" s="30"/>
      <c r="G45" s="15"/>
      <c r="H45" s="15"/>
      <c r="I45" s="15"/>
      <c r="J45" s="15"/>
    </row>
    <row r="46" spans="1:10" x14ac:dyDescent="0.3">
      <c r="A46" s="15"/>
      <c r="B46" s="29" t="s">
        <v>16</v>
      </c>
      <c r="C46" s="30"/>
      <c r="D46" s="30"/>
      <c r="E46" s="30"/>
      <c r="F46" s="30"/>
      <c r="G46" s="15"/>
      <c r="H46" s="15"/>
      <c r="I46" s="15"/>
      <c r="J46" s="15"/>
    </row>
    <row r="47" spans="1:10" x14ac:dyDescent="0.3">
      <c r="A47" s="15"/>
      <c r="B47" s="29" t="s">
        <v>17</v>
      </c>
      <c r="C47" s="30"/>
      <c r="D47" s="30"/>
      <c r="E47" s="30"/>
      <c r="F47" s="30"/>
      <c r="G47" s="15"/>
      <c r="H47" s="15"/>
      <c r="I47" s="15"/>
      <c r="J47" s="15"/>
    </row>
    <row r="48" spans="1:10" x14ac:dyDescent="0.3">
      <c r="A48" s="15"/>
      <c r="B48" s="29" t="s">
        <v>13</v>
      </c>
      <c r="C48" s="32" t="str">
        <f>IFERROR(AVERAGE(C45:C47)-C28,"")</f>
        <v/>
      </c>
      <c r="D48" s="32" t="str">
        <f>IFERROR(AVERAGE(D45:D47)-D28,"")</f>
        <v/>
      </c>
      <c r="E48" s="32" t="str">
        <f>IFERROR(AVERAGE(E45:E47)-E28,"")</f>
        <v/>
      </c>
      <c r="F48" s="32" t="str">
        <f>IFERROR(AVERAGE(F45:F47)-F28,"")</f>
        <v/>
      </c>
      <c r="G48" s="15"/>
      <c r="H48" s="15"/>
      <c r="I48" s="15"/>
      <c r="J48" s="15"/>
    </row>
    <row r="49" spans="1:10" s="51" customFormat="1" x14ac:dyDescent="0.3">
      <c r="A49" s="49"/>
      <c r="B49" s="29" t="s">
        <v>14</v>
      </c>
      <c r="C49" s="29" t="s">
        <v>73</v>
      </c>
      <c r="D49" s="29" t="s">
        <v>74</v>
      </c>
      <c r="E49" s="29" t="s">
        <v>75</v>
      </c>
      <c r="F49" s="29" t="s">
        <v>76</v>
      </c>
      <c r="G49" s="49"/>
      <c r="H49" s="49"/>
      <c r="I49" s="49"/>
      <c r="J49" s="49"/>
    </row>
    <row r="50" spans="1:10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</row>
    <row r="51" spans="1:10" x14ac:dyDescent="0.3">
      <c r="A51" s="15"/>
      <c r="B51" s="21" t="s">
        <v>64</v>
      </c>
      <c r="C51" s="20"/>
      <c r="D51" s="20"/>
      <c r="E51" s="20"/>
      <c r="F51" s="20"/>
      <c r="G51" s="15"/>
      <c r="H51" s="15"/>
      <c r="I51" s="15"/>
      <c r="J51" s="15"/>
    </row>
    <row r="52" spans="1:10" x14ac:dyDescent="0.3">
      <c r="A52" s="15"/>
      <c r="B52" s="28" t="s">
        <v>12</v>
      </c>
      <c r="C52" s="24" t="s">
        <v>58</v>
      </c>
      <c r="D52" s="24" t="s">
        <v>59</v>
      </c>
      <c r="E52" s="24" t="s">
        <v>60</v>
      </c>
      <c r="F52" s="24" t="s">
        <v>61</v>
      </c>
      <c r="G52" s="15"/>
      <c r="H52" s="15"/>
      <c r="I52" s="15"/>
      <c r="J52" s="15"/>
    </row>
    <row r="53" spans="1:10" x14ac:dyDescent="0.3">
      <c r="A53" s="15"/>
      <c r="B53" s="29" t="s">
        <v>15</v>
      </c>
      <c r="C53" s="30"/>
      <c r="D53" s="30"/>
      <c r="E53" s="30"/>
      <c r="F53" s="30"/>
      <c r="G53" s="15"/>
      <c r="H53" s="15"/>
      <c r="I53" s="15"/>
      <c r="J53" s="15"/>
    </row>
    <row r="54" spans="1:10" x14ac:dyDescent="0.3">
      <c r="A54" s="15"/>
      <c r="B54" s="29" t="s">
        <v>16</v>
      </c>
      <c r="C54" s="30"/>
      <c r="D54" s="30"/>
      <c r="E54" s="30"/>
      <c r="F54" s="30"/>
      <c r="G54" s="15"/>
      <c r="H54" s="15"/>
      <c r="I54" s="15"/>
      <c r="J54" s="15"/>
    </row>
    <row r="55" spans="1:10" x14ac:dyDescent="0.3">
      <c r="A55" s="15"/>
      <c r="B55" s="29" t="s">
        <v>17</v>
      </c>
      <c r="C55" s="30"/>
      <c r="D55" s="30"/>
      <c r="E55" s="30"/>
      <c r="F55" s="30"/>
      <c r="G55" s="15"/>
      <c r="H55" s="15"/>
      <c r="I55" s="15"/>
      <c r="J55" s="15"/>
    </row>
    <row r="56" spans="1:10" x14ac:dyDescent="0.3">
      <c r="A56" s="15"/>
      <c r="B56" s="29" t="s">
        <v>13</v>
      </c>
      <c r="C56" s="32" t="str">
        <f>IFERROR(AVERAGE(C53:C55)-C28,"")</f>
        <v/>
      </c>
      <c r="D56" s="32" t="str">
        <f>IFERROR(AVERAGE(D53:D55)-D28,"")</f>
        <v/>
      </c>
      <c r="E56" s="32" t="str">
        <f>IFERROR(AVERAGE(E53:E55)-E28,"")</f>
        <v/>
      </c>
      <c r="F56" s="32" t="str">
        <f>IFERROR(AVERAGE(F53:F55)-F28,"")</f>
        <v/>
      </c>
      <c r="G56" s="15"/>
      <c r="H56" s="15"/>
      <c r="I56" s="15"/>
      <c r="J56" s="15"/>
    </row>
    <row r="57" spans="1:10" s="51" customFormat="1" x14ac:dyDescent="0.3">
      <c r="A57" s="49"/>
      <c r="B57" s="29" t="s">
        <v>14</v>
      </c>
      <c r="C57" s="29" t="s">
        <v>77</v>
      </c>
      <c r="D57" s="29" t="s">
        <v>78</v>
      </c>
      <c r="E57" s="29" t="s">
        <v>79</v>
      </c>
      <c r="F57" s="29" t="s">
        <v>80</v>
      </c>
      <c r="G57" s="49"/>
      <c r="H57" s="49"/>
      <c r="I57" s="49"/>
      <c r="J57" s="49"/>
    </row>
    <row r="58" spans="1:10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 spans="1:10" x14ac:dyDescent="0.3">
      <c r="A59" s="25" t="s">
        <v>21</v>
      </c>
      <c r="B59" s="20"/>
      <c r="C59" s="15"/>
      <c r="D59" s="15"/>
      <c r="E59" s="15"/>
      <c r="F59" s="15"/>
      <c r="G59" s="15"/>
      <c r="H59" s="15"/>
      <c r="I59" s="15"/>
      <c r="J59" s="15"/>
    </row>
    <row r="60" spans="1:10" x14ac:dyDescent="0.3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spans="1:10" ht="15" thickBot="1" x14ac:dyDescent="0.35">
      <c r="A61" s="56" t="s">
        <v>22</v>
      </c>
      <c r="B61" s="56"/>
      <c r="C61" s="16"/>
      <c r="D61" s="20" t="s">
        <v>23</v>
      </c>
      <c r="E61" s="15"/>
      <c r="F61" s="15"/>
      <c r="G61" s="15"/>
      <c r="H61" s="15"/>
      <c r="I61" s="15"/>
      <c r="J61" s="15"/>
    </row>
    <row r="62" spans="1:10" ht="15" thickBot="1" x14ac:dyDescent="0.35">
      <c r="A62" s="56" t="s">
        <v>24</v>
      </c>
      <c r="B62" s="56"/>
      <c r="C62" s="17"/>
      <c r="D62" s="20" t="s">
        <v>25</v>
      </c>
      <c r="E62" s="15"/>
      <c r="F62" s="15"/>
      <c r="G62" s="15"/>
      <c r="H62" s="15"/>
      <c r="I62" s="15"/>
      <c r="J62" s="15"/>
    </row>
    <row r="63" spans="1:10" ht="15" thickBot="1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spans="1:10" ht="15" thickBot="1" x14ac:dyDescent="0.35">
      <c r="A64" s="15"/>
      <c r="B64" s="15"/>
      <c r="C64" s="40"/>
      <c r="D64" s="26" t="s">
        <v>29</v>
      </c>
      <c r="E64" s="15"/>
      <c r="F64" s="41"/>
      <c r="G64" s="26" t="s">
        <v>30</v>
      </c>
      <c r="H64" s="15"/>
      <c r="I64" s="15"/>
      <c r="J64" s="15"/>
    </row>
    <row r="65" spans="1:10" x14ac:dyDescent="0.3">
      <c r="A65" s="15"/>
      <c r="B65" s="15"/>
      <c r="C65" s="15"/>
      <c r="D65" s="15"/>
      <c r="E65" s="15"/>
      <c r="F65" s="15"/>
      <c r="G65" s="15"/>
      <c r="H65" s="15"/>
      <c r="I65" s="15"/>
      <c r="J65" s="15"/>
    </row>
    <row r="66" spans="1:10" x14ac:dyDescent="0.3">
      <c r="A66" s="15"/>
      <c r="B66" s="15"/>
      <c r="C66" s="15"/>
      <c r="D66" s="15"/>
      <c r="E66" s="15"/>
      <c r="F66" s="15"/>
      <c r="G66" s="15"/>
      <c r="H66" s="15"/>
      <c r="I66" s="15"/>
      <c r="J66" s="15"/>
    </row>
    <row r="67" spans="1:10" ht="15" thickBot="1" x14ac:dyDescent="0.35">
      <c r="A67" s="56" t="s">
        <v>34</v>
      </c>
      <c r="B67" s="56"/>
      <c r="C67" s="56"/>
      <c r="D67" s="56"/>
      <c r="E67" s="56"/>
      <c r="F67" s="56"/>
      <c r="G67" s="63"/>
      <c r="H67" s="63"/>
      <c r="I67" s="63"/>
      <c r="J67" s="63"/>
    </row>
    <row r="68" spans="1:10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</row>
    <row r="69" spans="1:10" x14ac:dyDescent="0.3">
      <c r="A69" s="71" t="s">
        <v>31</v>
      </c>
      <c r="B69" s="71"/>
      <c r="C69" s="72"/>
      <c r="D69" s="72"/>
      <c r="E69" s="72"/>
      <c r="F69" s="72"/>
      <c r="G69" s="72"/>
      <c r="H69" s="72"/>
      <c r="I69" s="72"/>
      <c r="J69" s="72"/>
    </row>
    <row r="70" spans="1:10" x14ac:dyDescent="0.3">
      <c r="A70" s="54"/>
      <c r="B70" s="54"/>
      <c r="C70" s="54"/>
      <c r="D70" s="54"/>
      <c r="E70" s="54"/>
      <c r="F70" s="54"/>
      <c r="G70" s="54"/>
      <c r="H70" s="54"/>
      <c r="I70" s="54"/>
      <c r="J70" s="54"/>
    </row>
    <row r="71" spans="1:10" x14ac:dyDescent="0.3">
      <c r="A71" s="64"/>
      <c r="B71" s="64"/>
      <c r="C71" s="64"/>
      <c r="D71" s="64"/>
      <c r="E71" s="64"/>
      <c r="F71" s="64"/>
      <c r="G71" s="64"/>
      <c r="H71" s="64"/>
      <c r="I71" s="64"/>
      <c r="J71" s="64"/>
    </row>
    <row r="72" spans="1:1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</row>
    <row r="73" spans="1:10" x14ac:dyDescent="0.3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 spans="1:10" x14ac:dyDescent="0.3">
      <c r="A74" s="62" t="s">
        <v>112</v>
      </c>
      <c r="B74" s="62"/>
      <c r="C74" s="62"/>
      <c r="D74" s="62"/>
      <c r="E74" s="62"/>
      <c r="F74" s="62"/>
      <c r="G74" s="62"/>
      <c r="H74" s="62"/>
      <c r="I74" s="62"/>
      <c r="J74" s="62"/>
    </row>
  </sheetData>
  <sheetProtection algorithmName="SHA-512" hashValue="cezF+4TEZIxDvUxbjAIh3LbNuECMujRrDH+3lJQYL/xjz1yBzM0tZLJ+4h7qazVAUZAWOi6CrLcTCP/iqj3Mcw==" saltValue="UboXaFq7T7aqnqVzQqA+5w==" spinCount="100000" sheet="1" objects="1" scenarios="1"/>
  <mergeCells count="28">
    <mergeCell ref="A11:B11"/>
    <mergeCell ref="C11:D11"/>
    <mergeCell ref="A1:J1"/>
    <mergeCell ref="A4:G4"/>
    <mergeCell ref="A6:C6"/>
    <mergeCell ref="D6:F6"/>
    <mergeCell ref="I6:J6"/>
    <mergeCell ref="A8:E8"/>
    <mergeCell ref="A9:B9"/>
    <mergeCell ref="C9:D9"/>
    <mergeCell ref="F9:G9"/>
    <mergeCell ref="H9:I9"/>
    <mergeCell ref="A10:D10"/>
    <mergeCell ref="A70:J70"/>
    <mergeCell ref="A71:J71"/>
    <mergeCell ref="A74:J74"/>
    <mergeCell ref="A12:B12"/>
    <mergeCell ref="C12:D12"/>
    <mergeCell ref="A13:B13"/>
    <mergeCell ref="C13:D13"/>
    <mergeCell ref="A61:B61"/>
    <mergeCell ref="A62:B62"/>
    <mergeCell ref="F13:H13"/>
    <mergeCell ref="I13:J13"/>
    <mergeCell ref="A69:B69"/>
    <mergeCell ref="C69:J69"/>
    <mergeCell ref="A67:F67"/>
    <mergeCell ref="G67:J67"/>
  </mergeCells>
  <phoneticPr fontId="13" type="noConversion"/>
  <conditionalFormatting sqref="C32">
    <cfRule type="cellIs" dxfId="82" priority="35" operator="greaterThan">
      <formula>0.4969</formula>
    </cfRule>
    <cfRule type="cellIs" dxfId="81" priority="36" operator="lessThan">
      <formula>0.4871</formula>
    </cfRule>
    <cfRule type="cellIs" dxfId="80" priority="37" operator="between">
      <formula>0.4871</formula>
      <formula>0.4969</formula>
    </cfRule>
  </conditionalFormatting>
  <conditionalFormatting sqref="C40">
    <cfRule type="cellIs" dxfId="79" priority="28" operator="greaterThan">
      <formula>0.7484</formula>
    </cfRule>
    <cfRule type="cellIs" dxfId="78" priority="29" operator="lessThan">
      <formula>0.7336</formula>
    </cfRule>
    <cfRule type="cellIs" dxfId="77" priority="30" operator="between">
      <formula>0.7336</formula>
      <formula>0.7484</formula>
    </cfRule>
  </conditionalFormatting>
  <conditionalFormatting sqref="C48">
    <cfRule type="cellIs" dxfId="76" priority="53" operator="greaterThan">
      <formula>1.0009</formula>
    </cfRule>
    <cfRule type="cellIs" dxfId="75" priority="54" operator="lessThan">
      <formula>0.9811</formula>
    </cfRule>
    <cfRule type="cellIs" dxfId="74" priority="78" operator="between">
      <formula>0.9811</formula>
      <formula>1.0009</formula>
    </cfRule>
  </conditionalFormatting>
  <conditionalFormatting sqref="C56">
    <cfRule type="cellIs" dxfId="73" priority="45" operator="greaterThan">
      <formula>1.2554</formula>
    </cfRule>
    <cfRule type="cellIs" dxfId="72" priority="46" operator="lessThan">
      <formula>1.2306</formula>
    </cfRule>
    <cfRule type="cellIs" dxfId="71" priority="74" operator="between">
      <formula>1.2306</formula>
      <formula>1.2554</formula>
    </cfRule>
  </conditionalFormatting>
  <conditionalFormatting sqref="D32">
    <cfRule type="cellIs" dxfId="70" priority="69" operator="greaterThan">
      <formula>0.5787</formula>
    </cfRule>
    <cfRule type="cellIs" dxfId="69" priority="70" operator="lessThan">
      <formula>0.5673</formula>
    </cfRule>
    <cfRule type="cellIs" dxfId="68" priority="87" operator="between">
      <formula>0.5673</formula>
      <formula>0.5787</formula>
    </cfRule>
  </conditionalFormatting>
  <conditionalFormatting sqref="D40">
    <cfRule type="cellIs" dxfId="67" priority="61" operator="greaterThan">
      <formula>0.8706</formula>
    </cfRule>
    <cfRule type="cellIs" dxfId="66" priority="62" operator="lessThan">
      <formula>0.8534</formula>
    </cfRule>
    <cfRule type="cellIs" dxfId="65" priority="83" operator="between">
      <formula>0.8534</formula>
      <formula>0.8706</formula>
    </cfRule>
  </conditionalFormatting>
  <conditionalFormatting sqref="D48">
    <cfRule type="cellIs" dxfId="64" priority="19" operator="greaterThan">
      <formula>1.1655</formula>
    </cfRule>
    <cfRule type="cellIs" dxfId="63" priority="20" operator="lessThan">
      <formula>1.1425</formula>
    </cfRule>
    <cfRule type="cellIs" dxfId="62" priority="21" operator="between">
      <formula>1.1425</formula>
      <formula>1.1655</formula>
    </cfRule>
  </conditionalFormatting>
  <conditionalFormatting sqref="D56">
    <cfRule type="cellIs" dxfId="61" priority="10" operator="greaterThan">
      <formula>1.4635</formula>
    </cfRule>
    <cfRule type="cellIs" dxfId="60" priority="11" operator="lessThan">
      <formula>1.4345</formula>
    </cfRule>
    <cfRule type="cellIs" dxfId="59" priority="12" operator="between">
      <formula>1.4345</formula>
      <formula>1.4635</formula>
    </cfRule>
  </conditionalFormatting>
  <conditionalFormatting sqref="E32">
    <cfRule type="cellIs" dxfId="58" priority="32" operator="greaterThan">
      <formula>0.1958</formula>
    </cfRule>
    <cfRule type="cellIs" dxfId="57" priority="33" operator="lessThan">
      <formula>0.1882</formula>
    </cfRule>
    <cfRule type="cellIs" dxfId="56" priority="34" operator="between">
      <formula>0.1882</formula>
      <formula>0.1958</formula>
    </cfRule>
  </conditionalFormatting>
  <conditionalFormatting sqref="E40">
    <cfRule type="cellIs" dxfId="55" priority="25" operator="greaterThan">
      <formula>0.2948</formula>
    </cfRule>
    <cfRule type="cellIs" dxfId="54" priority="26" operator="lessThan">
      <formula>0.2832</formula>
    </cfRule>
    <cfRule type="cellIs" dxfId="53" priority="27" operator="between">
      <formula>0.2832</formula>
      <formula>0.2948</formula>
    </cfRule>
  </conditionalFormatting>
  <conditionalFormatting sqref="E48">
    <cfRule type="cellIs" dxfId="52" priority="16" operator="greaterThan">
      <formula>0.3937</formula>
    </cfRule>
    <cfRule type="cellIs" dxfId="51" priority="17" operator="lessThan">
      <formula>0.3783</formula>
    </cfRule>
    <cfRule type="cellIs" dxfId="50" priority="18" operator="between">
      <formula>0.3783</formula>
      <formula>0.3937</formula>
    </cfRule>
  </conditionalFormatting>
  <conditionalFormatting sqref="E56">
    <cfRule type="cellIs" dxfId="49" priority="7" operator="greaterThan">
      <formula>0.4878</formula>
    </cfRule>
    <cfRule type="cellIs" dxfId="48" priority="8" operator="lessThan">
      <formula>0.4782</formula>
    </cfRule>
    <cfRule type="cellIs" dxfId="47" priority="9" operator="between">
      <formula>0.4782</formula>
      <formula>0.4878</formula>
    </cfRule>
  </conditionalFormatting>
  <conditionalFormatting sqref="F32">
    <cfRule type="cellIs" dxfId="46" priority="31" operator="between">
      <formula>0.4185</formula>
      <formula>0.4355</formula>
    </cfRule>
    <cfRule type="cellIs" dxfId="45" priority="3" operator="greaterThan">
      <formula>0.4355</formula>
    </cfRule>
    <cfRule type="cellIs" dxfId="44" priority="2" operator="lessThan">
      <formula>0.4185</formula>
    </cfRule>
  </conditionalFormatting>
  <conditionalFormatting sqref="F40">
    <cfRule type="cellIs" dxfId="43" priority="22" operator="greaterThan">
      <formula>0.6514</formula>
    </cfRule>
    <cfRule type="cellIs" dxfId="42" priority="23" operator="lessThan">
      <formula>0.6385</formula>
    </cfRule>
    <cfRule type="cellIs" dxfId="41" priority="24" operator="between">
      <formula>0.6385</formula>
      <formula>0.6514</formula>
    </cfRule>
  </conditionalFormatting>
  <conditionalFormatting sqref="F48">
    <cfRule type="cellIs" dxfId="40" priority="13" operator="greaterThan">
      <formula>0.8686</formula>
    </cfRule>
    <cfRule type="cellIs" dxfId="39" priority="14" operator="lessThan">
      <formula>0.8514</formula>
    </cfRule>
    <cfRule type="cellIs" dxfId="38" priority="15" operator="between">
      <formula>0.8514</formula>
      <formula>0.8686</formula>
    </cfRule>
  </conditionalFormatting>
  <conditionalFormatting sqref="F56">
    <cfRule type="cellIs" dxfId="37" priority="4" operator="greaterThan">
      <formula>1.0871</formula>
    </cfRule>
    <cfRule type="cellIs" dxfId="36" priority="5" operator="lessThan">
      <formula>1.0603</formula>
    </cfRule>
    <cfRule type="cellIs" dxfId="35" priority="6" operator="between">
      <formula>1.0603</formula>
      <formula>1.0871</formula>
    </cfRule>
  </conditionalFormatting>
  <pageMargins left="0.51181102362204722" right="0.51181102362204722" top="0.78740157480314965" bottom="0.78740157480314965" header="0.31496062992125984" footer="0.31496062992125984"/>
  <pageSetup paperSize="9" scale="66" orientation="portrait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Comp. onda</vt:lpstr>
      <vt:lpstr>Abs-Vis</vt:lpstr>
      <vt:lpstr>Abs-UV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Cinthia</dc:creator>
  <cp:lastModifiedBy>Cinthia - RA</cp:lastModifiedBy>
  <cp:lastPrinted>2021-06-10T19:14:58Z</cp:lastPrinted>
  <dcterms:created xsi:type="dcterms:W3CDTF">2021-06-09T19:50:50Z</dcterms:created>
  <dcterms:modified xsi:type="dcterms:W3CDTF">2025-03-13T20:08:38Z</dcterms:modified>
</cp:coreProperties>
</file>