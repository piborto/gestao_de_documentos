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\\192.168.89.2\qualidadera-21\Novos Documentos RA-133\Aprovados\2024\A 02 01 24\"/>
    </mc:Choice>
  </mc:AlternateContent>
  <xr:revisionPtr revIDLastSave="0" documentId="13_ncr:1_{7862597B-1211-48C6-A5D9-A33A2AE6C9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ágina 1" sheetId="1" r:id="rId1"/>
    <sheet name="Página 2" sheetId="2" r:id="rId2"/>
  </sheets>
  <definedNames>
    <definedName name="_xlnm.Print_Area" localSheetId="0">'Página 1'!$A$1:$H$36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2" l="1"/>
  <c r="F15" i="2" l="1"/>
  <c r="F14" i="2"/>
  <c r="F13" i="2"/>
  <c r="F12" i="2"/>
  <c r="F11" i="2"/>
  <c r="F10" i="2"/>
  <c r="F9" i="2"/>
  <c r="E14" i="2"/>
  <c r="E13" i="2"/>
  <c r="E12" i="2"/>
  <c r="E11" i="2"/>
  <c r="E15" i="2"/>
  <c r="D15" i="2"/>
  <c r="D14" i="2"/>
  <c r="D13" i="2"/>
  <c r="D12" i="2"/>
  <c r="D11" i="2"/>
  <c r="E10" i="2"/>
  <c r="D10" i="2"/>
  <c r="E9" i="2"/>
  <c r="D9" i="2"/>
  <c r="C15" i="2"/>
  <c r="C14" i="2"/>
  <c r="C13" i="2"/>
  <c r="C12" i="2"/>
  <c r="C11" i="2"/>
  <c r="C10" i="2"/>
  <c r="C9" i="2"/>
  <c r="C16" i="2" l="1"/>
  <c r="D16" i="2"/>
  <c r="E16" i="2"/>
  <c r="F16" i="2"/>
</calcChain>
</file>

<file path=xl/sharedStrings.xml><?xml version="1.0" encoding="utf-8"?>
<sst xmlns="http://schemas.openxmlformats.org/spreadsheetml/2006/main" count="31" uniqueCount="28">
  <si>
    <t>Controle de transmissões ao vivo</t>
  </si>
  <si>
    <t>Formato</t>
  </si>
  <si>
    <t>Ano:</t>
  </si>
  <si>
    <t>Data</t>
  </si>
  <si>
    <t>Unidade organizadora</t>
  </si>
  <si>
    <t>Coordenador/Responsável</t>
  </si>
  <si>
    <t>Título</t>
  </si>
  <si>
    <t>Duração</t>
  </si>
  <si>
    <t>Webinar</t>
  </si>
  <si>
    <t>2. Relatório</t>
  </si>
  <si>
    <t>Unidade</t>
  </si>
  <si>
    <t>Total de participantes</t>
  </si>
  <si>
    <t>Quantidade</t>
  </si>
  <si>
    <t>DG</t>
  </si>
  <si>
    <t>Tecnolat</t>
  </si>
  <si>
    <t>Cetea</t>
  </si>
  <si>
    <t>CCQA</t>
  </si>
  <si>
    <t>Cereal Chocotec</t>
  </si>
  <si>
    <t>Fruthotec</t>
  </si>
  <si>
    <t>CTC</t>
  </si>
  <si>
    <t>Live</t>
  </si>
  <si>
    <t>Total</t>
  </si>
  <si>
    <t>1. Registros de transmissões ao vivo</t>
  </si>
  <si>
    <t>Link*</t>
  </si>
  <si>
    <t>Número de participantes**</t>
  </si>
  <si>
    <t>* Link em que a apresentação ficará disponível para consulta posterior à realização
** Número estimado de participantes</t>
  </si>
  <si>
    <t>FQ-07.49 (anexo à IT-07.01.03) - revisão 01 de 02/01/24 - Página 1/2</t>
  </si>
  <si>
    <t>FQ-07.49 (anexo à IT-07.01.03) - revisão 01 de 02/01/24 - Página 2/2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</si>
</sst>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justify" vertical="center" wrapText="1"/>
      <protection locked="0"/>
    </xf>
    <xf numFmtId="0" fontId="1" fillId="0" borderId="6" xfId="0" applyFont="1" applyBorder="1" applyProtection="1">
      <protection locked="0"/>
    </xf>
    <xf numFmtId="0" fontId="1" fillId="0" borderId="2" xfId="0" applyFont="1" applyBorder="1" applyProtection="1">
      <protection locked="0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view="pageBreakPreview" zoomScaleNormal="100" zoomScaleSheetLayoutView="100" workbookViewId="0">
      <selection activeCell="H7" sqref="H7"/>
    </sheetView>
  </sheetViews>
  <sheetFormatPr defaultRowHeight="15" x14ac:dyDescent="0.25"/>
  <cols>
    <col min="2" max="2" width="22" customWidth="1"/>
    <col min="3" max="3" width="27" customWidth="1"/>
    <col min="4" max="4" width="15.5703125" customWidth="1"/>
    <col min="5" max="5" width="40.5703125" customWidth="1"/>
    <col min="6" max="6" width="12" customWidth="1"/>
    <col min="7" max="7" width="35.42578125" customWidth="1"/>
    <col min="8" max="8" width="15.28515625" customWidth="1"/>
  </cols>
  <sheetData>
    <row r="1" spans="1:8" ht="21" customHeight="1" thickBot="1" x14ac:dyDescent="0.3">
      <c r="A1" s="18" t="s">
        <v>0</v>
      </c>
      <c r="B1" s="19"/>
      <c r="C1" s="19"/>
      <c r="D1" s="19"/>
      <c r="E1" s="19"/>
      <c r="F1" s="19"/>
      <c r="G1" s="19"/>
      <c r="H1" s="20"/>
    </row>
    <row r="2" spans="1:8" ht="8.25" customHeight="1" thickBot="1" x14ac:dyDescent="0.3">
      <c r="A2" s="12"/>
      <c r="B2" s="13"/>
      <c r="C2" s="12"/>
      <c r="D2" s="12"/>
      <c r="E2" s="12"/>
      <c r="F2" s="12"/>
      <c r="G2" s="12"/>
      <c r="H2" s="12"/>
    </row>
    <row r="3" spans="1:8" ht="15.75" thickBot="1" x14ac:dyDescent="0.3">
      <c r="A3" s="1" t="s">
        <v>2</v>
      </c>
      <c r="B3" s="16"/>
    </row>
    <row r="4" spans="1:8" x14ac:dyDescent="0.25">
      <c r="A4" s="1"/>
      <c r="B4" s="1"/>
    </row>
    <row r="5" spans="1:8" x14ac:dyDescent="0.25">
      <c r="A5" s="22" t="s">
        <v>22</v>
      </c>
      <c r="B5" s="22"/>
      <c r="C5" s="22"/>
      <c r="D5" s="22"/>
      <c r="E5" s="22"/>
      <c r="F5" s="22"/>
      <c r="G5" s="22"/>
      <c r="H5" s="22"/>
    </row>
    <row r="7" spans="1:8" s="4" customFormat="1" ht="25.5" x14ac:dyDescent="0.25">
      <c r="A7" s="8" t="s">
        <v>3</v>
      </c>
      <c r="B7" s="8" t="s">
        <v>4</v>
      </c>
      <c r="C7" s="8" t="s">
        <v>5</v>
      </c>
      <c r="D7" s="8" t="s">
        <v>1</v>
      </c>
      <c r="E7" s="8" t="s">
        <v>6</v>
      </c>
      <c r="F7" s="8" t="s">
        <v>7</v>
      </c>
      <c r="G7" s="8" t="s">
        <v>23</v>
      </c>
      <c r="H7" s="8" t="s">
        <v>24</v>
      </c>
    </row>
    <row r="8" spans="1:8" s="3" customFormat="1" x14ac:dyDescent="0.25">
      <c r="A8" s="14"/>
      <c r="B8" s="14"/>
      <c r="C8" s="15"/>
      <c r="D8" s="14"/>
      <c r="E8" s="15"/>
      <c r="F8" s="14"/>
      <c r="G8" s="14"/>
      <c r="H8" s="14"/>
    </row>
    <row r="9" spans="1:8" s="3" customFormat="1" x14ac:dyDescent="0.25">
      <c r="A9" s="14"/>
      <c r="B9" s="14"/>
      <c r="C9" s="15"/>
      <c r="D9" s="14"/>
      <c r="E9" s="15"/>
      <c r="F9" s="14"/>
      <c r="G9" s="14"/>
      <c r="H9" s="14"/>
    </row>
    <row r="10" spans="1:8" s="3" customFormat="1" x14ac:dyDescent="0.25">
      <c r="A10" s="14"/>
      <c r="B10" s="14"/>
      <c r="C10" s="15"/>
      <c r="D10" s="14"/>
      <c r="E10" s="15"/>
      <c r="F10" s="14"/>
      <c r="G10" s="14"/>
      <c r="H10" s="14"/>
    </row>
    <row r="11" spans="1:8" s="3" customFormat="1" x14ac:dyDescent="0.25">
      <c r="A11" s="14"/>
      <c r="B11" s="14"/>
      <c r="C11" s="15"/>
      <c r="D11" s="14"/>
      <c r="E11" s="15"/>
      <c r="F11" s="14"/>
      <c r="G11" s="14"/>
      <c r="H11" s="14"/>
    </row>
    <row r="12" spans="1:8" s="3" customFormat="1" x14ac:dyDescent="0.25">
      <c r="A12" s="14"/>
      <c r="B12" s="14"/>
      <c r="C12" s="15"/>
      <c r="D12" s="14"/>
      <c r="E12" s="15"/>
      <c r="F12" s="14"/>
      <c r="G12" s="14"/>
      <c r="H12" s="14"/>
    </row>
    <row r="13" spans="1:8" s="3" customFormat="1" x14ac:dyDescent="0.25">
      <c r="A13" s="14"/>
      <c r="B13" s="14"/>
      <c r="C13" s="15"/>
      <c r="D13" s="14"/>
      <c r="E13" s="15"/>
      <c r="F13" s="14"/>
      <c r="G13" s="14"/>
      <c r="H13" s="14"/>
    </row>
    <row r="14" spans="1:8" s="3" customFormat="1" x14ac:dyDescent="0.25">
      <c r="A14" s="14"/>
      <c r="B14" s="14"/>
      <c r="C14" s="15"/>
      <c r="D14" s="14"/>
      <c r="E14" s="15"/>
      <c r="F14" s="14"/>
      <c r="G14" s="14"/>
      <c r="H14" s="14"/>
    </row>
    <row r="15" spans="1:8" s="3" customFormat="1" x14ac:dyDescent="0.25">
      <c r="A15" s="14"/>
      <c r="B15" s="14"/>
      <c r="C15" s="15"/>
      <c r="D15" s="14"/>
      <c r="E15" s="15"/>
      <c r="F15" s="14"/>
      <c r="G15" s="14"/>
      <c r="H15" s="14"/>
    </row>
    <row r="16" spans="1:8" s="3" customFormat="1" x14ac:dyDescent="0.25">
      <c r="A16" s="14"/>
      <c r="B16" s="14"/>
      <c r="C16" s="15"/>
      <c r="D16" s="14"/>
      <c r="E16" s="15"/>
      <c r="F16" s="14"/>
      <c r="G16" s="14"/>
      <c r="H16" s="14"/>
    </row>
    <row r="17" spans="1:8" s="3" customFormat="1" x14ac:dyDescent="0.25">
      <c r="A17" s="14"/>
      <c r="B17" s="14"/>
      <c r="C17" s="15"/>
      <c r="D17" s="14"/>
      <c r="E17" s="15"/>
      <c r="F17" s="14"/>
      <c r="G17" s="14"/>
      <c r="H17" s="14"/>
    </row>
    <row r="18" spans="1:8" s="3" customFormat="1" x14ac:dyDescent="0.25">
      <c r="A18" s="14"/>
      <c r="B18" s="14"/>
      <c r="C18" s="15"/>
      <c r="D18" s="14"/>
      <c r="E18" s="15"/>
      <c r="F18" s="14"/>
      <c r="G18" s="14"/>
      <c r="H18" s="14"/>
    </row>
    <row r="19" spans="1:8" s="3" customFormat="1" x14ac:dyDescent="0.25">
      <c r="A19" s="14"/>
      <c r="B19" s="14"/>
      <c r="C19" s="15"/>
      <c r="D19" s="14"/>
      <c r="E19" s="15"/>
      <c r="F19" s="14"/>
      <c r="G19" s="14"/>
      <c r="H19" s="14"/>
    </row>
    <row r="20" spans="1:8" s="3" customFormat="1" x14ac:dyDescent="0.25">
      <c r="A20" s="14"/>
      <c r="B20" s="14"/>
      <c r="C20" s="15"/>
      <c r="D20" s="14"/>
      <c r="E20" s="15"/>
      <c r="F20" s="14"/>
      <c r="G20" s="14"/>
      <c r="H20" s="14"/>
    </row>
    <row r="21" spans="1:8" s="3" customFormat="1" x14ac:dyDescent="0.25">
      <c r="A21" s="14"/>
      <c r="B21" s="14"/>
      <c r="C21" s="15"/>
      <c r="D21" s="14"/>
      <c r="E21" s="15"/>
      <c r="F21" s="14"/>
      <c r="G21" s="14"/>
      <c r="H21" s="14"/>
    </row>
    <row r="22" spans="1:8" s="3" customFormat="1" x14ac:dyDescent="0.25">
      <c r="A22" s="14"/>
      <c r="B22" s="14"/>
      <c r="C22" s="15"/>
      <c r="D22" s="14"/>
      <c r="E22" s="15"/>
      <c r="F22" s="14"/>
      <c r="G22" s="14"/>
      <c r="H22" s="14"/>
    </row>
    <row r="23" spans="1:8" s="3" customFormat="1" x14ac:dyDescent="0.25">
      <c r="A23" s="14"/>
      <c r="B23" s="14"/>
      <c r="C23" s="15"/>
      <c r="D23" s="14"/>
      <c r="E23" s="15"/>
      <c r="F23" s="14"/>
      <c r="G23" s="14"/>
      <c r="H23" s="14"/>
    </row>
    <row r="24" spans="1:8" s="3" customFormat="1" x14ac:dyDescent="0.25">
      <c r="A24" s="14"/>
      <c r="B24" s="14"/>
      <c r="C24" s="15"/>
      <c r="D24" s="14"/>
      <c r="E24" s="15"/>
      <c r="F24" s="14"/>
      <c r="G24" s="14"/>
      <c r="H24" s="14"/>
    </row>
    <row r="25" spans="1:8" x14ac:dyDescent="0.25">
      <c r="A25" s="14"/>
      <c r="B25" s="14"/>
      <c r="C25" s="15"/>
      <c r="D25" s="14"/>
      <c r="E25" s="15"/>
      <c r="F25" s="14"/>
      <c r="G25" s="14"/>
      <c r="H25" s="14"/>
    </row>
    <row r="26" spans="1:8" x14ac:dyDescent="0.25">
      <c r="A26" s="14"/>
      <c r="B26" s="14"/>
      <c r="C26" s="15"/>
      <c r="D26" s="14"/>
      <c r="E26" s="15"/>
      <c r="F26" s="14"/>
      <c r="G26" s="14"/>
      <c r="H26" s="14"/>
    </row>
    <row r="27" spans="1:8" x14ac:dyDescent="0.25">
      <c r="A27" s="14"/>
      <c r="B27" s="14"/>
      <c r="C27" s="15"/>
      <c r="D27" s="14"/>
      <c r="E27" s="15"/>
      <c r="F27" s="14"/>
      <c r="G27" s="14"/>
      <c r="H27" s="14"/>
    </row>
    <row r="28" spans="1:8" x14ac:dyDescent="0.25">
      <c r="A28" s="14"/>
      <c r="B28" s="14"/>
      <c r="C28" s="15"/>
      <c r="D28" s="14"/>
      <c r="E28" s="15"/>
      <c r="F28" s="14"/>
      <c r="G28" s="14"/>
      <c r="H28" s="14"/>
    </row>
    <row r="29" spans="1:8" x14ac:dyDescent="0.25">
      <c r="A29" s="14"/>
      <c r="B29" s="14"/>
      <c r="C29" s="15"/>
      <c r="D29" s="14"/>
      <c r="E29" s="15"/>
      <c r="F29" s="14"/>
      <c r="G29" s="14"/>
      <c r="H29" s="14"/>
    </row>
    <row r="30" spans="1:8" x14ac:dyDescent="0.25">
      <c r="A30" s="14"/>
      <c r="B30" s="14"/>
      <c r="C30" s="15"/>
      <c r="D30" s="14"/>
      <c r="E30" s="15"/>
      <c r="F30" s="14"/>
      <c r="G30" s="14"/>
      <c r="H30" s="14"/>
    </row>
    <row r="31" spans="1:8" x14ac:dyDescent="0.25">
      <c r="A31" s="14"/>
      <c r="B31" s="14"/>
      <c r="C31" s="15"/>
      <c r="D31" s="14"/>
      <c r="E31" s="15"/>
      <c r="F31" s="14"/>
      <c r="G31" s="14"/>
      <c r="H31" s="14"/>
    </row>
    <row r="32" spans="1:8" x14ac:dyDescent="0.25">
      <c r="A32" s="14"/>
      <c r="B32" s="14"/>
      <c r="C32" s="15"/>
      <c r="D32" s="14"/>
      <c r="E32" s="15"/>
      <c r="F32" s="14"/>
      <c r="G32" s="14"/>
      <c r="H32" s="14"/>
    </row>
    <row r="33" spans="1:8" x14ac:dyDescent="0.25">
      <c r="A33" s="14"/>
      <c r="B33" s="14"/>
      <c r="C33" s="15"/>
      <c r="D33" s="14"/>
      <c r="E33" s="15"/>
      <c r="F33" s="14"/>
      <c r="G33" s="14"/>
      <c r="H33" s="14"/>
    </row>
    <row r="34" spans="1:8" ht="15.75" thickBot="1" x14ac:dyDescent="0.3">
      <c r="A34" s="14"/>
      <c r="B34" s="14"/>
      <c r="C34" s="15"/>
      <c r="D34" s="14"/>
      <c r="E34" s="15"/>
      <c r="F34" s="14"/>
      <c r="G34" s="14"/>
      <c r="H34" s="14"/>
    </row>
    <row r="35" spans="1:8" ht="25.5" customHeight="1" thickBot="1" x14ac:dyDescent="0.3">
      <c r="A35" s="23" t="s">
        <v>25</v>
      </c>
      <c r="B35" s="24"/>
      <c r="C35" s="24"/>
      <c r="D35" s="24"/>
      <c r="E35" s="24"/>
      <c r="F35" s="24"/>
      <c r="G35" s="24"/>
      <c r="H35" s="25"/>
    </row>
    <row r="37" spans="1:8" x14ac:dyDescent="0.25">
      <c r="A37" s="21" t="s">
        <v>26</v>
      </c>
      <c r="B37" s="21"/>
      <c r="C37" s="21"/>
      <c r="D37" s="21"/>
      <c r="E37" s="21"/>
      <c r="F37" s="21"/>
      <c r="G37" s="21"/>
      <c r="H37" s="21"/>
    </row>
  </sheetData>
  <sheetProtection algorithmName="SHA-512" hashValue="KEY2CK9qRyhkX1l9j5o2Mw9Ut+lLKL01EsNoLf7o7A1Gyx2AOF9Twj2KOuRjLPODX4GydJhNtU3oOx1r/FYuSA==" saltValue="afRzgScEy/pMwv0EoWX4hA==" spinCount="100000" sheet="1" insertRows="0" deleteRows="0"/>
  <mergeCells count="4">
    <mergeCell ref="A1:H1"/>
    <mergeCell ref="A37:H37"/>
    <mergeCell ref="A5:H5"/>
    <mergeCell ref="A35:H35"/>
  </mergeCells>
  <dataValidations count="2">
    <dataValidation type="list" allowBlank="1" showInputMessage="1" showErrorMessage="1" sqref="D8:D34" xr:uid="{00000000-0002-0000-0000-000000000000}">
      <formula1>"Live, Webinar"</formula1>
    </dataValidation>
    <dataValidation type="list" allowBlank="1" showInputMessage="1" showErrorMessage="1" sqref="B8:B34" xr:uid="{00000000-0002-0000-0000-000001000000}">
      <formula1>"CCQA,Cetea,Cereal Chocotec,CTC,DG,Fruthotec,Tecnolat"</formula1>
    </dataValidation>
  </dataValidations>
  <pageMargins left="0.51181102362204722" right="0.51181102362204722" top="0.78740157480314965" bottom="0.78740157480314965" header="0.31496062992125984" footer="0.31496062992125984"/>
  <pageSetup paperSize="9" scale="76" orientation="landscape" verticalDpi="300" r:id="rId1"/>
  <headerFooter>
    <oddHeader>&amp;R&amp;P/&amp;N</oddHeader>
    <oddFooter>&amp;L&amp;"Arial,Normal"&amp;10FQ-07.49 (anexo à IT-07.01.03) - revisão 01 de 02/01/24 - Página 1/2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workbookViewId="0">
      <selection activeCell="E29" sqref="E29"/>
    </sheetView>
  </sheetViews>
  <sheetFormatPr defaultRowHeight="15" x14ac:dyDescent="0.25"/>
  <cols>
    <col min="2" max="2" width="22" customWidth="1"/>
    <col min="3" max="3" width="27.85546875" customWidth="1"/>
    <col min="4" max="5" width="18.85546875" customWidth="1"/>
    <col min="6" max="6" width="25.85546875" customWidth="1"/>
  </cols>
  <sheetData>
    <row r="1" spans="1:6" ht="16.5" thickBot="1" x14ac:dyDescent="0.3">
      <c r="A1" s="26" t="s">
        <v>0</v>
      </c>
      <c r="B1" s="27"/>
      <c r="C1" s="27"/>
      <c r="D1" s="27"/>
      <c r="E1" s="27"/>
      <c r="F1" s="28"/>
    </row>
    <row r="2" spans="1:6" ht="7.5" customHeight="1" thickBot="1" x14ac:dyDescent="0.3">
      <c r="A2" s="5"/>
      <c r="B2" s="5"/>
      <c r="C2" s="5"/>
      <c r="D2" s="5"/>
      <c r="E2" s="5"/>
      <c r="F2" s="5"/>
    </row>
    <row r="3" spans="1:6" ht="16.5" thickBot="1" x14ac:dyDescent="0.3">
      <c r="A3" s="1" t="s">
        <v>2</v>
      </c>
      <c r="B3" s="17">
        <f>'Página 1'!B3</f>
        <v>0</v>
      </c>
      <c r="C3" s="5"/>
      <c r="D3" s="5"/>
      <c r="E3" s="5"/>
      <c r="F3" s="5"/>
    </row>
    <row r="4" spans="1:6" ht="6.75" customHeight="1" x14ac:dyDescent="0.25">
      <c r="A4" s="1"/>
      <c r="B4" s="1"/>
      <c r="C4" s="5"/>
      <c r="D4" s="5"/>
      <c r="E4" s="5"/>
      <c r="F4" s="5"/>
    </row>
    <row r="5" spans="1:6" x14ac:dyDescent="0.25">
      <c r="A5" s="29" t="s">
        <v>9</v>
      </c>
      <c r="B5" s="29"/>
      <c r="C5" s="29"/>
      <c r="D5" s="29"/>
      <c r="E5" s="29"/>
      <c r="F5" s="29"/>
    </row>
    <row r="6" spans="1:6" x14ac:dyDescent="0.25">
      <c r="A6" s="11"/>
      <c r="B6" s="11"/>
      <c r="C6" s="11"/>
      <c r="D6" s="11"/>
      <c r="E6" s="11"/>
      <c r="F6" s="11"/>
    </row>
    <row r="7" spans="1:6" x14ac:dyDescent="0.25">
      <c r="B7" s="30" t="s">
        <v>10</v>
      </c>
      <c r="C7" s="30" t="s">
        <v>12</v>
      </c>
      <c r="D7" s="30" t="s">
        <v>1</v>
      </c>
      <c r="E7" s="30"/>
      <c r="F7" s="30" t="s">
        <v>11</v>
      </c>
    </row>
    <row r="8" spans="1:6" s="4" customFormat="1" x14ac:dyDescent="0.25">
      <c r="A8" s="6"/>
      <c r="B8" s="30"/>
      <c r="C8" s="30"/>
      <c r="D8" s="9" t="s">
        <v>8</v>
      </c>
      <c r="E8" s="9" t="s">
        <v>20</v>
      </c>
      <c r="F8" s="30"/>
    </row>
    <row r="9" spans="1:6" x14ac:dyDescent="0.25">
      <c r="A9" s="7"/>
      <c r="B9" s="2" t="s">
        <v>16</v>
      </c>
      <c r="C9" s="2">
        <f>COUNTIF('Página 1'!B$8:B$34,"CCQA")</f>
        <v>0</v>
      </c>
      <c r="D9" s="2">
        <f>COUNTIFS('Página 1'!B$8:B$34,"CCQA",'Página 1'!D$8:D$34,"Webinar")</f>
        <v>0</v>
      </c>
      <c r="E9" s="2">
        <f>COUNTIFS('Página 1'!B$8:B$34,"CCQA",'Página 1'!D$8:D$34,"Live")</f>
        <v>0</v>
      </c>
      <c r="F9" s="2">
        <f>SUMIF('Página 1'!B$8:B$34,"CCQA",'Página 1'!H$8:H$34)</f>
        <v>0</v>
      </c>
    </row>
    <row r="10" spans="1:6" x14ac:dyDescent="0.25">
      <c r="A10" s="7"/>
      <c r="B10" s="2" t="s">
        <v>17</v>
      </c>
      <c r="C10" s="2">
        <f>COUNTIF('Página 1'!B$8:B$34,"Cereal Chocotec")</f>
        <v>0</v>
      </c>
      <c r="D10" s="2">
        <f>COUNTIFS('Página 1'!B$8:B$34,"Cereal Chocotec",'Página 1'!D$8:D$34,"Webinar")</f>
        <v>0</v>
      </c>
      <c r="E10" s="2">
        <f>COUNTIFS('Página 1'!B$8:B$34,"Cereal Chocotec",'Página 1'!D$8:D$34,"Live")</f>
        <v>0</v>
      </c>
      <c r="F10" s="2">
        <f>SUMIF('Página 1'!B$8:B$34,"Cereal Chocotec",'Página 1'!H$8:H$34)</f>
        <v>0</v>
      </c>
    </row>
    <row r="11" spans="1:6" x14ac:dyDescent="0.25">
      <c r="A11" s="7"/>
      <c r="B11" s="2" t="s">
        <v>15</v>
      </c>
      <c r="C11" s="2">
        <f>COUNTIF('Página 1'!B$8:B$34,"Cetea")</f>
        <v>0</v>
      </c>
      <c r="D11" s="2">
        <f>COUNTIFS('Página 1'!B$8:B$34,"Cetea",'Página 1'!D$8:D$34,"Webinar")</f>
        <v>0</v>
      </c>
      <c r="E11" s="2">
        <f>COUNTIFS('Página 1'!B$8:B$34,"Cetea",'Página 1'!D$8:D$34,"Live")</f>
        <v>0</v>
      </c>
      <c r="F11" s="2">
        <f>SUMIF('Página 1'!B$8:B$34,"Cetea",'Página 1'!H$8:H$34)</f>
        <v>0</v>
      </c>
    </row>
    <row r="12" spans="1:6" x14ac:dyDescent="0.25">
      <c r="A12" s="7"/>
      <c r="B12" s="2" t="s">
        <v>19</v>
      </c>
      <c r="C12" s="2">
        <f>COUNTIF('Página 1'!B$8:B$34,"CTC")</f>
        <v>0</v>
      </c>
      <c r="D12" s="2">
        <f>COUNTIFS('Página 1'!B$8:B$34,"CTC",'Página 1'!D$8:D$34,"Webinar")</f>
        <v>0</v>
      </c>
      <c r="E12" s="2">
        <f>COUNTIFS('Página 1'!B$8:B$34,"CTC",'Página 1'!D$8:D$34,"Live")</f>
        <v>0</v>
      </c>
      <c r="F12" s="2">
        <f>SUMIF('Página 1'!B$8:B$34,"CTC",'Página 1'!H$8:H$34)</f>
        <v>0</v>
      </c>
    </row>
    <row r="13" spans="1:6" x14ac:dyDescent="0.25">
      <c r="A13" s="7"/>
      <c r="B13" s="2" t="s">
        <v>13</v>
      </c>
      <c r="C13" s="2">
        <f>COUNTIF('Página 1'!B$8:B$34,"DG")</f>
        <v>0</v>
      </c>
      <c r="D13" s="2">
        <f>COUNTIFS('Página 1'!B$8:B$34,"DG",'Página 1'!D$8:D$34,"Webinar")</f>
        <v>0</v>
      </c>
      <c r="E13" s="2">
        <f>COUNTIFS('Página 1'!B$8:B$34,"DG",'Página 1'!D$8:D$34,"Live")</f>
        <v>0</v>
      </c>
      <c r="F13" s="2">
        <f>SUMIF('Página 1'!B$8:B$34,"DG",'Página 1'!H$8:H$34)</f>
        <v>0</v>
      </c>
    </row>
    <row r="14" spans="1:6" x14ac:dyDescent="0.25">
      <c r="A14" s="7"/>
      <c r="B14" s="2" t="s">
        <v>18</v>
      </c>
      <c r="C14" s="2">
        <f>COUNTIF('Página 1'!B$8:B$34,"Fruthotec")</f>
        <v>0</v>
      </c>
      <c r="D14" s="2">
        <f>COUNTIFS('Página 1'!B$8:B$34,"Fruthotec",'Página 1'!D$8:D$34,"Webinar")</f>
        <v>0</v>
      </c>
      <c r="E14" s="2">
        <f>COUNTIFS('Página 1'!B$8:B$34,"Fruthotec",'Página 1'!D$8:D$34,"Live")</f>
        <v>0</v>
      </c>
      <c r="F14" s="2">
        <f>SUMIF('Página 1'!B$8:B$34,"Fruthotec",'Página 1'!H$8:H$34)</f>
        <v>0</v>
      </c>
    </row>
    <row r="15" spans="1:6" x14ac:dyDescent="0.25">
      <c r="A15" s="7"/>
      <c r="B15" s="2" t="s">
        <v>14</v>
      </c>
      <c r="C15" s="2">
        <f>COUNTIF('Página 1'!B$8:B$34,"Tecnolat")</f>
        <v>0</v>
      </c>
      <c r="D15" s="2">
        <f>COUNTIFS('Página 1'!B$8:B$34,"Tecnolat",'Página 1'!D$8:D$34,"Webinar")</f>
        <v>0</v>
      </c>
      <c r="E15" s="2">
        <f>COUNTIFS('Página 1'!B$8:B$34,"Tecnolat",'Página 1'!D$8:D$34,"Live")</f>
        <v>0</v>
      </c>
      <c r="F15" s="2">
        <f>SUMIF('Página 1'!B$8:B$34,"Tecnolat",'Página 1'!H$8:H$34)</f>
        <v>0</v>
      </c>
    </row>
    <row r="16" spans="1:6" x14ac:dyDescent="0.25">
      <c r="B16" s="8" t="s">
        <v>21</v>
      </c>
      <c r="C16" s="10">
        <f>SUM(C9:C15)</f>
        <v>0</v>
      </c>
      <c r="D16" s="10">
        <f>SUM(D9:D15)</f>
        <v>0</v>
      </c>
      <c r="E16" s="10">
        <f>SUM(E9:E15)</f>
        <v>0</v>
      </c>
      <c r="F16" s="10">
        <f>SUM(F9:F15)</f>
        <v>0</v>
      </c>
    </row>
    <row r="18" spans="1:6" x14ac:dyDescent="0.25">
      <c r="A18" s="21" t="s">
        <v>27</v>
      </c>
      <c r="B18" s="21"/>
      <c r="C18" s="21"/>
      <c r="D18" s="21"/>
      <c r="E18" s="21"/>
      <c r="F18" s="21"/>
    </row>
  </sheetData>
  <sheetProtection algorithmName="SHA-512" hashValue="CL/Zcxb15IHgub7X7GY22vYMMVjaIUohgqULvNEed/E9NhR+s7962+y4AVMauF+OEfQoR5gGuHMbj+GTG7Xprg==" saltValue="JMxGMKbWQ9hT7JJHwWXjHg==" spinCount="100000" sheet="1" objects="1" scenarios="1"/>
  <sortState xmlns:xlrd2="http://schemas.microsoft.com/office/spreadsheetml/2017/richdata2" ref="B9:B14">
    <sortCondition ref="B8"/>
  </sortState>
  <mergeCells count="7">
    <mergeCell ref="A1:F1"/>
    <mergeCell ref="A18:F18"/>
    <mergeCell ref="A5:F5"/>
    <mergeCell ref="D7:E7"/>
    <mergeCell ref="C7:C8"/>
    <mergeCell ref="B7:B8"/>
    <mergeCell ref="F7:F8"/>
  </mergeCells>
  <pageMargins left="0.511811024" right="0.511811024" top="0.78740157499999996" bottom="0.78740157499999996" header="0.31496062000000002" footer="0.31496062000000002"/>
  <pageSetup paperSize="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Página 1</vt:lpstr>
      <vt:lpstr>Página 2</vt:lpstr>
      <vt:lpstr>'Página 1'!Area_de_impressao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Leite</dc:creator>
  <cp:lastModifiedBy>SGQ</cp:lastModifiedBy>
  <cp:lastPrinted>2023-12-14T14:02:16Z</cp:lastPrinted>
  <dcterms:created xsi:type="dcterms:W3CDTF">2020-07-06T13:14:59Z</dcterms:created>
  <dcterms:modified xsi:type="dcterms:W3CDTF">2023-12-14T14:21:26Z</dcterms:modified>
</cp:coreProperties>
</file>