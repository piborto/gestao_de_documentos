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9.2\qualidadera-21\Novos Documentos RA-133\Aprovados\2023\L 20 10 2023\"/>
    </mc:Choice>
  </mc:AlternateContent>
  <xr:revisionPtr revIDLastSave="0" documentId="13_ncr:1_{09F747CF-5219-4368-BC7C-89E6478EDC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ágina 1_2" sheetId="2" r:id="rId1"/>
    <sheet name="Página 2_2" sheetId="8" r:id="rId2"/>
  </sheets>
  <calcPr calcId="191029"/>
</workbook>
</file>

<file path=xl/calcChain.xml><?xml version="1.0" encoding="utf-8"?>
<calcChain xmlns="http://schemas.openxmlformats.org/spreadsheetml/2006/main">
  <c r="D47" i="8" l="1"/>
  <c r="C47" i="8"/>
  <c r="C48" i="8"/>
  <c r="D48" i="8" s="1"/>
  <c r="C52" i="8"/>
  <c r="D52" i="8" s="1"/>
  <c r="C53" i="8"/>
  <c r="D53" i="8" s="1"/>
  <c r="K9" i="8"/>
  <c r="L9" i="8" s="1"/>
  <c r="K10" i="8"/>
  <c r="L10" i="8" s="1"/>
  <c r="K11" i="8"/>
  <c r="C49" i="8" s="1"/>
  <c r="D49" i="8" s="1"/>
  <c r="K12" i="8"/>
  <c r="C50" i="8" s="1"/>
  <c r="D50" i="8" s="1"/>
  <c r="K13" i="8"/>
  <c r="L13" i="8" s="1"/>
  <c r="K14" i="8"/>
  <c r="L14" i="8" s="1"/>
  <c r="K15" i="8"/>
  <c r="L15" i="8" s="1"/>
  <c r="L11" i="8" l="1"/>
  <c r="L16" i="8" s="1"/>
  <c r="C51" i="8"/>
  <c r="D51" i="8" s="1"/>
  <c r="D54" i="8" s="1"/>
  <c r="L12" i="8"/>
  <c r="K16" i="8"/>
  <c r="I29" i="8"/>
  <c r="I16" i="8"/>
  <c r="B16" i="8"/>
  <c r="C16" i="8"/>
  <c r="D16" i="8"/>
  <c r="E16" i="8"/>
  <c r="F16" i="8"/>
  <c r="G16" i="8"/>
  <c r="H16" i="8"/>
  <c r="J16" i="8"/>
  <c r="C54" i="8" l="1"/>
  <c r="A3" i="8"/>
  <c r="A2" i="8"/>
  <c r="B47" i="8" l="1"/>
  <c r="B48" i="8" l="1"/>
  <c r="B49" i="8"/>
  <c r="B50" i="8"/>
  <c r="B51" i="8"/>
  <c r="B52" i="8"/>
  <c r="B53" i="8"/>
  <c r="B54" i="8" l="1"/>
  <c r="D35" i="8"/>
  <c r="F35" i="8" s="1"/>
  <c r="A40" i="8" s="1"/>
  <c r="K23" i="8" l="1"/>
  <c r="E48" i="8" s="1"/>
  <c r="F48" i="8" s="1"/>
  <c r="K24" i="8"/>
  <c r="E49" i="8" s="1"/>
  <c r="F49" i="8" s="1"/>
  <c r="K25" i="8"/>
  <c r="E50" i="8" s="1"/>
  <c r="F50" i="8" s="1"/>
  <c r="K26" i="8"/>
  <c r="E51" i="8" s="1"/>
  <c r="F51" i="8" s="1"/>
  <c r="K27" i="8"/>
  <c r="E52" i="8" s="1"/>
  <c r="F52" i="8" s="1"/>
  <c r="K28" i="8"/>
  <c r="E53" i="8" s="1"/>
  <c r="F53" i="8" s="1"/>
  <c r="K22" i="8"/>
  <c r="E47" i="8" s="1"/>
  <c r="F47" i="8" s="1"/>
  <c r="D29" i="8"/>
  <c r="E29" i="8"/>
  <c r="F29" i="8"/>
  <c r="G29" i="8"/>
  <c r="H29" i="8"/>
  <c r="J29" i="8"/>
  <c r="C29" i="8"/>
  <c r="B29" i="8"/>
  <c r="F54" i="8" l="1"/>
  <c r="G54" i="8" s="1"/>
  <c r="E54" i="8"/>
  <c r="K29" i="8"/>
  <c r="G47" i="8" l="1"/>
  <c r="G53" i="8"/>
  <c r="F30" i="8"/>
  <c r="B40" i="8"/>
  <c r="D40" i="8" s="1"/>
  <c r="L22" i="8"/>
  <c r="B17" i="8"/>
  <c r="L29" i="8"/>
  <c r="I30" i="8" s="1"/>
  <c r="L27" i="8"/>
  <c r="L23" i="8"/>
  <c r="K30" i="8"/>
  <c r="J30" i="8"/>
  <c r="G30" i="8"/>
  <c r="E30" i="8"/>
  <c r="C30" i="8"/>
  <c r="L28" i="8"/>
  <c r="L26" i="8"/>
  <c r="L24" i="8"/>
  <c r="H30" i="8"/>
  <c r="D30" i="8"/>
  <c r="B30" i="8"/>
  <c r="L25" i="8"/>
  <c r="M9" i="8"/>
  <c r="H17" i="8"/>
  <c r="M11" i="8"/>
  <c r="M15" i="8"/>
  <c r="M16" i="8"/>
  <c r="I17" i="8" s="1"/>
  <c r="E17" i="8"/>
  <c r="F17" i="8"/>
  <c r="G17" i="8"/>
  <c r="M14" i="8"/>
  <c r="C17" i="8"/>
  <c r="J17" i="8"/>
  <c r="M10" i="8"/>
  <c r="D17" i="8"/>
  <c r="M12" i="8"/>
  <c r="M13" i="8"/>
  <c r="G49" i="8" l="1"/>
  <c r="G50" i="8"/>
  <c r="G51" i="8"/>
  <c r="G52" i="8"/>
  <c r="G48" i="8"/>
  <c r="F40" i="8" l="1"/>
</calcChain>
</file>

<file path=xl/sharedStrings.xml><?xml version="1.0" encoding="utf-8"?>
<sst xmlns="http://schemas.openxmlformats.org/spreadsheetml/2006/main" count="88" uniqueCount="61">
  <si>
    <t>OH</t>
  </si>
  <si>
    <t>HC</t>
  </si>
  <si>
    <t>CN</t>
  </si>
  <si>
    <t>CS</t>
  </si>
  <si>
    <t>IN</t>
  </si>
  <si>
    <t>OF</t>
  </si>
  <si>
    <t>CCQA</t>
  </si>
  <si>
    <t>CTC</t>
  </si>
  <si>
    <t>MT</t>
  </si>
  <si>
    <t>Data de envio</t>
  </si>
  <si>
    <t>Unidade geradora</t>
  </si>
  <si>
    <t>Funcionário responsável pelo envio</t>
  </si>
  <si>
    <t>RESÍDUOS LÍQUIDOS - BOMBONAS DE 20 L</t>
  </si>
  <si>
    <t>UNIDADES</t>
  </si>
  <si>
    <t>Desconhecido</t>
  </si>
  <si>
    <t>Estimativa total (kg)</t>
  </si>
  <si>
    <t>MASSA DAS BOMBONAS (em kg)</t>
  </si>
  <si>
    <t>MASSA TOTAL (BOMBONAS+CAIXAS) (em kg)</t>
  </si>
  <si>
    <t>Massa bombonas</t>
  </si>
  <si>
    <t>Massa das caixas</t>
  </si>
  <si>
    <t>Massa total (kg)</t>
  </si>
  <si>
    <t>Massa total (ton)</t>
  </si>
  <si>
    <t>RESÍDUOS SÓLIDOS - CAIXAS DE PAPELÃO (em kg)</t>
  </si>
  <si>
    <t>* Considerando 20 L por bombona</t>
  </si>
  <si>
    <t>Total por unidade (%)</t>
  </si>
  <si>
    <t>Total por unidade (L)</t>
  </si>
  <si>
    <t>Total por resíduo (L)*</t>
  </si>
  <si>
    <t>Total por resíduo (%)</t>
  </si>
  <si>
    <t>Total bombonas</t>
  </si>
  <si>
    <t>(ANO)</t>
  </si>
  <si>
    <t>Tipo de Resíduo</t>
  </si>
  <si>
    <r>
      <t xml:space="preserve">Nº bombonas  </t>
    </r>
    <r>
      <rPr>
        <sz val="10"/>
        <color theme="1"/>
        <rFont val="Arial"/>
        <family val="2"/>
      </rPr>
      <t>(Resíduo Líquido)</t>
    </r>
  </si>
  <si>
    <r>
      <t xml:space="preserve">Nº Caixas
</t>
    </r>
    <r>
      <rPr>
        <sz val="10"/>
        <color theme="1"/>
        <rFont val="Arial"/>
        <family val="2"/>
      </rPr>
      <t>(Resíduo Sólido)</t>
    </r>
  </si>
  <si>
    <t>Responsável pelo preenchimento</t>
  </si>
  <si>
    <t>Controle de Resíduos Químicos</t>
  </si>
  <si>
    <t xml:space="preserve">1. Registro de envio de resíduos para área de Armazenamento de Resíduos Químicos </t>
  </si>
  <si>
    <t>Observações</t>
  </si>
  <si>
    <t>2. Relatório de resíduos químicos gerados por Unidade</t>
  </si>
  <si>
    <t>Cetea</t>
  </si>
  <si>
    <t>Cereal Chocotec</t>
  </si>
  <si>
    <t>Fruthotec</t>
  </si>
  <si>
    <t>Tecnolat</t>
  </si>
  <si>
    <t>DG</t>
  </si>
  <si>
    <t>Total por resíduo (Kg)</t>
  </si>
  <si>
    <t>Total por unidade (kg)</t>
  </si>
  <si>
    <t>Peso médio 1 unidade vazia(kg)</t>
  </si>
  <si>
    <t>Total</t>
  </si>
  <si>
    <t>Peso médio 1 unidade cheia (kg)</t>
  </si>
  <si>
    <t>Quantidade</t>
  </si>
  <si>
    <t>Resíduos Líquidos
(L)</t>
  </si>
  <si>
    <t>Resíduos Líquidos
(kg)</t>
  </si>
  <si>
    <t>Resíduos Sólidos
(kg)</t>
  </si>
  <si>
    <t xml:space="preserve">
Resíduos Líquidos + Sólidos
(Kg)</t>
  </si>
  <si>
    <t>Porcentagem de produção de resíduo (Kg)</t>
  </si>
  <si>
    <t>(PERÍODO)</t>
  </si>
  <si>
    <t>OM</t>
  </si>
  <si>
    <t>FQ-07.37 (anexo à IT-07.01.01) - RA - revisão 02 de 20/10/23 - Página 2/2</t>
  </si>
  <si>
    <t>FQ-07.37 (anexo à IT-07.01.01) - RA - revisão 02 de 20/10/23 - Página 1/2</t>
  </si>
  <si>
    <t>Quantidade de bombonas</t>
  </si>
  <si>
    <t>Total por Unidade (%)</t>
  </si>
  <si>
    <r>
      <t xml:space="preserve">Resíduos Líquidos
</t>
    </r>
    <r>
      <rPr>
        <sz val="8"/>
        <color theme="0"/>
        <rFont val="Arial"/>
        <family val="2"/>
      </rPr>
      <t>(Quantidade bombonas)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</si>
</sst>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0070C0"/>
      <name val="Arial"/>
      <family val="2"/>
    </font>
    <font>
      <b/>
      <sz val="10"/>
      <color rgb="FFFF0000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</fonts>
  <fills count="8">
    <fill>
      <patternFill patternType="none"/>
    </fill>
    <fill>
      <patternFill patternType="gray125"/>
    </fill>
    <fill>
      <gradientFill degree="45">
        <stop position="0">
          <color theme="0"/>
        </stop>
        <stop position="1">
          <color theme="1" tint="0.34900967436750391"/>
        </stop>
      </gradient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8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0" xfId="0" applyFont="1"/>
    <xf numFmtId="164" fontId="2" fillId="0" borderId="17" xfId="0" applyNumberFormat="1" applyFont="1" applyBorder="1" applyAlignment="1">
      <alignment horizontal="center"/>
    </xf>
    <xf numFmtId="0" fontId="2" fillId="2" borderId="22" xfId="0" applyFont="1" applyFill="1" applyBorder="1"/>
    <xf numFmtId="0" fontId="2" fillId="0" borderId="9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2" fillId="0" borderId="30" xfId="0" applyFont="1" applyBorder="1" applyProtection="1">
      <protection locked="0"/>
    </xf>
    <xf numFmtId="0" fontId="2" fillId="0" borderId="34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35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31" xfId="0" applyFont="1" applyBorder="1" applyProtection="1">
      <protection locked="0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9" xfId="0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left"/>
    </xf>
    <xf numFmtId="164" fontId="2" fillId="3" borderId="13" xfId="0" applyNumberFormat="1" applyFont="1" applyFill="1" applyBorder="1" applyAlignment="1">
      <alignment horizontal="center"/>
    </xf>
    <xf numFmtId="0" fontId="3" fillId="6" borderId="5" xfId="0" applyFont="1" applyFill="1" applyBorder="1" applyAlignment="1">
      <alignment horizontal="left"/>
    </xf>
    <xf numFmtId="164" fontId="2" fillId="6" borderId="16" xfId="0" applyNumberFormat="1" applyFont="1" applyFill="1" applyBorder="1" applyAlignment="1">
      <alignment horizontal="center"/>
    </xf>
    <xf numFmtId="0" fontId="2" fillId="0" borderId="29" xfId="0" applyFont="1" applyBorder="1" applyAlignment="1">
      <alignment horizontal="left"/>
    </xf>
    <xf numFmtId="164" fontId="2" fillId="0" borderId="17" xfId="0" applyNumberFormat="1" applyFont="1" applyBorder="1"/>
    <xf numFmtId="0" fontId="2" fillId="0" borderId="11" xfId="0" applyFont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164" fontId="2" fillId="0" borderId="43" xfId="0" applyNumberFormat="1" applyFont="1" applyBorder="1"/>
    <xf numFmtId="0" fontId="8" fillId="4" borderId="3" xfId="0" applyFont="1" applyFill="1" applyBorder="1"/>
    <xf numFmtId="0" fontId="8" fillId="4" borderId="4" xfId="0" applyFont="1" applyFill="1" applyBorder="1" applyAlignment="1">
      <alignment horizontal="center"/>
    </xf>
    <xf numFmtId="0" fontId="8" fillId="4" borderId="18" xfId="0" applyFont="1" applyFill="1" applyBorder="1"/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 wrapText="1"/>
    </xf>
    <xf numFmtId="0" fontId="2" fillId="0" borderId="32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22" xfId="0" applyFont="1" applyBorder="1" applyProtection="1">
      <protection locked="0"/>
    </xf>
    <xf numFmtId="0" fontId="2" fillId="0" borderId="30" xfId="0" applyFont="1" applyBorder="1" applyAlignment="1" applyProtection="1">
      <alignment horizontal="center"/>
      <protection locked="0"/>
    </xf>
    <xf numFmtId="0" fontId="2" fillId="0" borderId="13" xfId="0" applyFont="1" applyBorder="1" applyAlignment="1" applyProtection="1">
      <alignment horizontal="center"/>
      <protection locked="0"/>
    </xf>
    <xf numFmtId="0" fontId="2" fillId="0" borderId="9" xfId="0" applyFont="1" applyBorder="1" applyAlignment="1">
      <alignment horizontal="left"/>
    </xf>
    <xf numFmtId="164" fontId="2" fillId="0" borderId="9" xfId="0" applyNumberFormat="1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164" fontId="2" fillId="0" borderId="11" xfId="0" applyNumberFormat="1" applyFont="1" applyBorder="1" applyAlignment="1">
      <alignment horizontal="center"/>
    </xf>
    <xf numFmtId="0" fontId="2" fillId="0" borderId="30" xfId="0" applyFont="1" applyBorder="1" applyAlignment="1">
      <alignment horizontal="left"/>
    </xf>
    <xf numFmtId="0" fontId="2" fillId="0" borderId="30" xfId="0" applyFont="1" applyBorder="1" applyAlignment="1">
      <alignment horizontal="center"/>
    </xf>
    <xf numFmtId="164" fontId="2" fillId="0" borderId="30" xfId="0" applyNumberFormat="1" applyFont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164" fontId="2" fillId="0" borderId="32" xfId="0" applyNumberFormat="1" applyFont="1" applyBorder="1" applyAlignment="1">
      <alignment horizontal="center"/>
    </xf>
    <xf numFmtId="164" fontId="2" fillId="0" borderId="43" xfId="0" applyNumberFormat="1" applyFont="1" applyBorder="1" applyAlignment="1">
      <alignment horizontal="center"/>
    </xf>
    <xf numFmtId="0" fontId="3" fillId="6" borderId="19" xfId="0" applyFont="1" applyFill="1" applyBorder="1" applyAlignment="1">
      <alignment horizontal="left"/>
    </xf>
    <xf numFmtId="164" fontId="2" fillId="6" borderId="20" xfId="0" applyNumberFormat="1" applyFont="1" applyFill="1" applyBorder="1" applyAlignment="1">
      <alignment horizontal="center"/>
    </xf>
    <xf numFmtId="0" fontId="2" fillId="2" borderId="21" xfId="0" applyFont="1" applyFill="1" applyBorder="1"/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2" fillId="6" borderId="6" xfId="0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0" fontId="3" fillId="6" borderId="20" xfId="0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4" fontId="2" fillId="0" borderId="29" xfId="0" applyNumberFormat="1" applyFont="1" applyBorder="1" applyProtection="1">
      <protection locked="0"/>
    </xf>
    <xf numFmtId="14" fontId="2" fillId="0" borderId="8" xfId="0" applyNumberFormat="1" applyFont="1" applyBorder="1" applyProtection="1">
      <protection locked="0"/>
    </xf>
    <xf numFmtId="14" fontId="2" fillId="0" borderId="12" xfId="0" applyNumberFormat="1" applyFont="1" applyBorder="1" applyProtection="1">
      <protection locked="0"/>
    </xf>
    <xf numFmtId="0" fontId="2" fillId="3" borderId="7" xfId="0" applyFont="1" applyFill="1" applyBorder="1" applyAlignment="1">
      <alignment horizontal="center"/>
    </xf>
    <xf numFmtId="164" fontId="2" fillId="3" borderId="31" xfId="0" applyNumberFormat="1" applyFont="1" applyFill="1" applyBorder="1" applyAlignment="1">
      <alignment horizontal="center"/>
    </xf>
    <xf numFmtId="0" fontId="2" fillId="2" borderId="48" xfId="0" applyFont="1" applyFill="1" applyBorder="1"/>
    <xf numFmtId="0" fontId="11" fillId="7" borderId="5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/>
    </xf>
    <xf numFmtId="164" fontId="11" fillId="7" borderId="16" xfId="0" applyNumberFormat="1" applyFont="1" applyFill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9" fillId="0" borderId="0" xfId="0" applyFont="1" applyAlignment="1" applyProtection="1">
      <alignment horizontal="center"/>
      <protection locked="0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8" fillId="7" borderId="28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 wrapText="1"/>
    </xf>
    <xf numFmtId="0" fontId="8" fillId="4" borderId="39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8" fillId="4" borderId="40" xfId="0" applyFont="1" applyFill="1" applyBorder="1" applyAlignment="1">
      <alignment horizontal="center" vertical="center"/>
    </xf>
    <xf numFmtId="0" fontId="8" fillId="4" borderId="41" xfId="0" applyFont="1" applyFill="1" applyBorder="1" applyAlignment="1">
      <alignment horizontal="center" vertical="center"/>
    </xf>
    <xf numFmtId="0" fontId="8" fillId="4" borderId="42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7" borderId="25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8" fillId="4" borderId="46" xfId="0" applyFont="1" applyFill="1" applyBorder="1" applyAlignment="1">
      <alignment horizontal="center" vertical="center" wrapText="1"/>
    </xf>
    <xf numFmtId="0" fontId="8" fillId="4" borderId="47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7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zoomScaleNormal="100" workbookViewId="0">
      <selection activeCell="O13" sqref="O13"/>
    </sheetView>
  </sheetViews>
  <sheetFormatPr defaultColWidth="9.140625" defaultRowHeight="14.25" x14ac:dyDescent="0.2"/>
  <cols>
    <col min="1" max="1" width="13.140625" style="1" customWidth="1"/>
    <col min="2" max="2" width="14.140625" style="1" customWidth="1"/>
    <col min="3" max="3" width="17.85546875" style="1" customWidth="1"/>
    <col min="4" max="4" width="15.140625" style="1" customWidth="1"/>
    <col min="5" max="5" width="17.28515625" style="1" customWidth="1"/>
    <col min="6" max="6" width="16.140625" style="1" customWidth="1"/>
    <col min="7" max="7" width="19.85546875" style="1" customWidth="1"/>
    <col min="8" max="8" width="14.85546875" style="1" bestFit="1" customWidth="1"/>
    <col min="9" max="16384" width="9.140625" style="1"/>
  </cols>
  <sheetData>
    <row r="1" spans="1:8" ht="16.5" thickBot="1" x14ac:dyDescent="0.3">
      <c r="A1" s="84" t="s">
        <v>34</v>
      </c>
      <c r="B1" s="85"/>
      <c r="C1" s="85"/>
      <c r="D1" s="85"/>
      <c r="E1" s="85"/>
      <c r="F1" s="85"/>
      <c r="G1" s="85"/>
      <c r="H1" s="86"/>
    </row>
    <row r="2" spans="1:8" x14ac:dyDescent="0.2">
      <c r="A2" s="87" t="s">
        <v>29</v>
      </c>
      <c r="B2" s="87"/>
      <c r="C2" s="87"/>
      <c r="D2" s="87"/>
      <c r="E2" s="87"/>
      <c r="F2" s="87"/>
      <c r="G2" s="87"/>
      <c r="H2" s="87"/>
    </row>
    <row r="3" spans="1:8" ht="19.899999999999999" customHeight="1" x14ac:dyDescent="0.2">
      <c r="A3" s="90" t="s">
        <v>54</v>
      </c>
      <c r="B3" s="90"/>
      <c r="C3" s="90"/>
      <c r="D3" s="90"/>
      <c r="E3" s="90"/>
      <c r="F3" s="90"/>
      <c r="G3" s="90"/>
      <c r="H3" s="90"/>
    </row>
    <row r="4" spans="1:8" x14ac:dyDescent="0.2">
      <c r="A4" s="88" t="s">
        <v>35</v>
      </c>
      <c r="B4" s="88"/>
      <c r="C4" s="88"/>
      <c r="D4" s="88"/>
      <c r="E4" s="88"/>
      <c r="F4" s="88"/>
      <c r="G4" s="88"/>
      <c r="H4" s="88"/>
    </row>
    <row r="5" spans="1:8" ht="9" customHeight="1" thickBot="1" x14ac:dyDescent="0.25">
      <c r="A5" s="2"/>
      <c r="B5" s="2"/>
      <c r="C5" s="2"/>
      <c r="D5" s="89"/>
      <c r="E5" s="89"/>
      <c r="F5" s="2"/>
      <c r="G5" s="2"/>
      <c r="H5" s="2"/>
    </row>
    <row r="6" spans="1:8" ht="39" customHeight="1" thickBot="1" x14ac:dyDescent="0.25">
      <c r="A6" s="40" t="s">
        <v>9</v>
      </c>
      <c r="B6" s="41" t="s">
        <v>10</v>
      </c>
      <c r="C6" s="41" t="s">
        <v>11</v>
      </c>
      <c r="D6" s="41" t="s">
        <v>30</v>
      </c>
      <c r="E6" s="41" t="s">
        <v>31</v>
      </c>
      <c r="F6" s="42" t="s">
        <v>32</v>
      </c>
      <c r="G6" s="43" t="s">
        <v>36</v>
      </c>
      <c r="H6" s="44" t="s">
        <v>33</v>
      </c>
    </row>
    <row r="7" spans="1:8" x14ac:dyDescent="0.2">
      <c r="A7" s="71"/>
      <c r="B7" s="13"/>
      <c r="C7" s="13"/>
      <c r="D7" s="48"/>
      <c r="E7" s="13"/>
      <c r="F7" s="14"/>
      <c r="G7" s="13"/>
      <c r="H7" s="45"/>
    </row>
    <row r="8" spans="1:8" x14ac:dyDescent="0.2">
      <c r="A8" s="72"/>
      <c r="B8" s="15"/>
      <c r="C8" s="15"/>
      <c r="D8" s="11"/>
      <c r="E8" s="15"/>
      <c r="F8" s="16"/>
      <c r="G8" s="15"/>
      <c r="H8" s="46"/>
    </row>
    <row r="9" spans="1:8" x14ac:dyDescent="0.2">
      <c r="A9" s="72"/>
      <c r="B9" s="15"/>
      <c r="C9" s="15"/>
      <c r="D9" s="11"/>
      <c r="E9" s="15"/>
      <c r="F9" s="16"/>
      <c r="G9" s="15"/>
      <c r="H9" s="46"/>
    </row>
    <row r="10" spans="1:8" x14ac:dyDescent="0.2">
      <c r="A10" s="72"/>
      <c r="B10" s="15"/>
      <c r="C10" s="15"/>
      <c r="D10" s="11"/>
      <c r="E10" s="15"/>
      <c r="F10" s="16"/>
      <c r="G10" s="15"/>
      <c r="H10" s="46"/>
    </row>
    <row r="11" spans="1:8" x14ac:dyDescent="0.2">
      <c r="A11" s="72"/>
      <c r="B11" s="15"/>
      <c r="C11" s="15"/>
      <c r="D11" s="11"/>
      <c r="E11" s="15"/>
      <c r="F11" s="16"/>
      <c r="G11" s="15"/>
      <c r="H11" s="46"/>
    </row>
    <row r="12" spans="1:8" x14ac:dyDescent="0.2">
      <c r="A12" s="72"/>
      <c r="B12" s="15"/>
      <c r="C12" s="15"/>
      <c r="D12" s="11"/>
      <c r="E12" s="15"/>
      <c r="F12" s="16"/>
      <c r="G12" s="15"/>
      <c r="H12" s="46"/>
    </row>
    <row r="13" spans="1:8" x14ac:dyDescent="0.2">
      <c r="A13" s="72"/>
      <c r="B13" s="15"/>
      <c r="C13" s="15"/>
      <c r="D13" s="11"/>
      <c r="E13" s="15"/>
      <c r="F13" s="16"/>
      <c r="G13" s="15"/>
      <c r="H13" s="46"/>
    </row>
    <row r="14" spans="1:8" x14ac:dyDescent="0.2">
      <c r="A14" s="72"/>
      <c r="B14" s="15"/>
      <c r="C14" s="15"/>
      <c r="D14" s="11"/>
      <c r="E14" s="15"/>
      <c r="F14" s="16"/>
      <c r="G14" s="15"/>
      <c r="H14" s="46"/>
    </row>
    <row r="15" spans="1:8" x14ac:dyDescent="0.2">
      <c r="A15" s="72"/>
      <c r="B15" s="15"/>
      <c r="C15" s="15"/>
      <c r="D15" s="11"/>
      <c r="E15" s="15"/>
      <c r="F15" s="16"/>
      <c r="G15" s="15"/>
      <c r="H15" s="46"/>
    </row>
    <row r="16" spans="1:8" x14ac:dyDescent="0.2">
      <c r="A16" s="72"/>
      <c r="B16" s="15"/>
      <c r="C16" s="15"/>
      <c r="D16" s="11"/>
      <c r="E16" s="15"/>
      <c r="F16" s="16"/>
      <c r="G16" s="15"/>
      <c r="H16" s="46"/>
    </row>
    <row r="17" spans="1:8" x14ac:dyDescent="0.2">
      <c r="A17" s="72"/>
      <c r="B17" s="15"/>
      <c r="C17" s="15"/>
      <c r="D17" s="11"/>
      <c r="E17" s="15"/>
      <c r="F17" s="16"/>
      <c r="G17" s="15"/>
      <c r="H17" s="46"/>
    </row>
    <row r="18" spans="1:8" x14ac:dyDescent="0.2">
      <c r="A18" s="72"/>
      <c r="B18" s="15"/>
      <c r="C18" s="15"/>
      <c r="D18" s="11"/>
      <c r="E18" s="15"/>
      <c r="F18" s="16"/>
      <c r="G18" s="15"/>
      <c r="H18" s="46"/>
    </row>
    <row r="19" spans="1:8" x14ac:dyDescent="0.2">
      <c r="A19" s="72"/>
      <c r="B19" s="15"/>
      <c r="C19" s="15"/>
      <c r="D19" s="11"/>
      <c r="E19" s="15"/>
      <c r="F19" s="16"/>
      <c r="G19" s="15"/>
      <c r="H19" s="46"/>
    </row>
    <row r="20" spans="1:8" x14ac:dyDescent="0.2">
      <c r="A20" s="72"/>
      <c r="B20" s="15"/>
      <c r="C20" s="15"/>
      <c r="D20" s="11"/>
      <c r="E20" s="15"/>
      <c r="F20" s="16"/>
      <c r="G20" s="15"/>
      <c r="H20" s="46"/>
    </row>
    <row r="21" spans="1:8" x14ac:dyDescent="0.2">
      <c r="A21" s="72"/>
      <c r="B21" s="15"/>
      <c r="C21" s="15"/>
      <c r="D21" s="11"/>
      <c r="E21" s="15"/>
      <c r="F21" s="16"/>
      <c r="G21" s="15"/>
      <c r="H21" s="46"/>
    </row>
    <row r="22" spans="1:8" x14ac:dyDescent="0.2">
      <c r="A22" s="72"/>
      <c r="B22" s="15"/>
      <c r="C22" s="15"/>
      <c r="D22" s="11"/>
      <c r="E22" s="15"/>
      <c r="F22" s="16"/>
      <c r="G22" s="15"/>
      <c r="H22" s="46"/>
    </row>
    <row r="23" spans="1:8" x14ac:dyDescent="0.2">
      <c r="A23" s="72"/>
      <c r="B23" s="15"/>
      <c r="C23" s="15"/>
      <c r="D23" s="11"/>
      <c r="E23" s="15"/>
      <c r="F23" s="16"/>
      <c r="G23" s="15"/>
      <c r="H23" s="46"/>
    </row>
    <row r="24" spans="1:8" x14ac:dyDescent="0.2">
      <c r="A24" s="72"/>
      <c r="B24" s="15"/>
      <c r="C24" s="15"/>
      <c r="D24" s="11"/>
      <c r="E24" s="15"/>
      <c r="F24" s="16"/>
      <c r="G24" s="15"/>
      <c r="H24" s="46"/>
    </row>
    <row r="25" spans="1:8" x14ac:dyDescent="0.2">
      <c r="A25" s="72"/>
      <c r="B25" s="15"/>
      <c r="C25" s="15"/>
      <c r="D25" s="11"/>
      <c r="E25" s="15"/>
      <c r="F25" s="16"/>
      <c r="G25" s="15"/>
      <c r="H25" s="46"/>
    </row>
    <row r="26" spans="1:8" x14ac:dyDescent="0.2">
      <c r="A26" s="72"/>
      <c r="B26" s="15"/>
      <c r="C26" s="15"/>
      <c r="D26" s="11"/>
      <c r="E26" s="15"/>
      <c r="F26" s="16"/>
      <c r="G26" s="15"/>
      <c r="H26" s="46"/>
    </row>
    <row r="27" spans="1:8" x14ac:dyDescent="0.2">
      <c r="A27" s="72"/>
      <c r="B27" s="15"/>
      <c r="C27" s="15"/>
      <c r="D27" s="11"/>
      <c r="E27" s="15"/>
      <c r="F27" s="16"/>
      <c r="G27" s="15"/>
      <c r="H27" s="46"/>
    </row>
    <row r="28" spans="1:8" x14ac:dyDescent="0.2">
      <c r="A28" s="72"/>
      <c r="B28" s="15"/>
      <c r="C28" s="15"/>
      <c r="D28" s="11"/>
      <c r="E28" s="15"/>
      <c r="F28" s="16"/>
      <c r="G28" s="15"/>
      <c r="H28" s="46"/>
    </row>
    <row r="29" spans="1:8" x14ac:dyDescent="0.2">
      <c r="A29" s="72"/>
      <c r="B29" s="15"/>
      <c r="C29" s="15"/>
      <c r="D29" s="11"/>
      <c r="E29" s="15"/>
      <c r="F29" s="16"/>
      <c r="G29" s="15"/>
      <c r="H29" s="46"/>
    </row>
    <row r="30" spans="1:8" x14ac:dyDescent="0.2">
      <c r="A30" s="72"/>
      <c r="B30" s="15"/>
      <c r="C30" s="15"/>
      <c r="D30" s="11"/>
      <c r="E30" s="15"/>
      <c r="F30" s="16"/>
      <c r="G30" s="15"/>
      <c r="H30" s="46"/>
    </row>
    <row r="31" spans="1:8" ht="15" thickBot="1" x14ac:dyDescent="0.25">
      <c r="A31" s="73"/>
      <c r="B31" s="17"/>
      <c r="C31" s="17"/>
      <c r="D31" s="49"/>
      <c r="E31" s="17"/>
      <c r="F31" s="18"/>
      <c r="G31" s="17"/>
      <c r="H31" s="47"/>
    </row>
    <row r="32" spans="1:8" x14ac:dyDescent="0.2">
      <c r="A32" s="2"/>
      <c r="B32" s="2"/>
      <c r="C32" s="2"/>
      <c r="D32" s="2"/>
      <c r="E32" s="2"/>
      <c r="F32" s="2"/>
      <c r="G32" s="2"/>
      <c r="H32" s="2"/>
    </row>
    <row r="33" spans="1:8" x14ac:dyDescent="0.2">
      <c r="A33" s="83" t="s">
        <v>57</v>
      </c>
      <c r="B33" s="83"/>
      <c r="C33" s="83"/>
      <c r="D33" s="83"/>
      <c r="E33" s="83"/>
      <c r="F33" s="83"/>
      <c r="G33" s="83"/>
      <c r="H33" s="83"/>
    </row>
  </sheetData>
  <sheetProtection algorithmName="SHA-512" hashValue="6uj8ktT78erE3ZCweRmLIcoGMZxOpPBpXTJpSGS9FCXo2Len3rEU6BNq7KVcJJ+tYVXpvuKQMhCuXu8K9juDkg==" saltValue="MwOeTG3yeMqvPfAGaP7/VA==" spinCount="100000" sheet="1" insertRows="0" deleteRows="0"/>
  <mergeCells count="6">
    <mergeCell ref="A33:H33"/>
    <mergeCell ref="A1:H1"/>
    <mergeCell ref="A2:H2"/>
    <mergeCell ref="A4:H4"/>
    <mergeCell ref="D5:E5"/>
    <mergeCell ref="A3:H3"/>
  </mergeCells>
  <dataValidations count="1">
    <dataValidation type="list" allowBlank="1" showInputMessage="1" showErrorMessage="1" sqref="B7:B31" xr:uid="{417A47BC-3932-4C8F-A180-68A4B50238DA}">
      <formula1>"CCQA,Cetea,CTC,Cereal Chocotec, Fruthotec, Tecnolat, DG"</formula1>
    </dataValidation>
  </dataValidations>
  <pageMargins left="0.51181102362204722" right="0.51181102362204722" top="0.78740157480314965" bottom="0.78740157480314965" header="0.31496062992125984" footer="0.31496062992125984"/>
  <pageSetup paperSize="9" scale="9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2D8F798-5C23-4617-ADAD-914018CD2000}">
          <x14:formula1>
            <xm:f>'Página 2_2'!$B$8:$J$8</xm:f>
          </x14:formula1>
          <xm:sqref>D7:D31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6"/>
  <sheetViews>
    <sheetView zoomScaleNormal="100" workbookViewId="0">
      <selection activeCell="O13" sqref="O13"/>
    </sheetView>
  </sheetViews>
  <sheetFormatPr defaultColWidth="13.42578125" defaultRowHeight="12.75" x14ac:dyDescent="0.2"/>
  <cols>
    <col min="1" max="1" width="21.42578125" style="2" customWidth="1"/>
    <col min="2" max="2" width="9.28515625" style="2" customWidth="1"/>
    <col min="3" max="3" width="9.5703125" style="2" customWidth="1"/>
    <col min="4" max="4" width="9.140625" style="2" customWidth="1"/>
    <col min="5" max="5" width="11.7109375" style="2" customWidth="1"/>
    <col min="6" max="6" width="13.7109375" style="2" customWidth="1"/>
    <col min="7" max="7" width="12.85546875" style="2" customWidth="1"/>
    <col min="8" max="9" width="8.5703125" style="2" customWidth="1"/>
    <col min="10" max="10" width="14.140625" style="2" customWidth="1"/>
    <col min="11" max="11" width="16.28515625" style="2" customWidth="1"/>
    <col min="12" max="12" width="13.42578125" style="2"/>
    <col min="13" max="13" width="14.85546875" style="2" bestFit="1" customWidth="1"/>
    <col min="14" max="16384" width="13.42578125" style="2"/>
  </cols>
  <sheetData>
    <row r="1" spans="1:13" ht="16.5" thickBot="1" x14ac:dyDescent="0.3">
      <c r="A1" s="84" t="s">
        <v>34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6"/>
    </row>
    <row r="2" spans="1:13" x14ac:dyDescent="0.2">
      <c r="A2" s="87" t="str">
        <f>'Página 1_2'!A2:H2</f>
        <v>(ANO)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3" x14ac:dyDescent="0.2">
      <c r="A3" s="90" t="str">
        <f>'Página 1_2'!A3:H3</f>
        <v>(PERÍODO)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5" spans="1:13" ht="15" customHeight="1" x14ac:dyDescent="0.2">
      <c r="A5" s="88" t="s">
        <v>37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</row>
    <row r="6" spans="1:13" ht="7.5" customHeight="1" thickBot="1" x14ac:dyDescent="0.25"/>
    <row r="7" spans="1:13" ht="13.15" customHeight="1" x14ac:dyDescent="0.2">
      <c r="A7" s="114" t="s">
        <v>13</v>
      </c>
      <c r="B7" s="106" t="s">
        <v>12</v>
      </c>
      <c r="C7" s="107"/>
      <c r="D7" s="107"/>
      <c r="E7" s="107"/>
      <c r="F7" s="107"/>
      <c r="G7" s="107"/>
      <c r="H7" s="107"/>
      <c r="I7" s="107"/>
      <c r="J7" s="108"/>
      <c r="K7" s="95" t="s">
        <v>58</v>
      </c>
      <c r="L7" s="95" t="s">
        <v>25</v>
      </c>
      <c r="M7" s="123" t="s">
        <v>59</v>
      </c>
    </row>
    <row r="8" spans="1:13" ht="15" customHeight="1" thickBot="1" x14ac:dyDescent="0.25">
      <c r="A8" s="115"/>
      <c r="B8" s="57" t="s">
        <v>0</v>
      </c>
      <c r="C8" s="57" t="s">
        <v>1</v>
      </c>
      <c r="D8" s="57" t="s">
        <v>2</v>
      </c>
      <c r="E8" s="58" t="s">
        <v>3</v>
      </c>
      <c r="F8" s="57" t="s">
        <v>8</v>
      </c>
      <c r="G8" s="57" t="s">
        <v>4</v>
      </c>
      <c r="H8" s="57" t="s">
        <v>5</v>
      </c>
      <c r="I8" s="57" t="s">
        <v>55</v>
      </c>
      <c r="J8" s="57" t="s">
        <v>14</v>
      </c>
      <c r="K8" s="96"/>
      <c r="L8" s="96"/>
      <c r="M8" s="124"/>
    </row>
    <row r="9" spans="1:13" x14ac:dyDescent="0.2">
      <c r="A9" s="32" t="s">
        <v>6</v>
      </c>
      <c r="B9" s="48"/>
      <c r="C9" s="48"/>
      <c r="D9" s="48"/>
      <c r="E9" s="48"/>
      <c r="F9" s="48"/>
      <c r="G9" s="48"/>
      <c r="H9" s="48"/>
      <c r="I9" s="48"/>
      <c r="J9" s="48"/>
      <c r="K9" s="80">
        <f>SUM(B9:J9)</f>
        <v>0</v>
      </c>
      <c r="L9" s="55">
        <f>K9*20</f>
        <v>0</v>
      </c>
      <c r="M9" s="59" t="str">
        <f>IFERROR((L9/L16)*100,"")</f>
        <v/>
      </c>
    </row>
    <row r="10" spans="1:13" x14ac:dyDescent="0.2">
      <c r="A10" s="3" t="s">
        <v>38</v>
      </c>
      <c r="B10" s="11"/>
      <c r="C10" s="11"/>
      <c r="D10" s="11"/>
      <c r="E10" s="11"/>
      <c r="F10" s="11"/>
      <c r="G10" s="11"/>
      <c r="H10" s="11"/>
      <c r="I10" s="11"/>
      <c r="J10" s="11"/>
      <c r="K10" s="80">
        <f t="shared" ref="K10:K14" si="0">SUM(B10:J10)</f>
        <v>0</v>
      </c>
      <c r="L10" s="55">
        <f t="shared" ref="L10:L15" si="1">K10*20</f>
        <v>0</v>
      </c>
      <c r="M10" s="9" t="str">
        <f>IFERROR((L10/L16)*100,"")</f>
        <v/>
      </c>
    </row>
    <row r="11" spans="1:13" x14ac:dyDescent="0.2">
      <c r="A11" s="3" t="s">
        <v>7</v>
      </c>
      <c r="B11" s="11"/>
      <c r="C11" s="11"/>
      <c r="D11" s="11"/>
      <c r="E11" s="11"/>
      <c r="F11" s="11"/>
      <c r="G11" s="11"/>
      <c r="H11" s="11"/>
      <c r="I11" s="11"/>
      <c r="J11" s="11"/>
      <c r="K11" s="80">
        <f t="shared" si="0"/>
        <v>0</v>
      </c>
      <c r="L11" s="55">
        <f t="shared" si="1"/>
        <v>0</v>
      </c>
      <c r="M11" s="9" t="str">
        <f>IFERROR((L11/L16)*100,"")</f>
        <v/>
      </c>
    </row>
    <row r="12" spans="1:13" x14ac:dyDescent="0.2">
      <c r="A12" s="3" t="s">
        <v>39</v>
      </c>
      <c r="B12" s="11"/>
      <c r="C12" s="11"/>
      <c r="D12" s="11"/>
      <c r="E12" s="11"/>
      <c r="F12" s="11"/>
      <c r="G12" s="11"/>
      <c r="H12" s="11"/>
      <c r="I12" s="11"/>
      <c r="J12" s="11"/>
      <c r="K12" s="80">
        <f t="shared" si="0"/>
        <v>0</v>
      </c>
      <c r="L12" s="55">
        <f t="shared" si="1"/>
        <v>0</v>
      </c>
      <c r="M12" s="9" t="str">
        <f>IFERROR((L12/L16)*100,"")</f>
        <v/>
      </c>
    </row>
    <row r="13" spans="1:13" x14ac:dyDescent="0.2">
      <c r="A13" s="3" t="s">
        <v>40</v>
      </c>
      <c r="B13" s="11"/>
      <c r="C13" s="11"/>
      <c r="D13" s="11"/>
      <c r="E13" s="11"/>
      <c r="F13" s="11"/>
      <c r="G13" s="11"/>
      <c r="H13" s="11"/>
      <c r="I13" s="11"/>
      <c r="J13" s="11"/>
      <c r="K13" s="80">
        <f t="shared" si="0"/>
        <v>0</v>
      </c>
      <c r="L13" s="55">
        <f t="shared" si="1"/>
        <v>0</v>
      </c>
      <c r="M13" s="9" t="str">
        <f>IFERROR((L13/L16)*100,"")</f>
        <v/>
      </c>
    </row>
    <row r="14" spans="1:13" x14ac:dyDescent="0.2">
      <c r="A14" s="3" t="s">
        <v>41</v>
      </c>
      <c r="B14" s="11"/>
      <c r="C14" s="11"/>
      <c r="D14" s="11"/>
      <c r="E14" s="11"/>
      <c r="F14" s="11"/>
      <c r="G14" s="11"/>
      <c r="H14" s="11"/>
      <c r="I14" s="11"/>
      <c r="J14" s="11"/>
      <c r="K14" s="80">
        <f t="shared" si="0"/>
        <v>0</v>
      </c>
      <c r="L14" s="55">
        <f t="shared" si="1"/>
        <v>0</v>
      </c>
      <c r="M14" s="9" t="str">
        <f>IFERROR((L14/L16)*100,"")</f>
        <v/>
      </c>
    </row>
    <row r="15" spans="1:13" ht="13.5" thickBot="1" x14ac:dyDescent="0.25">
      <c r="A15" s="4" t="s">
        <v>42</v>
      </c>
      <c r="B15" s="12"/>
      <c r="C15" s="12"/>
      <c r="D15" s="12"/>
      <c r="E15" s="12"/>
      <c r="F15" s="12"/>
      <c r="G15" s="12"/>
      <c r="H15" s="12"/>
      <c r="I15" s="12"/>
      <c r="J15" s="12"/>
      <c r="K15" s="80">
        <f>SUM(B15:J15)</f>
        <v>0</v>
      </c>
      <c r="L15" s="55">
        <f t="shared" si="1"/>
        <v>0</v>
      </c>
      <c r="M15" s="60" t="str">
        <f>IFERROR((L15/L16)*100,"")</f>
        <v/>
      </c>
    </row>
    <row r="16" spans="1:13" x14ac:dyDescent="0.2">
      <c r="A16" s="26" t="s">
        <v>26</v>
      </c>
      <c r="B16" s="27">
        <f t="shared" ref="B16:J16" si="2">SUM(B9:B15)*20</f>
        <v>0</v>
      </c>
      <c r="C16" s="27">
        <f t="shared" si="2"/>
        <v>0</v>
      </c>
      <c r="D16" s="27">
        <f t="shared" si="2"/>
        <v>0</v>
      </c>
      <c r="E16" s="27">
        <f t="shared" si="2"/>
        <v>0</v>
      </c>
      <c r="F16" s="27">
        <f t="shared" si="2"/>
        <v>0</v>
      </c>
      <c r="G16" s="27">
        <f t="shared" si="2"/>
        <v>0</v>
      </c>
      <c r="H16" s="27">
        <f t="shared" si="2"/>
        <v>0</v>
      </c>
      <c r="I16" s="27">
        <f>SUM(I9:I15)*20</f>
        <v>0</v>
      </c>
      <c r="J16" s="74">
        <f t="shared" si="2"/>
        <v>0</v>
      </c>
      <c r="K16" s="77">
        <f>SUM(K9:K15)</f>
        <v>0</v>
      </c>
      <c r="L16" s="78">
        <f>SUM(L9:L15)</f>
        <v>0</v>
      </c>
      <c r="M16" s="79" t="str">
        <f>IFERROR((L16/L16)*100,"")</f>
        <v/>
      </c>
    </row>
    <row r="17" spans="1:13" ht="13.5" thickBot="1" x14ac:dyDescent="0.25">
      <c r="A17" s="28" t="s">
        <v>27</v>
      </c>
      <c r="B17" s="29" t="str">
        <f>IFERROR((B16/L16)*100,"")</f>
        <v/>
      </c>
      <c r="C17" s="29" t="str">
        <f>IFERROR((C16/L16)*100,"")</f>
        <v/>
      </c>
      <c r="D17" s="29" t="str">
        <f>IFERROR((D16/L16)*100,"")</f>
        <v/>
      </c>
      <c r="E17" s="29" t="str">
        <f>IFERROR((E16/L16)*100,"")</f>
        <v/>
      </c>
      <c r="F17" s="29" t="str">
        <f>IFERROR((F16/L16)*100,"")</f>
        <v/>
      </c>
      <c r="G17" s="29" t="str">
        <f>IFERROR((G16/L16)*100,"")</f>
        <v/>
      </c>
      <c r="H17" s="29" t="str">
        <f>IFERROR((H16/L16)*100,"")</f>
        <v/>
      </c>
      <c r="I17" s="29" t="str">
        <f>IFERROR((I16/M16)*100,"")</f>
        <v/>
      </c>
      <c r="J17" s="75" t="str">
        <f>IFERROR((J16/L16)*100,"")</f>
        <v/>
      </c>
      <c r="K17" s="76"/>
      <c r="L17" s="10"/>
      <c r="M17" s="10"/>
    </row>
    <row r="18" spans="1:13" x14ac:dyDescent="0.2">
      <c r="A18" s="5" t="s">
        <v>23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3" ht="13.5" thickBot="1" x14ac:dyDescent="0.2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3" ht="12.75" customHeight="1" x14ac:dyDescent="0.2">
      <c r="A20" s="116" t="s">
        <v>13</v>
      </c>
      <c r="B20" s="131" t="s">
        <v>22</v>
      </c>
      <c r="C20" s="132"/>
      <c r="D20" s="132"/>
      <c r="E20" s="132"/>
      <c r="F20" s="132"/>
      <c r="G20" s="132"/>
      <c r="H20" s="132"/>
      <c r="I20" s="132"/>
      <c r="J20" s="132"/>
      <c r="K20" s="97" t="s">
        <v>44</v>
      </c>
      <c r="L20" s="97" t="s">
        <v>24</v>
      </c>
    </row>
    <row r="21" spans="1:13" ht="13.5" thickBot="1" x14ac:dyDescent="0.25">
      <c r="A21" s="117"/>
      <c r="B21" s="68" t="s">
        <v>0</v>
      </c>
      <c r="C21" s="69" t="s">
        <v>1</v>
      </c>
      <c r="D21" s="69" t="s">
        <v>2</v>
      </c>
      <c r="E21" s="69" t="s">
        <v>3</v>
      </c>
      <c r="F21" s="69" t="s">
        <v>8</v>
      </c>
      <c r="G21" s="69" t="s">
        <v>4</v>
      </c>
      <c r="H21" s="69" t="s">
        <v>5</v>
      </c>
      <c r="I21" s="70" t="s">
        <v>55</v>
      </c>
      <c r="J21" s="70" t="s">
        <v>14</v>
      </c>
      <c r="K21" s="98"/>
      <c r="L21" s="98"/>
    </row>
    <row r="22" spans="1:13" x14ac:dyDescent="0.2">
      <c r="A22" s="54" t="s">
        <v>6</v>
      </c>
      <c r="B22" s="48"/>
      <c r="C22" s="48"/>
      <c r="D22" s="48"/>
      <c r="E22" s="48"/>
      <c r="F22" s="48"/>
      <c r="G22" s="48"/>
      <c r="H22" s="48"/>
      <c r="I22" s="48"/>
      <c r="J22" s="48"/>
      <c r="K22" s="66">
        <f t="shared" ref="K22:K28" si="3">SUM(B22:J22)</f>
        <v>0</v>
      </c>
      <c r="L22" s="56" t="str">
        <f>IFERROR((K22/K29)*100,"")</f>
        <v/>
      </c>
    </row>
    <row r="23" spans="1:13" x14ac:dyDescent="0.2">
      <c r="A23" s="50" t="s">
        <v>38</v>
      </c>
      <c r="B23" s="11"/>
      <c r="C23" s="11"/>
      <c r="D23" s="11"/>
      <c r="E23" s="11"/>
      <c r="F23" s="11"/>
      <c r="G23" s="11"/>
      <c r="H23" s="11"/>
      <c r="I23" s="11"/>
      <c r="J23" s="11"/>
      <c r="K23" s="64">
        <f t="shared" si="3"/>
        <v>0</v>
      </c>
      <c r="L23" s="51" t="str">
        <f>IFERROR((K23/K29)*100,"")</f>
        <v/>
      </c>
    </row>
    <row r="24" spans="1:13" x14ac:dyDescent="0.2">
      <c r="A24" s="50" t="s">
        <v>7</v>
      </c>
      <c r="B24" s="11"/>
      <c r="C24" s="11"/>
      <c r="D24" s="11"/>
      <c r="E24" s="11"/>
      <c r="F24" s="11"/>
      <c r="G24" s="11"/>
      <c r="H24" s="11"/>
      <c r="I24" s="11"/>
      <c r="J24" s="11"/>
      <c r="K24" s="64">
        <f t="shared" si="3"/>
        <v>0</v>
      </c>
      <c r="L24" s="51" t="str">
        <f>IFERROR((K24/K29)*100,"")</f>
        <v/>
      </c>
    </row>
    <row r="25" spans="1:13" x14ac:dyDescent="0.2">
      <c r="A25" s="50" t="s">
        <v>39</v>
      </c>
      <c r="B25" s="11"/>
      <c r="C25" s="11"/>
      <c r="D25" s="11"/>
      <c r="E25" s="11"/>
      <c r="F25" s="11"/>
      <c r="G25" s="11"/>
      <c r="H25" s="11"/>
      <c r="I25" s="11"/>
      <c r="J25" s="11"/>
      <c r="K25" s="64">
        <f t="shared" si="3"/>
        <v>0</v>
      </c>
      <c r="L25" s="51" t="str">
        <f>IFERROR((K25/K29)*100,"")</f>
        <v/>
      </c>
    </row>
    <row r="26" spans="1:13" ht="12.75" customHeight="1" x14ac:dyDescent="0.2">
      <c r="A26" s="50" t="s">
        <v>40</v>
      </c>
      <c r="B26" s="11"/>
      <c r="C26" s="11"/>
      <c r="D26" s="11"/>
      <c r="E26" s="11"/>
      <c r="F26" s="11"/>
      <c r="G26" s="11"/>
      <c r="H26" s="11"/>
      <c r="I26" s="11"/>
      <c r="J26" s="11"/>
      <c r="K26" s="64">
        <f t="shared" si="3"/>
        <v>0</v>
      </c>
      <c r="L26" s="51" t="str">
        <f>IFERROR((K26/K29)*100,"")</f>
        <v/>
      </c>
    </row>
    <row r="27" spans="1:13" ht="15.75" customHeight="1" x14ac:dyDescent="0.2">
      <c r="A27" s="50" t="s">
        <v>41</v>
      </c>
      <c r="B27" s="11"/>
      <c r="C27" s="11"/>
      <c r="D27" s="11"/>
      <c r="E27" s="11"/>
      <c r="F27" s="11"/>
      <c r="G27" s="11"/>
      <c r="H27" s="11"/>
      <c r="I27" s="11"/>
      <c r="J27" s="11"/>
      <c r="K27" s="64">
        <f t="shared" si="3"/>
        <v>0</v>
      </c>
      <c r="L27" s="51" t="str">
        <f>IFERROR((K27/K29)*100,"")</f>
        <v/>
      </c>
    </row>
    <row r="28" spans="1:13" ht="15.75" customHeight="1" thickBot="1" x14ac:dyDescent="0.25">
      <c r="A28" s="52" t="s">
        <v>42</v>
      </c>
      <c r="B28" s="12"/>
      <c r="C28" s="12"/>
      <c r="D28" s="12"/>
      <c r="E28" s="12"/>
      <c r="F28" s="12"/>
      <c r="G28" s="12"/>
      <c r="H28" s="12"/>
      <c r="I28" s="12"/>
      <c r="J28" s="12"/>
      <c r="K28" s="65">
        <f t="shared" si="3"/>
        <v>0</v>
      </c>
      <c r="L28" s="53" t="str">
        <f>IFERROR((K28/K29)*100,"")</f>
        <v/>
      </c>
    </row>
    <row r="29" spans="1:13" ht="15.75" customHeight="1" x14ac:dyDescent="0.2">
      <c r="A29" s="30" t="s">
        <v>43</v>
      </c>
      <c r="B29" s="67">
        <f>SUM(B22:B28)</f>
        <v>0</v>
      </c>
      <c r="C29" s="67">
        <f>SUM(C22:C28)</f>
        <v>0</v>
      </c>
      <c r="D29" s="67">
        <f t="shared" ref="D29:J29" si="4">SUM(D22:D28)</f>
        <v>0</v>
      </c>
      <c r="E29" s="67">
        <f t="shared" si="4"/>
        <v>0</v>
      </c>
      <c r="F29" s="67">
        <f t="shared" si="4"/>
        <v>0</v>
      </c>
      <c r="G29" s="67">
        <f t="shared" si="4"/>
        <v>0</v>
      </c>
      <c r="H29" s="67">
        <f t="shared" si="4"/>
        <v>0</v>
      </c>
      <c r="I29" s="67">
        <f>SUM(I22:I28)</f>
        <v>0</v>
      </c>
      <c r="J29" s="67">
        <f t="shared" si="4"/>
        <v>0</v>
      </c>
      <c r="K29" s="67">
        <f>SUM(K22:K28)</f>
        <v>0</v>
      </c>
      <c r="L29" s="31" t="str">
        <f>IFERROR((K29/K29)*100,"")</f>
        <v/>
      </c>
    </row>
    <row r="30" spans="1:13" ht="15.75" customHeight="1" thickBot="1" x14ac:dyDescent="0.25">
      <c r="A30" s="61" t="s">
        <v>27</v>
      </c>
      <c r="B30" s="62" t="str">
        <f>IFERROR((B29/K29)*100,"")</f>
        <v/>
      </c>
      <c r="C30" s="62" t="str">
        <f>IFERROR((C29/K29)*100,"")</f>
        <v/>
      </c>
      <c r="D30" s="62" t="str">
        <f>IFERROR((D29/K29)*100,"")</f>
        <v/>
      </c>
      <c r="E30" s="62" t="str">
        <f>IFERROR((E29/K29)*100,"")</f>
        <v/>
      </c>
      <c r="F30" s="62" t="str">
        <f>IFERROR((F29/K29)*100,"")</f>
        <v/>
      </c>
      <c r="G30" s="62" t="str">
        <f>IFERROR((G29/K29)*100,"")</f>
        <v/>
      </c>
      <c r="H30" s="62" t="str">
        <f>IFERROR((H29/K29)*100,"")</f>
        <v/>
      </c>
      <c r="I30" s="62" t="str">
        <f>IFERROR((I29/L29)*100,"")</f>
        <v/>
      </c>
      <c r="J30" s="62" t="str">
        <f>IFERROR((J29/K29)*100,"")</f>
        <v/>
      </c>
      <c r="K30" s="62" t="str">
        <f>IFERROR((K29/K29)*100,"")</f>
        <v/>
      </c>
      <c r="L30" s="63"/>
    </row>
    <row r="31" spans="1:13" ht="15.75" customHeight="1" x14ac:dyDescent="0.2">
      <c r="A31" s="19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3" ht="13.5" thickBot="1" x14ac:dyDescent="0.25">
      <c r="A32" s="5"/>
      <c r="B32" s="6"/>
      <c r="C32" s="6"/>
      <c r="D32" s="6"/>
      <c r="E32" s="6"/>
      <c r="F32" s="6"/>
      <c r="G32" s="6"/>
      <c r="H32" s="6"/>
      <c r="I32" s="6"/>
      <c r="J32" s="6"/>
    </row>
    <row r="33" spans="1:10" ht="15.75" customHeight="1" thickBot="1" x14ac:dyDescent="0.25">
      <c r="A33" s="109" t="s">
        <v>16</v>
      </c>
      <c r="B33" s="110"/>
      <c r="C33" s="110"/>
      <c r="D33" s="110"/>
      <c r="E33" s="110"/>
      <c r="F33" s="110"/>
      <c r="G33" s="111"/>
      <c r="H33" s="20"/>
      <c r="I33" s="20"/>
      <c r="J33" s="20"/>
    </row>
    <row r="34" spans="1:10" ht="30" customHeight="1" x14ac:dyDescent="0.2">
      <c r="A34" s="25" t="s">
        <v>45</v>
      </c>
      <c r="B34" s="99" t="s">
        <v>47</v>
      </c>
      <c r="C34" s="99"/>
      <c r="D34" s="101" t="s">
        <v>28</v>
      </c>
      <c r="E34" s="102"/>
      <c r="F34" s="91" t="s">
        <v>15</v>
      </c>
      <c r="G34" s="92"/>
    </row>
    <row r="35" spans="1:10" ht="15.75" customHeight="1" thickBot="1" x14ac:dyDescent="0.25">
      <c r="A35" s="7">
        <v>1</v>
      </c>
      <c r="B35" s="100">
        <v>21</v>
      </c>
      <c r="C35" s="100"/>
      <c r="D35" s="103">
        <f>SUM(B9:J15)</f>
        <v>0</v>
      </c>
      <c r="E35" s="104"/>
      <c r="F35" s="103">
        <f>D35*B35</f>
        <v>0</v>
      </c>
      <c r="G35" s="105"/>
      <c r="H35" s="93"/>
      <c r="I35" s="89"/>
      <c r="J35" s="94"/>
    </row>
    <row r="36" spans="1:10" x14ac:dyDescent="0.2">
      <c r="A36" s="8"/>
    </row>
    <row r="37" spans="1:10" ht="15" customHeight="1" thickBot="1" x14ac:dyDescent="0.25"/>
    <row r="38" spans="1:10" ht="15.75" customHeight="1" thickBot="1" x14ac:dyDescent="0.25">
      <c r="A38" s="109" t="s">
        <v>17</v>
      </c>
      <c r="B38" s="110"/>
      <c r="C38" s="110"/>
      <c r="D38" s="110"/>
      <c r="E38" s="110"/>
      <c r="F38" s="110"/>
      <c r="G38" s="111"/>
    </row>
    <row r="39" spans="1:10" x14ac:dyDescent="0.2">
      <c r="A39" s="23" t="s">
        <v>18</v>
      </c>
      <c r="B39" s="133" t="s">
        <v>19</v>
      </c>
      <c r="C39" s="133"/>
      <c r="D39" s="133" t="s">
        <v>20</v>
      </c>
      <c r="E39" s="133"/>
      <c r="F39" s="133" t="s">
        <v>21</v>
      </c>
      <c r="G39" s="134"/>
    </row>
    <row r="40" spans="1:10" ht="25.15" customHeight="1" thickBot="1" x14ac:dyDescent="0.25">
      <c r="A40" s="24">
        <f>F35</f>
        <v>0</v>
      </c>
      <c r="B40" s="135">
        <f>K29</f>
        <v>0</v>
      </c>
      <c r="C40" s="135"/>
      <c r="D40" s="135">
        <f>SUM(A40:C40)</f>
        <v>0</v>
      </c>
      <c r="E40" s="135"/>
      <c r="F40" s="135">
        <f>D40/1000</f>
        <v>0</v>
      </c>
      <c r="G40" s="136"/>
    </row>
    <row r="41" spans="1:10" ht="13.5" thickBot="1" x14ac:dyDescent="0.25"/>
    <row r="42" spans="1:10" ht="15" customHeight="1" thickBot="1" x14ac:dyDescent="0.25">
      <c r="A42" s="118" t="s">
        <v>13</v>
      </c>
      <c r="B42" s="128" t="s">
        <v>48</v>
      </c>
      <c r="C42" s="129"/>
      <c r="D42" s="129"/>
      <c r="E42" s="129"/>
      <c r="F42" s="129"/>
      <c r="G42" s="130"/>
    </row>
    <row r="43" spans="1:10" ht="13.15" customHeight="1" x14ac:dyDescent="0.2">
      <c r="A43" s="119"/>
      <c r="B43" s="112" t="s">
        <v>49</v>
      </c>
      <c r="C43" s="112" t="s">
        <v>60</v>
      </c>
      <c r="D43" s="121" t="s">
        <v>50</v>
      </c>
      <c r="E43" s="125" t="s">
        <v>51</v>
      </c>
      <c r="F43" s="125" t="s">
        <v>52</v>
      </c>
      <c r="G43" s="126" t="s">
        <v>53</v>
      </c>
    </row>
    <row r="44" spans="1:10" x14ac:dyDescent="0.2">
      <c r="A44" s="119"/>
      <c r="B44" s="113"/>
      <c r="C44" s="113"/>
      <c r="D44" s="122"/>
      <c r="E44" s="125"/>
      <c r="F44" s="125"/>
      <c r="G44" s="126"/>
    </row>
    <row r="45" spans="1:10" x14ac:dyDescent="0.2">
      <c r="A45" s="119"/>
      <c r="B45" s="113"/>
      <c r="C45" s="113"/>
      <c r="D45" s="122"/>
      <c r="E45" s="125"/>
      <c r="F45" s="125"/>
      <c r="G45" s="126"/>
    </row>
    <row r="46" spans="1:10" ht="28.5" customHeight="1" thickBot="1" x14ac:dyDescent="0.25">
      <c r="A46" s="120"/>
      <c r="B46" s="113"/>
      <c r="C46" s="113"/>
      <c r="D46" s="122"/>
      <c r="E46" s="121"/>
      <c r="F46" s="121"/>
      <c r="G46" s="127"/>
    </row>
    <row r="47" spans="1:10" x14ac:dyDescent="0.2">
      <c r="A47" s="32" t="s">
        <v>6</v>
      </c>
      <c r="B47" s="21">
        <f t="shared" ref="B47:B53" si="5">L9</f>
        <v>0</v>
      </c>
      <c r="C47" s="81">
        <f t="shared" ref="C47:C53" si="6">K9</f>
        <v>0</v>
      </c>
      <c r="D47" s="21">
        <f>C47*B$35</f>
        <v>0</v>
      </c>
      <c r="E47" s="21">
        <f t="shared" ref="E47:E53" si="7">K22</f>
        <v>0</v>
      </c>
      <c r="F47" s="22">
        <f>E47+D47</f>
        <v>0</v>
      </c>
      <c r="G47" s="33" t="str">
        <f>IFERROR((F47/F54)*100,"")</f>
        <v/>
      </c>
    </row>
    <row r="48" spans="1:10" x14ac:dyDescent="0.2">
      <c r="A48" s="3" t="s">
        <v>38</v>
      </c>
      <c r="B48" s="21">
        <f t="shared" si="5"/>
        <v>0</v>
      </c>
      <c r="C48" s="81">
        <f t="shared" si="6"/>
        <v>0</v>
      </c>
      <c r="D48" s="21">
        <f t="shared" ref="D48:D53" si="8">C48*B$35</f>
        <v>0</v>
      </c>
      <c r="E48" s="21">
        <f t="shared" si="7"/>
        <v>0</v>
      </c>
      <c r="F48" s="22">
        <f t="shared" ref="F48:F53" si="9">E48+D48</f>
        <v>0</v>
      </c>
      <c r="G48" s="33" t="str">
        <f>IFERROR((F48/F54)*100,"")</f>
        <v/>
      </c>
    </row>
    <row r="49" spans="1:12" x14ac:dyDescent="0.2">
      <c r="A49" s="3" t="s">
        <v>7</v>
      </c>
      <c r="B49" s="21">
        <f t="shared" si="5"/>
        <v>0</v>
      </c>
      <c r="C49" s="81">
        <f t="shared" si="6"/>
        <v>0</v>
      </c>
      <c r="D49" s="21">
        <f t="shared" si="8"/>
        <v>0</v>
      </c>
      <c r="E49" s="21">
        <f t="shared" si="7"/>
        <v>0</v>
      </c>
      <c r="F49" s="22">
        <f t="shared" si="9"/>
        <v>0</v>
      </c>
      <c r="G49" s="33" t="str">
        <f>IFERROR((F49/F54)*100,"")</f>
        <v/>
      </c>
    </row>
    <row r="50" spans="1:12" x14ac:dyDescent="0.2">
      <c r="A50" s="3" t="s">
        <v>39</v>
      </c>
      <c r="B50" s="21">
        <f t="shared" si="5"/>
        <v>0</v>
      </c>
      <c r="C50" s="81">
        <f t="shared" si="6"/>
        <v>0</v>
      </c>
      <c r="D50" s="21">
        <f t="shared" si="8"/>
        <v>0</v>
      </c>
      <c r="E50" s="21">
        <f t="shared" si="7"/>
        <v>0</v>
      </c>
      <c r="F50" s="22">
        <f t="shared" si="9"/>
        <v>0</v>
      </c>
      <c r="G50" s="33" t="str">
        <f>IFERROR((F50/F54)*100,"")</f>
        <v/>
      </c>
    </row>
    <row r="51" spans="1:12" x14ac:dyDescent="0.2">
      <c r="A51" s="3" t="s">
        <v>40</v>
      </c>
      <c r="B51" s="21">
        <f t="shared" si="5"/>
        <v>0</v>
      </c>
      <c r="C51" s="81">
        <f t="shared" si="6"/>
        <v>0</v>
      </c>
      <c r="D51" s="21">
        <f t="shared" si="8"/>
        <v>0</v>
      </c>
      <c r="E51" s="21">
        <f t="shared" si="7"/>
        <v>0</v>
      </c>
      <c r="F51" s="22">
        <f t="shared" si="9"/>
        <v>0</v>
      </c>
      <c r="G51" s="33" t="str">
        <f>IFERROR((F51/F54)*100,"")</f>
        <v/>
      </c>
    </row>
    <row r="52" spans="1:12" x14ac:dyDescent="0.2">
      <c r="A52" s="3" t="s">
        <v>41</v>
      </c>
      <c r="B52" s="21">
        <f t="shared" si="5"/>
        <v>0</v>
      </c>
      <c r="C52" s="81">
        <f t="shared" si="6"/>
        <v>0</v>
      </c>
      <c r="D52" s="21">
        <f t="shared" si="8"/>
        <v>0</v>
      </c>
      <c r="E52" s="21">
        <f t="shared" si="7"/>
        <v>0</v>
      </c>
      <c r="F52" s="22">
        <f t="shared" si="9"/>
        <v>0</v>
      </c>
      <c r="G52" s="33" t="str">
        <f>IFERROR((F52/F54)*100,"")</f>
        <v/>
      </c>
    </row>
    <row r="53" spans="1:12" ht="13.5" thickBot="1" x14ac:dyDescent="0.25">
      <c r="A53" s="4" t="s">
        <v>42</v>
      </c>
      <c r="B53" s="34">
        <f t="shared" si="5"/>
        <v>0</v>
      </c>
      <c r="C53" s="82">
        <f t="shared" si="6"/>
        <v>0</v>
      </c>
      <c r="D53" s="21">
        <f t="shared" si="8"/>
        <v>0</v>
      </c>
      <c r="E53" s="34">
        <f t="shared" si="7"/>
        <v>0</v>
      </c>
      <c r="F53" s="35">
        <f t="shared" si="9"/>
        <v>0</v>
      </c>
      <c r="G53" s="36" t="str">
        <f>IFERROR((F53/F54)*100,"")</f>
        <v/>
      </c>
    </row>
    <row r="54" spans="1:12" ht="13.5" thickBot="1" x14ac:dyDescent="0.25">
      <c r="A54" s="37" t="s">
        <v>46</v>
      </c>
      <c r="B54" s="38">
        <f>SUM(B47:B53)</f>
        <v>0</v>
      </c>
      <c r="C54" s="38">
        <f>SUM(C47:C53)</f>
        <v>0</v>
      </c>
      <c r="D54" s="38">
        <f>SUM(D47:D53)</f>
        <v>0</v>
      </c>
      <c r="E54" s="38">
        <f>SUM(E47:E53)</f>
        <v>0</v>
      </c>
      <c r="F54" s="38">
        <f>SUM(F47:F53)</f>
        <v>0</v>
      </c>
      <c r="G54" s="39" t="str">
        <f>IFERROR((F54/F54)*100,"")</f>
        <v/>
      </c>
    </row>
    <row r="56" spans="1:12" x14ac:dyDescent="0.2">
      <c r="A56" s="83" t="s">
        <v>56</v>
      </c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</row>
  </sheetData>
  <sheetProtection algorithmName="SHA-512" hashValue="/CQZnEN2EfYs4/VP98AUjScDr9Nz0H/uUUQMhv6GKpHBoAczNwrra+pc8V+5T0smrm3qX6iyE0jL0B6qo0hvdw==" saltValue="xT86pznqDuQQsVIuiiOP2Q==" spinCount="100000" sheet="1" autoFilter="0"/>
  <mergeCells count="37">
    <mergeCell ref="K7:K8"/>
    <mergeCell ref="M7:M8"/>
    <mergeCell ref="F43:F46"/>
    <mergeCell ref="G43:G46"/>
    <mergeCell ref="B42:G42"/>
    <mergeCell ref="L20:L21"/>
    <mergeCell ref="B43:B46"/>
    <mergeCell ref="E43:E46"/>
    <mergeCell ref="B20:J20"/>
    <mergeCell ref="F39:G39"/>
    <mergeCell ref="F40:G40"/>
    <mergeCell ref="A38:G38"/>
    <mergeCell ref="B39:C39"/>
    <mergeCell ref="D39:E39"/>
    <mergeCell ref="B40:C40"/>
    <mergeCell ref="D40:E40"/>
    <mergeCell ref="C43:C46"/>
    <mergeCell ref="A7:A8"/>
    <mergeCell ref="A20:A21"/>
    <mergeCell ref="A42:A46"/>
    <mergeCell ref="D43:D46"/>
    <mergeCell ref="A1:L1"/>
    <mergeCell ref="A2:L2"/>
    <mergeCell ref="A3:L3"/>
    <mergeCell ref="A5:L5"/>
    <mergeCell ref="A56:L56"/>
    <mergeCell ref="F34:G34"/>
    <mergeCell ref="H35:J35"/>
    <mergeCell ref="L7:L8"/>
    <mergeCell ref="K20:K21"/>
    <mergeCell ref="B34:C34"/>
    <mergeCell ref="B35:C35"/>
    <mergeCell ref="D34:E34"/>
    <mergeCell ref="D35:E35"/>
    <mergeCell ref="F35:G35"/>
    <mergeCell ref="B7:J7"/>
    <mergeCell ref="A33:G33"/>
  </mergeCells>
  <pageMargins left="0.511811024" right="0.511811024" top="0.78740157499999996" bottom="0.78740157499999996" header="0.31496062000000002" footer="0.31496062000000002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Página 1_2</vt:lpstr>
      <vt:lpstr>Página 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SGQ</cp:lastModifiedBy>
  <cp:lastPrinted>2023-10-19T14:27:29Z</cp:lastPrinted>
  <dcterms:created xsi:type="dcterms:W3CDTF">2015-02-03T15:36:49Z</dcterms:created>
  <dcterms:modified xsi:type="dcterms:W3CDTF">2023-10-19T14:29:36Z</dcterms:modified>
</cp:coreProperties>
</file>