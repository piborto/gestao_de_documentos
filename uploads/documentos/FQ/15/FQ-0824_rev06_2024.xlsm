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564CA151-5A5B-428A-3C10-775976492406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192.168.89.2\qualidadera-21\Novos Documentos RA-133\Aprovados\2024\A 02 01 24\"/>
    </mc:Choice>
  </mc:AlternateContent>
  <xr:revisionPtr revIDLastSave="0" documentId="13_ncr:1_{E4535AF8-3910-42C1-BB70-CB51B3B8D782}" xr6:coauthVersionLast="47" xr6:coauthVersionMax="47" xr10:uidLastSave="{00000000-0000-0000-0000-000000000000}"/>
  <bookViews>
    <workbookView xWindow="-120" yWindow="-120" windowWidth="29040" windowHeight="15720" tabRatio="534" xr2:uid="{00000000-000D-0000-FFFF-FFFF00000000}"/>
  </bookViews>
  <sheets>
    <sheet name="FQ-08.24" sheetId="6" r:id="rId1"/>
    <sheet name="Plan1" sheetId="7" state="hidden" r:id="rId2"/>
  </sheets>
  <definedNames>
    <definedName name="_xlnm.Print_Area" localSheetId="0">'FQ-08.24'!$A$1:$AB$102</definedName>
    <definedName name="_xlnm.Print_Titles" localSheetId="0">'FQ-08.24'!$1:$5</definedName>
    <definedName name="Z_2901D317_5E92_401A_86B1_97347976552B_.wvu.PrintArea" localSheetId="0" hidden="1">'FQ-08.24'!$A$1:$AG$46</definedName>
  </definedNames>
  <calcPr calcId="191029"/>
  <customWorkbookViews>
    <customWorkbookView name="Yone - Modo de exibição pessoal" guid="{2901D317-5E92-401A-86B1-97347976552B}" mergeInterval="0" personalView="1" maximized="1" windowWidth="796" windowHeight="411" activeSheetId="1"/>
  </customWorkbookViews>
</workbook>
</file>

<file path=xl/calcChain.xml><?xml version="1.0" encoding="utf-8"?>
<calcChain xmlns="http://schemas.openxmlformats.org/spreadsheetml/2006/main">
  <c r="X85" i="6" l="1"/>
  <c r="U85" i="6"/>
  <c r="R85" i="6"/>
  <c r="O85" i="6"/>
  <c r="L85" i="6"/>
  <c r="I85" i="6"/>
  <c r="F85" i="6"/>
  <c r="X84" i="6"/>
  <c r="U84" i="6"/>
  <c r="R84" i="6"/>
  <c r="O84" i="6"/>
  <c r="L84" i="6"/>
  <c r="I84" i="6"/>
  <c r="F84" i="6"/>
  <c r="X83" i="6"/>
  <c r="U83" i="6"/>
  <c r="R83" i="6"/>
  <c r="O83" i="6"/>
  <c r="L83" i="6"/>
  <c r="I83" i="6"/>
  <c r="F83" i="6"/>
  <c r="X82" i="6"/>
  <c r="U82" i="6"/>
  <c r="R82" i="6"/>
  <c r="O82" i="6"/>
  <c r="L82" i="6"/>
  <c r="I82" i="6"/>
  <c r="F82" i="6"/>
  <c r="AA77" i="6"/>
  <c r="X77" i="6"/>
  <c r="U77" i="6"/>
  <c r="R77" i="6"/>
  <c r="O77" i="6"/>
  <c r="L77" i="6"/>
  <c r="I77" i="6"/>
  <c r="F77" i="6"/>
  <c r="AA71" i="6"/>
  <c r="X71" i="6"/>
  <c r="U71" i="6"/>
  <c r="R71" i="6"/>
  <c r="O71" i="6"/>
  <c r="L71" i="6"/>
  <c r="I71" i="6"/>
  <c r="X66" i="6"/>
  <c r="U66" i="6"/>
  <c r="R66" i="6"/>
  <c r="O66" i="6"/>
  <c r="L66" i="6"/>
  <c r="I66" i="6"/>
  <c r="F66" i="6"/>
  <c r="X65" i="6"/>
  <c r="U65" i="6"/>
  <c r="R65" i="6"/>
  <c r="O65" i="6"/>
  <c r="L65" i="6"/>
  <c r="I65" i="6"/>
  <c r="F65" i="6"/>
  <c r="X62" i="6"/>
  <c r="U62" i="6"/>
  <c r="R62" i="6"/>
  <c r="O62" i="6"/>
  <c r="L62" i="6"/>
  <c r="I62" i="6"/>
  <c r="F62" i="6"/>
  <c r="X61" i="6"/>
  <c r="U61" i="6"/>
  <c r="R61" i="6"/>
  <c r="O61" i="6"/>
  <c r="L61" i="6"/>
  <c r="I61" i="6"/>
  <c r="F61" i="6"/>
  <c r="X60" i="6"/>
  <c r="U60" i="6"/>
  <c r="R60" i="6"/>
  <c r="O60" i="6"/>
  <c r="L60" i="6"/>
  <c r="I60" i="6"/>
  <c r="F60" i="6"/>
  <c r="X51" i="6"/>
  <c r="U51" i="6"/>
  <c r="R51" i="6"/>
  <c r="O51" i="6"/>
  <c r="L51" i="6"/>
  <c r="I51" i="6"/>
  <c r="F51" i="6"/>
  <c r="X36" i="6"/>
  <c r="U36" i="6"/>
  <c r="R36" i="6"/>
  <c r="O36" i="6"/>
  <c r="L36" i="6"/>
  <c r="I36" i="6"/>
  <c r="F36" i="6"/>
  <c r="AA26" i="6"/>
  <c r="X26" i="6"/>
  <c r="U26" i="6"/>
  <c r="R26" i="6"/>
  <c r="O26" i="6"/>
  <c r="L26" i="6"/>
  <c r="I26" i="6"/>
  <c r="F26" i="6"/>
  <c r="X21" i="6"/>
  <c r="U21" i="6"/>
  <c r="R21" i="6"/>
  <c r="O21" i="6"/>
  <c r="L21" i="6"/>
  <c r="I21" i="6"/>
  <c r="F21" i="6"/>
  <c r="X20" i="6"/>
  <c r="U20" i="6"/>
  <c r="R20" i="6"/>
  <c r="O20" i="6"/>
  <c r="L20" i="6"/>
  <c r="I20" i="6"/>
  <c r="F20" i="6"/>
  <c r="X19" i="6"/>
  <c r="U19" i="6"/>
  <c r="R19" i="6"/>
  <c r="O19" i="6"/>
  <c r="L19" i="6"/>
  <c r="I19" i="6"/>
  <c r="F19" i="6"/>
  <c r="X40" i="6" l="1"/>
  <c r="L40" i="6"/>
  <c r="I40" i="6"/>
  <c r="O40" i="6"/>
  <c r="R40" i="6"/>
  <c r="U40" i="6"/>
  <c r="F40" i="6"/>
  <c r="U50" i="6" l="1"/>
  <c r="R50" i="6"/>
  <c r="F50" i="6"/>
  <c r="O50" i="6"/>
  <c r="I50" i="6"/>
  <c r="L50" i="6"/>
  <c r="X50" i="6"/>
  <c r="X48" i="6" l="1"/>
  <c r="X47" i="6"/>
  <c r="X46" i="6"/>
  <c r="X37" i="6"/>
  <c r="X49" i="6"/>
  <c r="L48" i="6"/>
  <c r="L47" i="6"/>
  <c r="L46" i="6"/>
  <c r="L37" i="6"/>
  <c r="L49" i="6"/>
  <c r="I48" i="6"/>
  <c r="I47" i="6"/>
  <c r="I46" i="6"/>
  <c r="I37" i="6"/>
  <c r="I49" i="6"/>
  <c r="O48" i="6" l="1"/>
  <c r="O47" i="6"/>
  <c r="O46" i="6"/>
  <c r="O37" i="6"/>
  <c r="O49" i="6"/>
  <c r="F48" i="6"/>
  <c r="F47" i="6"/>
  <c r="F46" i="6"/>
  <c r="F37" i="6"/>
  <c r="F49" i="6"/>
  <c r="R48" i="6" l="1"/>
  <c r="R47" i="6"/>
  <c r="R46" i="6"/>
  <c r="R37" i="6"/>
  <c r="R49" i="6"/>
  <c r="U47" i="6"/>
  <c r="U48" i="6"/>
  <c r="U37" i="6"/>
  <c r="U46" i="6"/>
  <c r="U49" i="6"/>
  <c r="R78" i="6" l="1"/>
  <c r="I78" i="6"/>
  <c r="O78" i="6"/>
  <c r="L78" i="6"/>
  <c r="F78" i="6"/>
  <c r="U78" i="6"/>
  <c r="X78" i="6"/>
  <c r="I79" i="6" l="1"/>
  <c r="L79" i="6"/>
  <c r="X79" i="6"/>
  <c r="F79" i="6"/>
  <c r="O79" i="6"/>
  <c r="L38" i="6" l="1"/>
  <c r="L39" i="6"/>
  <c r="X38" i="6"/>
  <c r="X39" i="6"/>
  <c r="F39" i="6"/>
  <c r="F38" i="6"/>
  <c r="O39" i="6"/>
  <c r="O38" i="6"/>
  <c r="I38" i="6"/>
  <c r="I39" i="6"/>
  <c r="R79" i="6" l="1"/>
  <c r="R39" i="6" l="1"/>
  <c r="R38" i="6"/>
  <c r="U79" i="6" l="1"/>
  <c r="U38" i="6" l="1"/>
  <c r="U39" i="6"/>
  <c r="I43" i="6" l="1"/>
  <c r="X18" i="6"/>
  <c r="L18" i="6"/>
  <c r="X43" i="6" l="1"/>
  <c r="X16" i="6"/>
  <c r="X15" i="6"/>
  <c r="X17" i="6"/>
  <c r="L16" i="6"/>
  <c r="L15" i="6"/>
  <c r="L17" i="6"/>
  <c r="L43" i="6"/>
  <c r="F18" i="6" l="1"/>
  <c r="O16" i="6" l="1"/>
  <c r="O15" i="6"/>
  <c r="O18" i="6"/>
  <c r="O43" i="6"/>
  <c r="O17" i="6"/>
  <c r="F17" i="6"/>
  <c r="F16" i="6"/>
  <c r="F15" i="6"/>
  <c r="R17" i="6" l="1"/>
  <c r="R18" i="6"/>
  <c r="R15" i="6" l="1"/>
  <c r="R16" i="6"/>
  <c r="R43" i="6"/>
  <c r="U18" i="6" l="1"/>
  <c r="U15" i="6"/>
  <c r="U17" i="6"/>
  <c r="U16" i="6"/>
  <c r="U43" i="6"/>
  <c r="I18" i="6" l="1"/>
  <c r="I17" i="6"/>
  <c r="I16" i="6"/>
  <c r="I15" i="6"/>
  <c r="R44" i="6" l="1"/>
  <c r="R45" i="6"/>
  <c r="L45" i="6" l="1"/>
  <c r="L44" i="6"/>
  <c r="F44" i="6" l="1"/>
  <c r="I44" i="6"/>
  <c r="X44" i="6"/>
  <c r="O45" i="6"/>
  <c r="I45" i="6"/>
  <c r="X45" i="6"/>
  <c r="F45" i="6"/>
  <c r="O44" i="6"/>
  <c r="U44" i="6" l="1"/>
  <c r="U45" i="6"/>
  <c r="AA20" i="6" l="1"/>
  <c r="AA36" i="6" l="1"/>
  <c r="AA65" i="6" l="1"/>
  <c r="AA21" i="6"/>
  <c r="AA40" i="6" l="1"/>
  <c r="AA51" i="6" l="1"/>
  <c r="AA49" i="6" l="1"/>
  <c r="AA47" i="6"/>
  <c r="AA46" i="6"/>
  <c r="AA48" i="6"/>
  <c r="AA37" i="6"/>
  <c r="X59" i="6" l="1"/>
  <c r="X57" i="6"/>
  <c r="X58" i="6"/>
  <c r="AA57" i="6" l="1"/>
  <c r="AA58" i="6"/>
  <c r="AA59" i="6"/>
  <c r="R58" i="6" l="1"/>
  <c r="L58" i="6"/>
  <c r="F57" i="6"/>
  <c r="F59" i="6"/>
  <c r="I58" i="6"/>
  <c r="AA19" i="6"/>
  <c r="U58" i="6"/>
  <c r="R57" i="6"/>
  <c r="R59" i="6"/>
  <c r="O58" i="6"/>
  <c r="L57" i="6"/>
  <c r="L59" i="6"/>
  <c r="F58" i="6"/>
  <c r="I57" i="6"/>
  <c r="I59" i="6"/>
  <c r="U59" i="6"/>
  <c r="O57" i="6"/>
  <c r="O59" i="6"/>
  <c r="U57" i="6"/>
  <c r="AA66" i="6" l="1"/>
  <c r="AA62" i="6" l="1"/>
  <c r="O72" i="6" l="1"/>
  <c r="F72" i="6"/>
  <c r="I55" i="6"/>
  <c r="X72" i="6"/>
  <c r="AA24" i="6"/>
  <c r="L55" i="6"/>
  <c r="O74" i="6"/>
  <c r="AA54" i="6"/>
  <c r="I73" i="6"/>
  <c r="O76" i="6"/>
  <c r="L76" i="6"/>
  <c r="F75" i="6"/>
  <c r="I74" i="6"/>
  <c r="X75" i="6"/>
  <c r="AA73" i="6"/>
  <c r="I54" i="6"/>
  <c r="L72" i="6"/>
  <c r="F73" i="6"/>
  <c r="O75" i="6"/>
  <c r="X74" i="6"/>
  <c r="O24" i="6"/>
  <c r="L75" i="6"/>
  <c r="F76" i="6"/>
  <c r="I75" i="6"/>
  <c r="X76" i="6"/>
  <c r="AA74" i="6"/>
  <c r="F55" i="6"/>
  <c r="O73" i="6"/>
  <c r="I72" i="6"/>
  <c r="L74" i="6"/>
  <c r="AA55" i="6"/>
  <c r="O54" i="6"/>
  <c r="L24" i="6"/>
  <c r="F24" i="6"/>
  <c r="I76" i="6"/>
  <c r="X24" i="6"/>
  <c r="AA75" i="6"/>
  <c r="X55" i="6"/>
  <c r="L73" i="6"/>
  <c r="X73" i="6"/>
  <c r="F74" i="6"/>
  <c r="O55" i="6"/>
  <c r="L54" i="6"/>
  <c r="F54" i="6"/>
  <c r="I24" i="6"/>
  <c r="X54" i="6"/>
  <c r="AA72" i="6"/>
  <c r="AA76" i="6"/>
  <c r="R55" i="6" l="1"/>
  <c r="R74" i="6"/>
  <c r="R72" i="6"/>
  <c r="R54" i="6"/>
  <c r="R73" i="6"/>
  <c r="R76" i="6"/>
  <c r="R75" i="6"/>
  <c r="R24" i="6"/>
  <c r="U76" i="6" l="1"/>
  <c r="U54" i="6"/>
  <c r="U75" i="6"/>
  <c r="U74" i="6"/>
  <c r="U72" i="6"/>
  <c r="U55" i="6"/>
  <c r="U73" i="6"/>
  <c r="U24" i="6"/>
  <c r="R25" i="6" l="1"/>
  <c r="I27" i="6"/>
  <c r="L34" i="6"/>
  <c r="U34" i="6"/>
  <c r="I25" i="6"/>
  <c r="AA27" i="6"/>
  <c r="U27" i="6"/>
  <c r="R34" i="6"/>
  <c r="L25" i="6"/>
  <c r="O34" i="6"/>
  <c r="F25" i="6"/>
  <c r="X34" i="6"/>
  <c r="U25" i="6"/>
  <c r="O27" i="6"/>
  <c r="I34" i="6"/>
  <c r="O25" i="6"/>
  <c r="X27" i="6"/>
  <c r="AA34" i="6"/>
  <c r="F27" i="6"/>
  <c r="AA25" i="6"/>
  <c r="L27" i="6"/>
  <c r="R27" i="6"/>
  <c r="F34" i="6"/>
  <c r="X25" i="6"/>
  <c r="AA60" i="6"/>
  <c r="AA83" i="6"/>
  <c r="AA82" i="6"/>
  <c r="AA61" i="6"/>
  <c r="AA84" i="6"/>
  <c r="L41" i="6"/>
  <c r="R41" i="6"/>
  <c r="O30" i="6"/>
  <c r="F30" i="6"/>
  <c r="O41" i="6"/>
  <c r="X30" i="6"/>
  <c r="U30" i="6"/>
  <c r="U41" i="6"/>
  <c r="R30" i="6"/>
  <c r="F41" i="6"/>
  <c r="L30" i="6"/>
  <c r="X41" i="6"/>
  <c r="I30" i="6"/>
  <c r="I41" i="6"/>
  <c r="AA45" i="6" l="1"/>
  <c r="AA56" i="6" l="1"/>
  <c r="L56" i="6" l="1"/>
  <c r="X56" i="6"/>
  <c r="I56" i="6"/>
  <c r="X12" i="6" l="1"/>
  <c r="L12" i="6"/>
  <c r="X11" i="6"/>
  <c r="I12" i="6"/>
  <c r="L11" i="6"/>
  <c r="I13" i="6"/>
  <c r="X14" i="6"/>
  <c r="L14" i="6"/>
  <c r="O56" i="6" l="1"/>
  <c r="F56" i="6"/>
  <c r="X13" i="6"/>
  <c r="I11" i="6"/>
  <c r="L13" i="6"/>
  <c r="X42" i="6"/>
  <c r="I42" i="6"/>
  <c r="L42" i="6"/>
  <c r="I33" i="6"/>
  <c r="L33" i="6"/>
  <c r="X33" i="6"/>
  <c r="O13" i="6" l="1"/>
  <c r="O11" i="6"/>
  <c r="F12" i="6"/>
  <c r="O12" i="6"/>
  <c r="F11" i="6"/>
  <c r="O14" i="6"/>
  <c r="F14" i="6"/>
  <c r="F43" i="6"/>
  <c r="O33" i="6"/>
  <c r="F13" i="6" l="1"/>
  <c r="F42" i="6"/>
  <c r="O42" i="6"/>
  <c r="F33" i="6"/>
  <c r="R56" i="6" l="1"/>
  <c r="R11" i="6" l="1"/>
  <c r="R14" i="6"/>
  <c r="R12" i="6" l="1"/>
  <c r="R13" i="6"/>
  <c r="R42" i="6"/>
  <c r="R33" i="6"/>
  <c r="U56" i="6" l="1"/>
  <c r="AA41" i="6" l="1"/>
  <c r="AA50" i="6" l="1"/>
  <c r="U13" i="6" l="1"/>
  <c r="U12" i="6"/>
  <c r="U11" i="6"/>
  <c r="U14" i="6"/>
  <c r="AA13" i="6" l="1"/>
  <c r="AA12" i="6"/>
  <c r="AA11" i="6"/>
  <c r="U42" i="6"/>
  <c r="AA33" i="6" l="1"/>
  <c r="AA43" i="6"/>
  <c r="U33" i="6"/>
  <c r="AA42" i="6"/>
  <c r="I14" i="6" l="1"/>
  <c r="AA14" i="6" l="1"/>
  <c r="AA44" i="6" l="1"/>
  <c r="U69" i="6" l="1"/>
  <c r="O70" i="6"/>
  <c r="L69" i="6"/>
  <c r="X70" i="6"/>
  <c r="AA17" i="6"/>
  <c r="AA16" i="6"/>
  <c r="AA15" i="6"/>
  <c r="AA18" i="6"/>
  <c r="U70" i="6" l="1"/>
  <c r="L70" i="6"/>
  <c r="R69" i="6"/>
  <c r="F70" i="6"/>
  <c r="X69" i="6"/>
  <c r="R70" i="6"/>
  <c r="I69" i="6"/>
  <c r="F69" i="6"/>
  <c r="I70" i="6"/>
  <c r="O69" i="6"/>
  <c r="AA69" i="6" l="1"/>
  <c r="AA78" i="6" l="1"/>
  <c r="AA30" i="6" l="1"/>
  <c r="AA70" i="6" l="1"/>
  <c r="I35" i="6" l="1"/>
  <c r="X31" i="6"/>
  <c r="U8" i="6" l="1"/>
  <c r="I10" i="6"/>
  <c r="F32" i="6"/>
  <c r="O32" i="6"/>
  <c r="X8" i="6"/>
  <c r="L32" i="6"/>
  <c r="R8" i="6"/>
  <c r="L35" i="6"/>
  <c r="R35" i="6"/>
  <c r="I32" i="6"/>
  <c r="L31" i="6"/>
  <c r="U35" i="6"/>
  <c r="AA79" i="6"/>
  <c r="L9" i="6"/>
  <c r="U10" i="6"/>
  <c r="F9" i="6"/>
  <c r="X9" i="6"/>
  <c r="F10" i="6"/>
  <c r="R31" i="6"/>
  <c r="O31" i="6"/>
  <c r="O9" i="6"/>
  <c r="U9" i="6"/>
  <c r="L10" i="6"/>
  <c r="F8" i="6"/>
  <c r="R32" i="6"/>
  <c r="R9" i="6"/>
  <c r="I8" i="6"/>
  <c r="R10" i="6"/>
  <c r="F35" i="6"/>
  <c r="I9" i="6"/>
  <c r="O8" i="6"/>
  <c r="U31" i="6"/>
  <c r="U32" i="6"/>
  <c r="L8" i="6"/>
  <c r="I31" i="6"/>
  <c r="O35" i="6"/>
  <c r="X10" i="6"/>
  <c r="F31" i="6"/>
  <c r="X35" i="6"/>
  <c r="O10" i="6"/>
  <c r="X32" i="6"/>
  <c r="AA39" i="6" l="1"/>
  <c r="AA9" i="6"/>
  <c r="AA31" i="6"/>
  <c r="AA35" i="6"/>
  <c r="AA10" i="6"/>
  <c r="AA38" i="6"/>
  <c r="AA32" i="6"/>
  <c r="AA8" i="6"/>
</calcChain>
</file>

<file path=xl/sharedStrings.xml><?xml version="1.0" encoding="utf-8"?>
<sst xmlns="http://schemas.openxmlformats.org/spreadsheetml/2006/main" count="280" uniqueCount="42">
  <si>
    <t>M</t>
  </si>
  <si>
    <t>R</t>
  </si>
  <si>
    <t>S</t>
  </si>
  <si>
    <t>R/M</t>
  </si>
  <si>
    <t>-</t>
  </si>
  <si>
    <t>(%)</t>
  </si>
  <si>
    <t>INDICADORES</t>
  </si>
  <si>
    <t>CCQA</t>
  </si>
  <si>
    <t>CTC</t>
  </si>
  <si>
    <t>DG</t>
  </si>
  <si>
    <t>Observações:</t>
  </si>
  <si>
    <t>Legenda: NA: Não se aplica / AF: Atividade fim / AF+ AM: Atividade fim + atividade meio</t>
  </si>
  <si>
    <t xml:space="preserve">ANÁLISE DE DESEMPENHO DAS UNIDADES - INDICADORES </t>
  </si>
  <si>
    <t>Tecnolat</t>
  </si>
  <si>
    <t>Fruthotec</t>
  </si>
  <si>
    <t>Cetea</t>
  </si>
  <si>
    <t>Ital</t>
  </si>
  <si>
    <t>Atualizado em:</t>
  </si>
  <si>
    <t xml:space="preserve"> M=Meta                               R= Realizado                     S = Sentido Desejado</t>
  </si>
  <si>
    <t>Unidades</t>
  </si>
  <si>
    <t>Cereal Chocotec</t>
  </si>
  <si>
    <t>PERSPECTIVA: Financeira e administrativa</t>
  </si>
  <si>
    <t>Unidade Medida</t>
  </si>
  <si>
    <t>Realizado ano anterior</t>
  </si>
  <si>
    <t>PERSPECTIVA: CLIENTES</t>
  </si>
  <si>
    <t>PERSPECTIVA: PRODUTOS E SERVIÇOS</t>
  </si>
  <si>
    <t>PERSPECTIVA: SISTEMA DE GESTÃO DA QUALIDADE</t>
  </si>
  <si>
    <t>PERSPECTIVA: FORNECEDORES</t>
  </si>
  <si>
    <t>PERSPECTIVA: PESSOAS</t>
  </si>
  <si>
    <t>PERSPECTIVA: ÉTICA E MEIO AMBIENTE</t>
  </si>
  <si>
    <r>
      <t xml:space="preserve">Número Total de Funcionários
 </t>
    </r>
    <r>
      <rPr>
        <sz val="10"/>
        <rFont val="Arial"/>
        <family val="2"/>
      </rPr>
      <t>(Pesquisadores+NS+Apoio) (Estatutário+Contratado)</t>
    </r>
  </si>
  <si>
    <r>
      <t xml:space="preserve">Nº Técnicos Nível Superior Especializado (TNSE)
</t>
    </r>
    <r>
      <rPr>
        <sz val="10"/>
        <rFont val="Arial"/>
        <family val="2"/>
      </rPr>
      <t xml:space="preserve">(Estatutário+ Contratado) </t>
    </r>
  </si>
  <si>
    <r>
      <t xml:space="preserve">Nº Técnicos Nível Superior (TNS)
</t>
    </r>
    <r>
      <rPr>
        <sz val="10"/>
        <rFont val="Arial"/>
        <family val="2"/>
      </rPr>
      <t>(Estatutário+Contratado)  (Pesquisadores+NS)</t>
    </r>
  </si>
  <si>
    <t xml:space="preserve">PERÍODO: </t>
  </si>
  <si>
    <t>Legendas:</t>
  </si>
  <si>
    <t xml:space="preserve">S = Sentido Desejado                     M=Meta                               R= Realizado                     </t>
  </si>
  <si>
    <t>Cores da coluna R/M (%)</t>
  </si>
  <si>
    <r>
      <rPr>
        <b/>
        <sz val="10"/>
        <rFont val="Calibri"/>
        <family val="2"/>
      </rPr>
      <t>≥</t>
    </r>
    <r>
      <rPr>
        <b/>
        <sz val="10"/>
        <rFont val="Arial"/>
        <family val="2"/>
      </rPr>
      <t>98%</t>
    </r>
  </si>
  <si>
    <r>
      <t xml:space="preserve">&gt;79% e </t>
    </r>
    <r>
      <rPr>
        <b/>
        <sz val="10"/>
        <rFont val="Calibri"/>
        <family val="2"/>
      </rPr>
      <t>≤</t>
    </r>
    <r>
      <rPr>
        <b/>
        <sz val="10"/>
        <rFont val="Arial"/>
        <family val="2"/>
      </rPr>
      <t>97</t>
    </r>
  </si>
  <si>
    <r>
      <rPr>
        <b/>
        <sz val="10"/>
        <rFont val="Calibri"/>
        <family val="2"/>
      </rPr>
      <t>≤</t>
    </r>
    <r>
      <rPr>
        <b/>
        <sz val="10"/>
        <rFont val="Arial"/>
        <family val="2"/>
      </rPr>
      <t>79%</t>
    </r>
  </si>
  <si>
    <t>A identificação das cores é automática, em virtude do resultado obtido entre o valor planejado e o realizado para cada indicador.
O responsável deve atentar-se ao contexto para realização da análise crítica, pois em casos específicos é necessário avaliar equilibrio entre os resultados de mais de um indicador para avaliar se a meta foi atingida.</t>
  </si>
  <si>
    <t>FQ-08.24 (anexo a IT-08.01.04) - RA - revisão 06 de 02/01/24 - Página 2/2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</si>
</sst>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#,##0.0"/>
    <numFmt numFmtId="166" formatCode="[hh]"/>
  </numFmts>
  <fonts count="24" x14ac:knownFonts="1">
    <font>
      <sz val="10"/>
      <name val="Arial"/>
    </font>
    <font>
      <b/>
      <sz val="10"/>
      <name val="Arial"/>
      <family val="2"/>
    </font>
    <font>
      <b/>
      <sz val="14"/>
      <name val="Arial"/>
      <family val="2"/>
    </font>
    <font>
      <sz val="10"/>
      <color indexed="61"/>
      <name val="Arial"/>
      <family val="2"/>
    </font>
    <font>
      <sz val="16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color indexed="61"/>
      <name val="Arial"/>
      <family val="2"/>
    </font>
    <font>
      <sz val="10"/>
      <color rgb="FFCC0000"/>
      <name val="Arial"/>
      <family val="2"/>
    </font>
    <font>
      <b/>
      <sz val="10"/>
      <color rgb="FFFF0000"/>
      <name val="Arial"/>
      <family val="2"/>
    </font>
    <font>
      <sz val="10"/>
      <color indexed="10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rgb="FFCC0000"/>
      <name val="Arial"/>
      <family val="2"/>
    </font>
    <font>
      <b/>
      <i/>
      <sz val="10"/>
      <color rgb="FF0000FF"/>
      <name val="Arial"/>
      <family val="2"/>
    </font>
    <font>
      <b/>
      <i/>
      <sz val="10"/>
      <color rgb="FFFF0000"/>
      <name val="Arial"/>
      <family val="2"/>
    </font>
    <font>
      <b/>
      <sz val="10"/>
      <name val="Calibri"/>
      <family val="2"/>
    </font>
    <font>
      <b/>
      <sz val="10"/>
      <color rgb="FF00B0F0"/>
      <name val="Arial"/>
      <family val="2"/>
    </font>
    <font>
      <b/>
      <sz val="10"/>
      <color indexed="12"/>
      <name val="Arial"/>
      <family val="2"/>
    </font>
    <font>
      <b/>
      <sz val="10"/>
      <color rgb="FF008000"/>
      <name val="Arial"/>
      <family val="2"/>
    </font>
    <font>
      <b/>
      <sz val="10"/>
      <color indexed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9" fontId="4" fillId="0" borderId="1" applyFont="0" applyBorder="0" applyAlignment="0">
      <alignment horizontal="left" wrapText="1"/>
    </xf>
  </cellStyleXfs>
  <cellXfs count="202">
    <xf numFmtId="0" fontId="0" fillId="0" borderId="0" xfId="0"/>
    <xf numFmtId="0" fontId="3" fillId="0" borderId="0" xfId="0" applyFont="1"/>
    <xf numFmtId="0" fontId="2" fillId="0" borderId="0" xfId="0" applyFont="1"/>
    <xf numFmtId="0" fontId="0" fillId="0" borderId="3" xfId="0" applyBorder="1"/>
    <xf numFmtId="0" fontId="1" fillId="5" borderId="39" xfId="0" applyFont="1" applyFill="1" applyBorder="1" applyAlignment="1">
      <alignment horizontal="center" vertical="center" wrapText="1"/>
    </xf>
    <xf numFmtId="2" fontId="5" fillId="5" borderId="22" xfId="0" applyNumberFormat="1" applyFont="1" applyFill="1" applyBorder="1" applyAlignment="1">
      <alignment horizontal="center" vertical="center" wrapText="1"/>
    </xf>
    <xf numFmtId="2" fontId="5" fillId="5" borderId="10" xfId="0" applyNumberFormat="1" applyFont="1" applyFill="1" applyBorder="1" applyAlignment="1">
      <alignment horizontal="center" vertical="center" wrapText="1"/>
    </xf>
    <xf numFmtId="2" fontId="5" fillId="5" borderId="12" xfId="0" applyNumberFormat="1" applyFont="1" applyFill="1" applyBorder="1" applyAlignment="1">
      <alignment horizontal="center" vertical="center" wrapText="1"/>
    </xf>
    <xf numFmtId="0" fontId="1" fillId="5" borderId="40" xfId="0" applyFont="1" applyFill="1" applyBorder="1" applyAlignment="1">
      <alignment horizontal="center" vertical="center" wrapText="1"/>
    </xf>
    <xf numFmtId="2" fontId="5" fillId="5" borderId="15" xfId="0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2" fontId="1" fillId="4" borderId="24" xfId="0" applyNumberFormat="1" applyFont="1" applyFill="1" applyBorder="1" applyAlignment="1">
      <alignment horizontal="center" vertical="center" wrapText="1"/>
    </xf>
    <xf numFmtId="0" fontId="1" fillId="4" borderId="26" xfId="0" applyFont="1" applyFill="1" applyBorder="1" applyAlignment="1">
      <alignment horizontal="center" vertical="center" wrapText="1"/>
    </xf>
    <xf numFmtId="1" fontId="15" fillId="0" borderId="4" xfId="0" applyNumberFormat="1" applyFont="1" applyBorder="1" applyAlignment="1">
      <alignment horizontal="center" vertical="center" wrapText="1"/>
    </xf>
    <xf numFmtId="1" fontId="15" fillId="0" borderId="3" xfId="0" applyNumberFormat="1" applyFont="1" applyBorder="1" applyAlignment="1">
      <alignment horizontal="center" vertical="center" wrapText="1"/>
    </xf>
    <xf numFmtId="1" fontId="1" fillId="0" borderId="39" xfId="0" applyNumberFormat="1" applyFont="1" applyBorder="1" applyAlignment="1">
      <alignment horizontal="center" vertical="center" wrapText="1"/>
    </xf>
    <xf numFmtId="1" fontId="15" fillId="0" borderId="1" xfId="0" applyNumberFormat="1" applyFont="1" applyBorder="1" applyAlignment="1">
      <alignment horizontal="center" vertical="center" wrapText="1"/>
    </xf>
    <xf numFmtId="1" fontId="15" fillId="0" borderId="13" xfId="0" applyNumberFormat="1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5" fillId="2" borderId="0" xfId="0" applyFont="1" applyFill="1" applyAlignment="1">
      <alignment vertical="center"/>
    </xf>
    <xf numFmtId="0" fontId="15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vertical="center"/>
    </xf>
    <xf numFmtId="0" fontId="0" fillId="2" borderId="0" xfId="0" applyFill="1"/>
    <xf numFmtId="2" fontId="5" fillId="5" borderId="9" xfId="0" applyNumberFormat="1" applyFont="1" applyFill="1" applyBorder="1" applyAlignment="1">
      <alignment horizontal="center" vertical="center" wrapText="1"/>
    </xf>
    <xf numFmtId="2" fontId="5" fillId="5" borderId="43" xfId="0" applyNumberFormat="1" applyFont="1" applyFill="1" applyBorder="1" applyAlignment="1">
      <alignment horizontal="center" vertical="center" wrapText="1"/>
    </xf>
    <xf numFmtId="1" fontId="8" fillId="5" borderId="18" xfId="0" applyNumberFormat="1" applyFont="1" applyFill="1" applyBorder="1" applyAlignment="1">
      <alignment vertical="center" wrapText="1"/>
    </xf>
    <xf numFmtId="1" fontId="16" fillId="5" borderId="22" xfId="0" applyNumberFormat="1" applyFont="1" applyFill="1" applyBorder="1" applyAlignment="1">
      <alignment horizontal="center" vertical="center" wrapText="1"/>
    </xf>
    <xf numFmtId="1" fontId="16" fillId="5" borderId="42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1" fontId="3" fillId="0" borderId="0" xfId="0" applyNumberFormat="1" applyFont="1"/>
    <xf numFmtId="1" fontId="1" fillId="7" borderId="1" xfId="0" applyNumberFormat="1" applyFont="1" applyFill="1" applyBorder="1" applyAlignment="1">
      <alignment horizontal="center" vertical="center" shrinkToFit="1"/>
    </xf>
    <xf numFmtId="49" fontId="1" fillId="0" borderId="6" xfId="0" applyNumberFormat="1" applyFont="1" applyBorder="1" applyAlignment="1">
      <alignment horizontal="right" vertical="center" wrapText="1"/>
    </xf>
    <xf numFmtId="49" fontId="5" fillId="0" borderId="11" xfId="0" applyNumberFormat="1" applyFont="1" applyBorder="1" applyAlignment="1">
      <alignment horizontal="justify" vertical="center" wrapText="1"/>
    </xf>
    <xf numFmtId="0" fontId="5" fillId="0" borderId="11" xfId="0" applyFont="1" applyBorder="1" applyAlignment="1">
      <alignment horizontal="justify" vertical="center" wrapText="1"/>
    </xf>
    <xf numFmtId="0" fontId="5" fillId="0" borderId="14" xfId="0" applyFont="1" applyBorder="1" applyAlignment="1">
      <alignment horizontal="justify" vertical="center" wrapText="1"/>
    </xf>
    <xf numFmtId="49" fontId="5" fillId="0" borderId="8" xfId="0" applyNumberFormat="1" applyFont="1" applyBorder="1" applyAlignment="1">
      <alignment horizontal="justify" vertical="center" wrapText="1"/>
    </xf>
    <xf numFmtId="0" fontId="12" fillId="3" borderId="19" xfId="0" applyFont="1" applyFill="1" applyBorder="1" applyAlignment="1">
      <alignment horizontal="center" vertical="center" wrapText="1"/>
    </xf>
    <xf numFmtId="0" fontId="1" fillId="4" borderId="44" xfId="0" applyFont="1" applyFill="1" applyBorder="1" applyAlignment="1">
      <alignment horizontal="center" vertical="center" wrapText="1"/>
    </xf>
    <xf numFmtId="0" fontId="1" fillId="4" borderId="31" xfId="0" applyFont="1" applyFill="1" applyBorder="1" applyAlignment="1">
      <alignment horizontal="center" vertical="center" wrapText="1"/>
    </xf>
    <xf numFmtId="49" fontId="5" fillId="0" borderId="46" xfId="0" applyNumberFormat="1" applyFont="1" applyBorder="1" applyAlignment="1">
      <alignment horizontal="justify" vertical="center" wrapText="1"/>
    </xf>
    <xf numFmtId="49" fontId="1" fillId="0" borderId="4" xfId="0" applyNumberFormat="1" applyFont="1" applyBorder="1" applyAlignment="1">
      <alignment horizontal="center" vertical="center" wrapText="1"/>
    </xf>
    <xf numFmtId="0" fontId="5" fillId="0" borderId="8" xfId="0" applyFont="1" applyBorder="1" applyAlignment="1">
      <alignment horizontal="justify" vertical="center" wrapText="1"/>
    </xf>
    <xf numFmtId="2" fontId="1" fillId="4" borderId="44" xfId="0" applyNumberFormat="1" applyFont="1" applyFill="1" applyBorder="1" applyAlignment="1">
      <alignment horizontal="center" vertical="center" wrapText="1"/>
    </xf>
    <xf numFmtId="2" fontId="1" fillId="4" borderId="31" xfId="0" applyNumberFormat="1" applyFont="1" applyFill="1" applyBorder="1" applyAlignment="1">
      <alignment horizontal="center" vertical="center" wrapText="1"/>
    </xf>
    <xf numFmtId="0" fontId="5" fillId="0" borderId="46" xfId="0" applyFont="1" applyBorder="1" applyAlignment="1">
      <alignment horizontal="justify" vertical="center" wrapText="1"/>
    </xf>
    <xf numFmtId="2" fontId="1" fillId="4" borderId="37" xfId="0" applyNumberFormat="1" applyFont="1" applyFill="1" applyBorder="1" applyAlignment="1">
      <alignment horizontal="center" vertical="center" wrapText="1"/>
    </xf>
    <xf numFmtId="0" fontId="1" fillId="4" borderId="32" xfId="0" applyFont="1" applyFill="1" applyBorder="1" applyAlignment="1">
      <alignment horizontal="center" vertical="center" wrapText="1"/>
    </xf>
    <xf numFmtId="0" fontId="1" fillId="0" borderId="27" xfId="0" applyFont="1" applyBorder="1" applyAlignment="1">
      <alignment horizontal="right" vertical="center"/>
    </xf>
    <xf numFmtId="49" fontId="5" fillId="0" borderId="4" xfId="0" applyNumberFormat="1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1" fontId="15" fillId="0" borderId="4" xfId="0" applyNumberFormat="1" applyFont="1" applyBorder="1" applyAlignment="1">
      <alignment horizontal="center" vertical="center" shrinkToFit="1"/>
    </xf>
    <xf numFmtId="165" fontId="15" fillId="0" borderId="4" xfId="0" applyNumberFormat="1" applyFont="1" applyBorder="1" applyAlignment="1">
      <alignment horizontal="center" vertical="center" shrinkToFit="1"/>
    </xf>
    <xf numFmtId="1" fontId="1" fillId="0" borderId="4" xfId="0" applyNumberFormat="1" applyFont="1" applyBorder="1" applyAlignment="1">
      <alignment horizontal="center" vertical="center" shrinkToFit="1"/>
    </xf>
    <xf numFmtId="165" fontId="1" fillId="0" borderId="10" xfId="0" applyNumberFormat="1" applyFont="1" applyBorder="1" applyAlignment="1">
      <alignment horizontal="center" vertical="center" shrinkToFit="1"/>
    </xf>
    <xf numFmtId="49" fontId="5" fillId="0" borderId="1" xfId="0" applyNumberFormat="1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1" fontId="15" fillId="0" borderId="1" xfId="0" applyNumberFormat="1" applyFont="1" applyBorder="1" applyAlignment="1">
      <alignment horizontal="center" vertical="center" shrinkToFit="1"/>
    </xf>
    <xf numFmtId="165" fontId="15" fillId="0" borderId="1" xfId="0" applyNumberFormat="1" applyFont="1" applyBorder="1" applyAlignment="1">
      <alignment horizontal="center" vertical="center" shrinkToFit="1"/>
    </xf>
    <xf numFmtId="1" fontId="1" fillId="0" borderId="1" xfId="0" applyNumberFormat="1" applyFont="1" applyBorder="1" applyAlignment="1">
      <alignment horizontal="center" vertical="center" shrinkToFit="1"/>
    </xf>
    <xf numFmtId="165" fontId="1" fillId="0" borderId="12" xfId="0" applyNumberFormat="1" applyFont="1" applyBorder="1" applyAlignment="1">
      <alignment horizontal="center" vertical="center" shrinkToFit="1"/>
    </xf>
    <xf numFmtId="1" fontId="5" fillId="0" borderId="1" xfId="0" applyNumberFormat="1" applyFont="1" applyBorder="1" applyAlignment="1">
      <alignment horizontal="center" vertical="center"/>
    </xf>
    <xf numFmtId="165" fontId="5" fillId="0" borderId="1" xfId="0" applyNumberFormat="1" applyFont="1" applyBorder="1" applyAlignment="1">
      <alignment horizontal="center" vertical="center" shrinkToFit="1"/>
    </xf>
    <xf numFmtId="1" fontId="15" fillId="0" borderId="1" xfId="0" quotePrefix="1" applyNumberFormat="1" applyFont="1" applyBorder="1" applyAlignment="1">
      <alignment horizontal="center" vertical="center" shrinkToFit="1"/>
    </xf>
    <xf numFmtId="4" fontId="15" fillId="0" borderId="1" xfId="0" applyNumberFormat="1" applyFont="1" applyBorder="1" applyAlignment="1">
      <alignment horizontal="center" vertical="center" shrinkToFit="1"/>
    </xf>
    <xf numFmtId="49" fontId="5" fillId="0" borderId="2" xfId="0" applyNumberFormat="1" applyFont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1" fontId="15" fillId="0" borderId="2" xfId="0" quotePrefix="1" applyNumberFormat="1" applyFont="1" applyBorder="1" applyAlignment="1">
      <alignment horizontal="center" vertical="center" shrinkToFit="1"/>
    </xf>
    <xf numFmtId="165" fontId="15" fillId="0" borderId="2" xfId="0" applyNumberFormat="1" applyFont="1" applyBorder="1" applyAlignment="1">
      <alignment horizontal="center" vertical="center" shrinkToFit="1"/>
    </xf>
    <xf numFmtId="1" fontId="1" fillId="0" borderId="2" xfId="0" applyNumberFormat="1" applyFont="1" applyBorder="1" applyAlignment="1">
      <alignment horizontal="center" vertical="center" shrinkToFit="1"/>
    </xf>
    <xf numFmtId="1" fontId="15" fillId="0" borderId="2" xfId="0" applyNumberFormat="1" applyFont="1" applyBorder="1" applyAlignment="1">
      <alignment horizontal="center" vertical="center" shrinkToFit="1"/>
    </xf>
    <xf numFmtId="1" fontId="5" fillId="0" borderId="2" xfId="0" applyNumberFormat="1" applyFont="1" applyBorder="1" applyAlignment="1">
      <alignment horizontal="center" vertical="center"/>
    </xf>
    <xf numFmtId="165" fontId="1" fillId="0" borderId="47" xfId="0" applyNumberFormat="1" applyFont="1" applyBorder="1" applyAlignment="1">
      <alignment horizontal="center" vertical="center" shrinkToFit="1"/>
    </xf>
    <xf numFmtId="1" fontId="5" fillId="0" borderId="4" xfId="0" applyNumberFormat="1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3" fontId="15" fillId="0" borderId="1" xfId="0" quotePrefix="1" applyNumberFormat="1" applyFont="1" applyBorder="1" applyAlignment="1">
      <alignment horizontal="center" vertical="center" shrinkToFit="1"/>
    </xf>
    <xf numFmtId="3" fontId="15" fillId="0" borderId="2" xfId="0" quotePrefix="1" applyNumberFormat="1" applyFont="1" applyBorder="1" applyAlignment="1">
      <alignment horizontal="center" vertical="center" shrinkToFit="1"/>
    </xf>
    <xf numFmtId="0" fontId="5" fillId="0" borderId="4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21" fillId="2" borderId="1" xfId="0" applyFont="1" applyFill="1" applyBorder="1" applyAlignment="1">
      <alignment horizontal="center" vertical="center" wrapText="1"/>
    </xf>
    <xf numFmtId="164" fontId="15" fillId="0" borderId="1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horizontal="center" vertical="center" wrapText="1"/>
    </xf>
    <xf numFmtId="3" fontId="15" fillId="0" borderId="4" xfId="0" quotePrefix="1" applyNumberFormat="1" applyFont="1" applyBorder="1" applyAlignment="1">
      <alignment horizontal="center" vertical="center" shrinkToFit="1"/>
    </xf>
    <xf numFmtId="166" fontId="5" fillId="0" borderId="4" xfId="0" applyNumberFormat="1" applyFont="1" applyBorder="1" applyAlignment="1">
      <alignment horizontal="center" vertical="center"/>
    </xf>
    <xf numFmtId="166" fontId="15" fillId="0" borderId="4" xfId="0" applyNumberFormat="1" applyFont="1" applyBorder="1" applyAlignment="1">
      <alignment horizontal="center" vertical="center" shrinkToFit="1"/>
    </xf>
    <xf numFmtId="166" fontId="1" fillId="0" borderId="10" xfId="0" applyNumberFormat="1" applyFont="1" applyBorder="1" applyAlignment="1">
      <alignment horizontal="center" vertical="center" shrinkToFit="1"/>
    </xf>
    <xf numFmtId="166" fontId="5" fillId="0" borderId="1" xfId="0" applyNumberFormat="1" applyFont="1" applyBorder="1" applyAlignment="1">
      <alignment horizontal="center" vertical="center"/>
    </xf>
    <xf numFmtId="166" fontId="15" fillId="0" borderId="1" xfId="0" applyNumberFormat="1" applyFont="1" applyBorder="1" applyAlignment="1">
      <alignment horizontal="center" vertical="center" shrinkToFit="1"/>
    </xf>
    <xf numFmtId="166" fontId="1" fillId="0" borderId="12" xfId="0" applyNumberFormat="1" applyFont="1" applyBorder="1" applyAlignment="1">
      <alignment horizontal="center" vertical="center" shrinkToFit="1"/>
    </xf>
    <xf numFmtId="3" fontId="15" fillId="0" borderId="1" xfId="0" applyNumberFormat="1" applyFont="1" applyBorder="1" applyAlignment="1">
      <alignment horizontal="center" vertical="center" shrinkToFit="1"/>
    </xf>
    <xf numFmtId="165" fontId="1" fillId="0" borderId="12" xfId="0" quotePrefix="1" applyNumberFormat="1" applyFont="1" applyBorder="1" applyAlignment="1">
      <alignment horizontal="center" vertical="center" shrinkToFit="1"/>
    </xf>
    <xf numFmtId="3" fontId="15" fillId="0" borderId="2" xfId="0" applyNumberFormat="1" applyFont="1" applyBorder="1" applyAlignment="1">
      <alignment horizontal="center" vertical="center" shrinkToFit="1"/>
    </xf>
    <xf numFmtId="1" fontId="5" fillId="0" borderId="4" xfId="0" quotePrefix="1" applyNumberFormat="1" applyFont="1" applyBorder="1" applyAlignment="1">
      <alignment horizontal="center" vertical="center" shrinkToFit="1"/>
    </xf>
    <xf numFmtId="165" fontId="5" fillId="0" borderId="4" xfId="0" applyNumberFormat="1" applyFont="1" applyBorder="1" applyAlignment="1">
      <alignment horizontal="center" vertical="center" shrinkToFit="1"/>
    </xf>
    <xf numFmtId="3" fontId="1" fillId="0" borderId="10" xfId="0" applyNumberFormat="1" applyFont="1" applyBorder="1" applyAlignment="1">
      <alignment horizontal="center" vertical="center" shrinkToFit="1"/>
    </xf>
    <xf numFmtId="1" fontId="5" fillId="0" borderId="1" xfId="0" quotePrefix="1" applyNumberFormat="1" applyFont="1" applyBorder="1" applyAlignment="1">
      <alignment horizontal="center" vertical="center" shrinkToFit="1"/>
    </xf>
    <xf numFmtId="3" fontId="1" fillId="0" borderId="12" xfId="0" applyNumberFormat="1" applyFont="1" applyBorder="1" applyAlignment="1">
      <alignment horizontal="center" vertical="center" shrinkToFit="1"/>
    </xf>
    <xf numFmtId="0" fontId="5" fillId="0" borderId="13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1" fontId="5" fillId="0" borderId="13" xfId="0" quotePrefix="1" applyNumberFormat="1" applyFont="1" applyBorder="1" applyAlignment="1">
      <alignment horizontal="center" vertical="center" shrinkToFit="1"/>
    </xf>
    <xf numFmtId="1" fontId="1" fillId="0" borderId="13" xfId="0" applyNumberFormat="1" applyFont="1" applyBorder="1" applyAlignment="1">
      <alignment horizontal="center" vertical="center" shrinkToFit="1"/>
    </xf>
    <xf numFmtId="1" fontId="5" fillId="0" borderId="13" xfId="0" applyNumberFormat="1" applyFont="1" applyBorder="1" applyAlignment="1">
      <alignment horizontal="center" vertical="center"/>
    </xf>
    <xf numFmtId="165" fontId="5" fillId="0" borderId="13" xfId="0" applyNumberFormat="1" applyFont="1" applyBorder="1" applyAlignment="1">
      <alignment horizontal="center" vertical="center" shrinkToFit="1"/>
    </xf>
    <xf numFmtId="3" fontId="1" fillId="0" borderId="15" xfId="0" applyNumberFormat="1" applyFont="1" applyBorder="1" applyAlignment="1">
      <alignment horizontal="center" vertical="center" shrinkToFit="1"/>
    </xf>
    <xf numFmtId="0" fontId="3" fillId="5" borderId="21" xfId="0" applyFont="1" applyFill="1" applyBorder="1" applyAlignment="1">
      <alignment vertical="center" wrapText="1"/>
    </xf>
    <xf numFmtId="0" fontId="3" fillId="5" borderId="41" xfId="0" applyFont="1" applyFill="1" applyBorder="1" applyAlignment="1">
      <alignment vertical="center" wrapText="1"/>
    </xf>
    <xf numFmtId="0" fontId="1" fillId="2" borderId="0" xfId="0" applyFont="1" applyFill="1" applyAlignment="1">
      <alignment vertical="center" wrapText="1"/>
    </xf>
    <xf numFmtId="0" fontId="5" fillId="0" borderId="0" xfId="0" applyFont="1" applyAlignment="1">
      <alignment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23" fillId="0" borderId="0" xfId="0" applyNumberFormat="1" applyFont="1" applyAlignment="1">
      <alignment horizontal="right" vertical="center" wrapText="1"/>
    </xf>
    <xf numFmtId="0" fontId="15" fillId="0" borderId="0" xfId="0" applyFont="1"/>
    <xf numFmtId="0" fontId="5" fillId="0" borderId="0" xfId="0" applyFont="1"/>
    <xf numFmtId="49" fontId="23" fillId="0" borderId="29" xfId="0" applyNumberFormat="1" applyFont="1" applyBorder="1" applyAlignment="1">
      <alignment horizontal="right" vertical="center" wrapText="1"/>
    </xf>
    <xf numFmtId="49" fontId="23" fillId="0" borderId="24" xfId="0" applyNumberFormat="1" applyFont="1" applyBorder="1" applyAlignment="1">
      <alignment horizontal="right" vertical="center" wrapText="1"/>
    </xf>
    <xf numFmtId="0" fontId="1" fillId="2" borderId="24" xfId="0" applyFont="1" applyFill="1" applyBorder="1" applyAlignment="1">
      <alignment wrapText="1"/>
    </xf>
    <xf numFmtId="0" fontId="5" fillId="0" borderId="24" xfId="0" applyFont="1" applyBorder="1" applyAlignment="1">
      <alignment wrapText="1"/>
    </xf>
    <xf numFmtId="0" fontId="5" fillId="0" borderId="24" xfId="0" applyFont="1" applyBorder="1"/>
    <xf numFmtId="0" fontId="15" fillId="0" borderId="24" xfId="0" applyFont="1" applyBorder="1"/>
    <xf numFmtId="0" fontId="5" fillId="0" borderId="30" xfId="0" applyFont="1" applyBorder="1"/>
    <xf numFmtId="0" fontId="1" fillId="2" borderId="0" xfId="0" applyFont="1" applyFill="1" applyAlignment="1">
      <alignment wrapText="1"/>
    </xf>
    <xf numFmtId="0" fontId="5" fillId="0" borderId="0" xfId="0" applyFont="1" applyAlignment="1">
      <alignment wrapText="1"/>
    </xf>
    <xf numFmtId="0" fontId="1" fillId="0" borderId="48" xfId="0" applyFont="1" applyBorder="1" applyAlignment="1">
      <alignment horizontal="center" vertical="center" wrapText="1"/>
    </xf>
    <xf numFmtId="0" fontId="1" fillId="5" borderId="38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1" fontId="5" fillId="0" borderId="23" xfId="0" applyNumberFormat="1" applyFont="1" applyBorder="1" applyAlignment="1">
      <alignment horizontal="center" vertical="center"/>
    </xf>
    <xf numFmtId="1" fontId="15" fillId="0" borderId="23" xfId="0" applyNumberFormat="1" applyFont="1" applyBorder="1" applyAlignment="1">
      <alignment horizontal="center" vertical="center" wrapText="1"/>
    </xf>
    <xf numFmtId="1" fontId="5" fillId="5" borderId="18" xfId="0" applyNumberFormat="1" applyFont="1" applyFill="1" applyBorder="1" applyAlignment="1">
      <alignment horizontal="center" vertical="center" wrapText="1"/>
    </xf>
    <xf numFmtId="1" fontId="1" fillId="5" borderId="18" xfId="0" applyNumberFormat="1" applyFont="1" applyFill="1" applyBorder="1" applyAlignment="1">
      <alignment horizontal="center" vertical="center" wrapText="1"/>
    </xf>
    <xf numFmtId="1" fontId="15" fillId="0" borderId="49" xfId="0" applyNumberFormat="1" applyFont="1" applyBorder="1" applyAlignment="1">
      <alignment horizontal="center" vertical="center" wrapText="1"/>
    </xf>
    <xf numFmtId="1" fontId="1" fillId="5" borderId="20" xfId="0" applyNumberFormat="1" applyFont="1" applyFill="1" applyBorder="1" applyAlignment="1">
      <alignment horizontal="center" vertical="center" wrapText="1"/>
    </xf>
    <xf numFmtId="1" fontId="1" fillId="5" borderId="17" xfId="0" applyNumberFormat="1" applyFont="1" applyFill="1" applyBorder="1" applyAlignment="1">
      <alignment horizontal="center" vertical="center" wrapText="1"/>
    </xf>
    <xf numFmtId="1" fontId="5" fillId="0" borderId="23" xfId="0" applyNumberFormat="1" applyFont="1" applyBorder="1" applyAlignment="1">
      <alignment horizontal="center" vertical="center" wrapText="1"/>
    </xf>
    <xf numFmtId="1" fontId="1" fillId="0" borderId="38" xfId="0" applyNumberFormat="1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0" borderId="41" xfId="0" applyFont="1" applyBorder="1" applyAlignment="1">
      <alignment horizontal="center" vertical="center" wrapText="1"/>
    </xf>
    <xf numFmtId="1" fontId="1" fillId="0" borderId="36" xfId="0" applyNumberFormat="1" applyFont="1" applyBorder="1" applyAlignment="1">
      <alignment horizontal="center" vertical="center" wrapText="1"/>
    </xf>
    <xf numFmtId="0" fontId="5" fillId="0" borderId="27" xfId="0" applyFont="1" applyBorder="1" applyAlignment="1">
      <alignment horizontal="justify" vertical="center"/>
    </xf>
    <xf numFmtId="0" fontId="5" fillId="0" borderId="26" xfId="0" applyFont="1" applyBorder="1" applyAlignment="1">
      <alignment horizontal="justify" vertical="center"/>
    </xf>
    <xf numFmtId="0" fontId="5" fillId="0" borderId="28" xfId="0" applyFont="1" applyBorder="1" applyAlignment="1">
      <alignment horizontal="justify" vertical="center"/>
    </xf>
    <xf numFmtId="0" fontId="5" fillId="0" borderId="6" xfId="0" applyFont="1" applyBorder="1" applyAlignment="1">
      <alignment horizontal="justify" vertical="center"/>
    </xf>
    <xf numFmtId="0" fontId="5" fillId="0" borderId="0" xfId="0" applyFont="1" applyAlignment="1">
      <alignment horizontal="justify" vertical="center"/>
    </xf>
    <xf numFmtId="0" fontId="5" fillId="0" borderId="7" xfId="0" applyFont="1" applyBorder="1" applyAlignment="1">
      <alignment horizontal="justify" vertical="center"/>
    </xf>
    <xf numFmtId="0" fontId="5" fillId="0" borderId="29" xfId="0" applyFont="1" applyBorder="1" applyAlignment="1">
      <alignment horizontal="justify" vertical="center"/>
    </xf>
    <xf numFmtId="0" fontId="5" fillId="0" borderId="24" xfId="0" applyFont="1" applyBorder="1" applyAlignment="1">
      <alignment horizontal="justify" vertical="center"/>
    </xf>
    <xf numFmtId="0" fontId="5" fillId="0" borderId="30" xfId="0" applyFont="1" applyBorder="1" applyAlignment="1">
      <alignment horizontal="justify" vertical="center"/>
    </xf>
    <xf numFmtId="0" fontId="1" fillId="2" borderId="26" xfId="0" applyFont="1" applyFill="1" applyBorder="1" applyAlignment="1">
      <alignment wrapText="1"/>
    </xf>
    <xf numFmtId="0" fontId="5" fillId="0" borderId="26" xfId="0" applyFont="1" applyBorder="1" applyAlignment="1">
      <alignment wrapText="1"/>
    </xf>
    <xf numFmtId="0" fontId="5" fillId="0" borderId="26" xfId="0" applyFont="1" applyBorder="1"/>
    <xf numFmtId="49" fontId="5" fillId="0" borderId="0" xfId="0" applyNumberFormat="1" applyFont="1" applyAlignment="1">
      <alignment horizontal="left" vertical="center"/>
    </xf>
    <xf numFmtId="0" fontId="15" fillId="0" borderId="24" xfId="0" applyFont="1" applyBorder="1" applyAlignment="1">
      <alignment horizontal="center" vertical="center"/>
    </xf>
    <xf numFmtId="0" fontId="5" fillId="0" borderId="31" xfId="0" applyFont="1" applyBorder="1" applyAlignment="1">
      <alignment horizontal="left" vertical="center" wrapText="1"/>
    </xf>
    <xf numFmtId="0" fontId="5" fillId="0" borderId="32" xfId="0" applyFont="1" applyBorder="1" applyAlignment="1">
      <alignment horizontal="left" vertical="center" wrapText="1"/>
    </xf>
    <xf numFmtId="0" fontId="5" fillId="0" borderId="33" xfId="0" applyFont="1" applyBorder="1" applyAlignment="1">
      <alignment horizontal="left" vertical="center" wrapText="1"/>
    </xf>
    <xf numFmtId="0" fontId="14" fillId="4" borderId="38" xfId="0" applyFont="1" applyFill="1" applyBorder="1" applyAlignment="1">
      <alignment horizontal="center" vertical="center" wrapText="1"/>
    </xf>
    <xf numFmtId="0" fontId="14" fillId="4" borderId="40" xfId="0" applyFont="1" applyFill="1" applyBorder="1" applyAlignment="1">
      <alignment horizontal="center" vertical="center" wrapText="1"/>
    </xf>
    <xf numFmtId="165" fontId="9" fillId="4" borderId="38" xfId="0" applyNumberFormat="1" applyFont="1" applyFill="1" applyBorder="1" applyAlignment="1">
      <alignment horizontal="center" vertical="center" wrapText="1"/>
    </xf>
    <xf numFmtId="165" fontId="9" fillId="4" borderId="40" xfId="0" applyNumberFormat="1" applyFont="1" applyFill="1" applyBorder="1" applyAlignment="1">
      <alignment horizontal="center" vertical="center" wrapText="1"/>
    </xf>
    <xf numFmtId="0" fontId="14" fillId="4" borderId="49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49" fontId="12" fillId="3" borderId="31" xfId="0" applyNumberFormat="1" applyFont="1" applyFill="1" applyBorder="1" applyAlignment="1">
      <alignment horizontal="center" vertical="center" wrapText="1"/>
    </xf>
    <xf numFmtId="49" fontId="12" fillId="3" borderId="32" xfId="0" applyNumberFormat="1" applyFont="1" applyFill="1" applyBorder="1" applyAlignment="1">
      <alignment horizontal="center" vertical="center" wrapText="1"/>
    </xf>
    <xf numFmtId="49" fontId="12" fillId="3" borderId="33" xfId="0" applyNumberFormat="1" applyFont="1" applyFill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4" borderId="38" xfId="0" applyFont="1" applyFill="1" applyBorder="1" applyAlignment="1">
      <alignment horizontal="center" vertical="center" wrapText="1"/>
    </xf>
    <xf numFmtId="0" fontId="1" fillId="4" borderId="40" xfId="0" applyFont="1" applyFill="1" applyBorder="1" applyAlignment="1">
      <alignment horizontal="center" vertical="center" wrapText="1"/>
    </xf>
    <xf numFmtId="0" fontId="1" fillId="4" borderId="49" xfId="0" applyFont="1" applyFill="1" applyBorder="1" applyAlignment="1">
      <alignment horizontal="center" vertical="center" wrapText="1"/>
    </xf>
    <xf numFmtId="0" fontId="1" fillId="4" borderId="50" xfId="0" applyFont="1" applyFill="1" applyBorder="1" applyAlignment="1">
      <alignment horizontal="center" vertical="center" wrapText="1"/>
    </xf>
    <xf numFmtId="0" fontId="14" fillId="4" borderId="50" xfId="0" applyFont="1" applyFill="1" applyBorder="1" applyAlignment="1">
      <alignment horizontal="center" vertical="center" wrapText="1"/>
    </xf>
    <xf numFmtId="0" fontId="1" fillId="4" borderId="48" xfId="0" applyFont="1" applyFill="1" applyBorder="1" applyAlignment="1">
      <alignment horizontal="center" vertical="center" wrapText="1"/>
    </xf>
    <xf numFmtId="0" fontId="1" fillId="4" borderId="41" xfId="0" applyFont="1" applyFill="1" applyBorder="1" applyAlignment="1">
      <alignment horizontal="center" vertical="center" wrapText="1"/>
    </xf>
    <xf numFmtId="0" fontId="9" fillId="0" borderId="38" xfId="0" applyFont="1" applyBorder="1" applyAlignment="1">
      <alignment horizontal="center" vertical="center" wrapText="1"/>
    </xf>
    <xf numFmtId="0" fontId="9" fillId="0" borderId="40" xfId="0" applyFont="1" applyBorder="1" applyAlignment="1">
      <alignment horizontal="center" vertical="center" wrapText="1"/>
    </xf>
    <xf numFmtId="0" fontId="1" fillId="4" borderId="45" xfId="0" applyFont="1" applyFill="1" applyBorder="1" applyAlignment="1">
      <alignment horizontal="center" vertical="center" wrapText="1"/>
    </xf>
    <xf numFmtId="0" fontId="6" fillId="0" borderId="31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11" fillId="3" borderId="31" xfId="0" applyFont="1" applyFill="1" applyBorder="1" applyAlignment="1">
      <alignment horizontal="center" vertical="center"/>
    </xf>
    <xf numFmtId="0" fontId="11" fillId="3" borderId="32" xfId="0" applyFont="1" applyFill="1" applyBorder="1" applyAlignment="1">
      <alignment horizontal="center" vertical="center"/>
    </xf>
    <xf numFmtId="0" fontId="11" fillId="3" borderId="33" xfId="0" applyFont="1" applyFill="1" applyBorder="1" applyAlignment="1">
      <alignment horizontal="center" vertical="center"/>
    </xf>
    <xf numFmtId="14" fontId="20" fillId="0" borderId="27" xfId="0" applyNumberFormat="1" applyFont="1" applyBorder="1" applyAlignment="1">
      <alignment horizontal="left" vertical="center"/>
    </xf>
    <xf numFmtId="0" fontId="20" fillId="0" borderId="26" xfId="0" applyFont="1" applyBorder="1" applyAlignment="1">
      <alignment horizontal="left" vertical="center"/>
    </xf>
    <xf numFmtId="0" fontId="20" fillId="0" borderId="28" xfId="0" applyFont="1" applyBorder="1" applyAlignment="1">
      <alignment horizontal="left" vertical="center"/>
    </xf>
    <xf numFmtId="0" fontId="1" fillId="0" borderId="35" xfId="0" applyFont="1" applyBorder="1" applyAlignment="1">
      <alignment horizontal="left" vertical="center"/>
    </xf>
    <xf numFmtId="0" fontId="1" fillId="0" borderId="34" xfId="0" applyFont="1" applyBorder="1" applyAlignment="1">
      <alignment horizontal="left" vertical="center"/>
    </xf>
    <xf numFmtId="0" fontId="1" fillId="0" borderId="25" xfId="0" applyFont="1" applyBorder="1" applyAlignment="1">
      <alignment horizontal="left" vertical="center"/>
    </xf>
    <xf numFmtId="0" fontId="12" fillId="3" borderId="34" xfId="0" applyFont="1" applyFill="1" applyBorder="1" applyAlignment="1">
      <alignment horizontal="center" vertical="center" wrapText="1"/>
    </xf>
    <xf numFmtId="0" fontId="13" fillId="3" borderId="34" xfId="0" applyFont="1" applyFill="1" applyBorder="1" applyAlignment="1">
      <alignment horizontal="center" vertical="center" wrapText="1"/>
    </xf>
    <xf numFmtId="0" fontId="12" fillId="3" borderId="25" xfId="0" applyFont="1" applyFill="1" applyBorder="1" applyAlignment="1">
      <alignment horizontal="center" vertical="center" wrapText="1"/>
    </xf>
  </cellXfs>
  <cellStyles count="2">
    <cellStyle name="Estilo 1" xfId="1" xr:uid="{00000000-0005-0000-0000-000000000000}"/>
    <cellStyle name="Normal" xfId="0" builtinId="0"/>
  </cellStyles>
  <dxfs count="20"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ill>
        <patternFill>
          <bgColor rgb="FFFFFFCC"/>
        </patternFill>
      </fill>
    </dxf>
    <dxf>
      <fill>
        <patternFill>
          <bgColor rgb="FFFFCCCC"/>
        </patternFill>
      </fill>
    </dxf>
    <dxf>
      <fill>
        <patternFill>
          <bgColor theme="0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133350</xdr:colOff>
          <xdr:row>3</xdr:row>
          <xdr:rowOff>0</xdr:rowOff>
        </xdr:from>
        <xdr:to>
          <xdr:col>29</xdr:col>
          <xdr:colOff>581025</xdr:colOff>
          <xdr:row>4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1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Inserir Linhas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57150</xdr:colOff>
          <xdr:row>2</xdr:row>
          <xdr:rowOff>180975</xdr:rowOff>
        </xdr:from>
        <xdr:to>
          <xdr:col>31</xdr:col>
          <xdr:colOff>590550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1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Deletar Linhas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Viagem">
  <a:themeElements>
    <a:clrScheme name="Técnica">
      <a:dk1>
        <a:sysClr val="windowText" lastClr="000000"/>
      </a:dk1>
      <a:lt1>
        <a:sysClr val="window" lastClr="FFFFFF"/>
      </a:lt1>
      <a:dk2>
        <a:srgbClr val="3B3B3B"/>
      </a:dk2>
      <a:lt2>
        <a:srgbClr val="D4D2D0"/>
      </a:lt2>
      <a:accent1>
        <a:srgbClr val="6EA0B0"/>
      </a:accent1>
      <a:accent2>
        <a:srgbClr val="CCAF0A"/>
      </a:accent2>
      <a:accent3>
        <a:srgbClr val="8D89A4"/>
      </a:accent3>
      <a:accent4>
        <a:srgbClr val="748560"/>
      </a:accent4>
      <a:accent5>
        <a:srgbClr val="9E9273"/>
      </a:accent5>
      <a:accent6>
        <a:srgbClr val="7E848D"/>
      </a:accent6>
      <a:hlink>
        <a:srgbClr val="00C8C3"/>
      </a:hlink>
      <a:folHlink>
        <a:srgbClr val="A116E0"/>
      </a:folHlink>
    </a:clrScheme>
    <a:fontScheme name="Viagem">
      <a:majorFont>
        <a:latin typeface="Franklin Gothic Medium"/>
        <a:ea typeface=""/>
        <a:cs typeface=""/>
        <a:font script="Jpan" typeface="HG創英角ｺﾞｼｯｸUB"/>
        <a:font script="Hang" typeface="돋움"/>
        <a:font script="Hans" typeface="隶书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Franklin Gothic Book"/>
        <a:ea typeface=""/>
        <a:cs typeface=""/>
        <a:font script="Jpan" typeface="HGｺﾞｼｯｸE"/>
        <a:font script="Hang" typeface="돋움"/>
        <a:font script="Hans" typeface="华文楷体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blipFill>
          <a:blip xmlns:r="http://schemas.openxmlformats.org/officeDocument/2006/relationships" r:embed="rId1">
            <a:duotone>
              <a:schemeClr val="phClr">
                <a:shade val="90000"/>
                <a:satMod val="150000"/>
              </a:schemeClr>
              <a:schemeClr val="phClr">
                <a:tint val="88000"/>
                <a:satMod val="105000"/>
              </a:schemeClr>
            </a:duotone>
          </a:blip>
          <a:tile tx="0" ty="0" sx="95000" sy="95000" flip="none" algn="t"/>
        </a:blipFill>
        <a:blipFill>
          <a:blip xmlns:r="http://schemas.openxmlformats.org/officeDocument/2006/relationships" r:embed="rId2">
            <a:duotone>
              <a:schemeClr val="phClr">
                <a:shade val="30000"/>
                <a:satMod val="455000"/>
              </a:schemeClr>
              <a:schemeClr val="phClr">
                <a:tint val="95000"/>
                <a:satMod val="120000"/>
              </a:schemeClr>
            </a:duotone>
          </a:blip>
          <a:stretch>
            <a:fillRect/>
          </a:stretch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>
    <pageSetUpPr fitToPage="1"/>
  </sheetPr>
  <dimension ref="A1:GF104"/>
  <sheetViews>
    <sheetView tabSelected="1" view="pageBreakPreview" zoomScale="85" zoomScaleNormal="85" zoomScaleSheetLayoutView="85" workbookViewId="0">
      <selection activeCell="AG82" sqref="AG1:AI1048576"/>
    </sheetView>
  </sheetViews>
  <sheetFormatPr defaultRowHeight="12.75" x14ac:dyDescent="0.2"/>
  <cols>
    <col min="1" max="1" width="55.7109375" customWidth="1"/>
    <col min="2" max="2" width="12.5703125" customWidth="1"/>
    <col min="3" max="3" width="2.7109375" style="24" customWidth="1"/>
    <col min="4" max="4" width="6.7109375" customWidth="1"/>
    <col min="5" max="5" width="7.85546875" customWidth="1"/>
    <col min="6" max="6" width="6.7109375" customWidth="1"/>
    <col min="7" max="7" width="6" customWidth="1"/>
    <col min="8" max="8" width="11" customWidth="1"/>
    <col min="9" max="9" width="6.5703125" customWidth="1"/>
    <col min="10" max="10" width="4.42578125" customWidth="1"/>
    <col min="11" max="11" width="9" customWidth="1"/>
    <col min="12" max="12" width="6.28515625" customWidth="1"/>
    <col min="13" max="13" width="4.42578125" customWidth="1"/>
    <col min="14" max="14" width="8.28515625" customWidth="1"/>
    <col min="15" max="15" width="6.28515625" bestFit="1" customWidth="1"/>
    <col min="16" max="16" width="4.140625" customWidth="1"/>
    <col min="17" max="17" width="8.28515625" customWidth="1"/>
    <col min="18" max="18" width="6.28515625" bestFit="1" customWidth="1"/>
    <col min="19" max="19" width="4.42578125" customWidth="1"/>
    <col min="20" max="20" width="8.42578125" customWidth="1"/>
    <col min="21" max="21" width="7.42578125" customWidth="1"/>
    <col min="22" max="22" width="8.5703125" customWidth="1"/>
    <col min="23" max="23" width="11" customWidth="1"/>
    <col min="24" max="24" width="7.140625" customWidth="1"/>
    <col min="25" max="26" width="11" customWidth="1"/>
    <col min="27" max="27" width="8" customWidth="1"/>
    <col min="28" max="28" width="12.85546875" customWidth="1"/>
    <col min="33" max="33" width="12.28515625" customWidth="1"/>
  </cols>
  <sheetData>
    <row r="1" spans="1:188" ht="16.5" thickBot="1" x14ac:dyDescent="0.25">
      <c r="A1" s="190" t="s">
        <v>12</v>
      </c>
      <c r="B1" s="191"/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2"/>
    </row>
    <row r="2" spans="1:188" ht="16.5" thickBot="1" x14ac:dyDescent="0.25">
      <c r="A2" s="187" t="s">
        <v>33</v>
      </c>
      <c r="B2" s="188"/>
      <c r="C2" s="188"/>
      <c r="D2" s="188"/>
      <c r="E2" s="188"/>
      <c r="F2" s="188"/>
      <c r="G2" s="188"/>
      <c r="H2" s="188"/>
      <c r="I2" s="188"/>
      <c r="J2" s="188"/>
      <c r="K2" s="188"/>
      <c r="L2" s="188"/>
      <c r="M2" s="188"/>
      <c r="N2" s="188"/>
      <c r="O2" s="188"/>
      <c r="P2" s="188"/>
      <c r="Q2" s="188"/>
      <c r="R2" s="188"/>
      <c r="S2" s="188"/>
      <c r="T2" s="188"/>
      <c r="U2" s="188"/>
      <c r="V2" s="188"/>
      <c r="W2" s="188"/>
      <c r="X2" s="188"/>
      <c r="Y2" s="188"/>
      <c r="Z2" s="188"/>
      <c r="AA2" s="188"/>
      <c r="AB2" s="189"/>
    </row>
    <row r="3" spans="1:188" ht="13.5" thickBot="1" x14ac:dyDescent="0.25">
      <c r="A3" s="49" t="s">
        <v>17</v>
      </c>
      <c r="B3" s="193"/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  <c r="X3" s="194"/>
      <c r="Y3" s="194"/>
      <c r="Z3" s="194"/>
      <c r="AA3" s="194"/>
      <c r="AB3" s="195"/>
    </row>
    <row r="4" spans="1:188" ht="13.5" thickBot="1" x14ac:dyDescent="0.25">
      <c r="A4" s="196" t="s">
        <v>18</v>
      </c>
      <c r="B4" s="197"/>
      <c r="C4" s="197"/>
      <c r="D4" s="197"/>
      <c r="E4" s="197"/>
      <c r="F4" s="197"/>
      <c r="G4" s="197"/>
      <c r="H4" s="197"/>
      <c r="I4" s="197"/>
      <c r="J4" s="197"/>
      <c r="K4" s="197"/>
      <c r="L4" s="197"/>
      <c r="M4" s="197"/>
      <c r="N4" s="197"/>
      <c r="O4" s="197"/>
      <c r="P4" s="197"/>
      <c r="Q4" s="197"/>
      <c r="R4" s="197"/>
      <c r="S4" s="197"/>
      <c r="T4" s="197"/>
      <c r="U4" s="197"/>
      <c r="V4" s="197"/>
      <c r="W4" s="197"/>
      <c r="X4" s="197"/>
      <c r="Y4" s="197"/>
      <c r="Z4" s="197"/>
      <c r="AA4" s="197"/>
      <c r="AB4" s="198"/>
    </row>
    <row r="5" spans="1:188" ht="13.5" thickBot="1" x14ac:dyDescent="0.25">
      <c r="A5" s="38" t="s">
        <v>6</v>
      </c>
      <c r="B5" s="199" t="s">
        <v>19</v>
      </c>
      <c r="C5" s="199"/>
      <c r="D5" s="199" t="s">
        <v>8</v>
      </c>
      <c r="E5" s="199"/>
      <c r="F5" s="199"/>
      <c r="G5" s="199" t="s">
        <v>20</v>
      </c>
      <c r="H5" s="200"/>
      <c r="I5" s="200"/>
      <c r="J5" s="199" t="s">
        <v>13</v>
      </c>
      <c r="K5" s="199"/>
      <c r="L5" s="199"/>
      <c r="M5" s="199" t="s">
        <v>14</v>
      </c>
      <c r="N5" s="199"/>
      <c r="O5" s="199"/>
      <c r="P5" s="199" t="s">
        <v>7</v>
      </c>
      <c r="Q5" s="199"/>
      <c r="R5" s="199"/>
      <c r="S5" s="199" t="s">
        <v>15</v>
      </c>
      <c r="T5" s="199"/>
      <c r="U5" s="199"/>
      <c r="V5" s="199" t="s">
        <v>9</v>
      </c>
      <c r="W5" s="199"/>
      <c r="X5" s="199"/>
      <c r="Y5" s="199" t="s">
        <v>16</v>
      </c>
      <c r="Z5" s="199"/>
      <c r="AA5" s="199"/>
      <c r="AB5" s="201"/>
    </row>
    <row r="6" spans="1:188" ht="13.5" thickBot="1" x14ac:dyDescent="0.25">
      <c r="A6" s="186" t="s">
        <v>21</v>
      </c>
      <c r="B6" s="177" t="s">
        <v>22</v>
      </c>
      <c r="C6" s="177" t="s">
        <v>2</v>
      </c>
      <c r="D6" s="158" t="s">
        <v>0</v>
      </c>
      <c r="E6" s="158" t="s">
        <v>1</v>
      </c>
      <c r="F6" s="40" t="s">
        <v>3</v>
      </c>
      <c r="G6" s="158" t="s">
        <v>0</v>
      </c>
      <c r="H6" s="158" t="s">
        <v>1</v>
      </c>
      <c r="I6" s="40" t="s">
        <v>3</v>
      </c>
      <c r="J6" s="158" t="s">
        <v>0</v>
      </c>
      <c r="K6" s="158" t="s">
        <v>1</v>
      </c>
      <c r="L6" s="40" t="s">
        <v>3</v>
      </c>
      <c r="M6" s="158" t="s">
        <v>0</v>
      </c>
      <c r="N6" s="158" t="s">
        <v>1</v>
      </c>
      <c r="O6" s="40" t="s">
        <v>3</v>
      </c>
      <c r="P6" s="158" t="s">
        <v>0</v>
      </c>
      <c r="Q6" s="158" t="s">
        <v>1</v>
      </c>
      <c r="R6" s="40" t="s">
        <v>3</v>
      </c>
      <c r="S6" s="158" t="s">
        <v>0</v>
      </c>
      <c r="T6" s="158" t="s">
        <v>1</v>
      </c>
      <c r="U6" s="40" t="s">
        <v>3</v>
      </c>
      <c r="V6" s="158" t="s">
        <v>0</v>
      </c>
      <c r="W6" s="158" t="s">
        <v>1</v>
      </c>
      <c r="X6" s="40" t="s">
        <v>3</v>
      </c>
      <c r="Y6" s="158" t="s">
        <v>0</v>
      </c>
      <c r="Z6" s="158" t="s">
        <v>1</v>
      </c>
      <c r="AA6" s="40" t="s">
        <v>3</v>
      </c>
      <c r="AB6" s="184" t="s">
        <v>23</v>
      </c>
    </row>
    <row r="7" spans="1:188" s="3" customFormat="1" ht="24.75" customHeight="1" thickBot="1" x14ac:dyDescent="0.25">
      <c r="A7" s="183"/>
      <c r="B7" s="178"/>
      <c r="C7" s="178"/>
      <c r="D7" s="159"/>
      <c r="E7" s="159"/>
      <c r="F7" s="11" t="s">
        <v>5</v>
      </c>
      <c r="G7" s="159"/>
      <c r="H7" s="159"/>
      <c r="I7" s="11" t="s">
        <v>5</v>
      </c>
      <c r="J7" s="159"/>
      <c r="K7" s="159"/>
      <c r="L7" s="11" t="s">
        <v>5</v>
      </c>
      <c r="M7" s="159"/>
      <c r="N7" s="159"/>
      <c r="O7" s="11" t="s">
        <v>5</v>
      </c>
      <c r="P7" s="159"/>
      <c r="Q7" s="159"/>
      <c r="R7" s="11" t="s">
        <v>5</v>
      </c>
      <c r="S7" s="159"/>
      <c r="T7" s="159"/>
      <c r="U7" s="11" t="s">
        <v>5</v>
      </c>
      <c r="V7" s="159"/>
      <c r="W7" s="159"/>
      <c r="X7" s="11" t="s">
        <v>5</v>
      </c>
      <c r="Y7" s="159"/>
      <c r="Z7" s="159"/>
      <c r="AA7" s="11" t="s">
        <v>5</v>
      </c>
      <c r="AB7" s="185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</row>
    <row r="8" spans="1:188" ht="15" customHeight="1" x14ac:dyDescent="0.2">
      <c r="A8" s="37"/>
      <c r="B8" s="50"/>
      <c r="C8" s="51"/>
      <c r="D8" s="52"/>
      <c r="E8" s="53"/>
      <c r="F8" s="54" t="str">
        <f t="shared" ref="F8:F21" si="0">IFERROR((E8/D8)*100,"-")</f>
        <v>-</v>
      </c>
      <c r="G8" s="52"/>
      <c r="H8" s="53"/>
      <c r="I8" s="54" t="str">
        <f t="shared" ref="I8:I21" si="1">IFERROR((H8/G8)*100,"-")</f>
        <v>-</v>
      </c>
      <c r="J8" s="52"/>
      <c r="K8" s="53"/>
      <c r="L8" s="54" t="str">
        <f t="shared" ref="L8:L21" si="2">IFERROR((K8/J8)*100,"-")</f>
        <v>-</v>
      </c>
      <c r="M8" s="52"/>
      <c r="N8" s="53"/>
      <c r="O8" s="54" t="str">
        <f t="shared" ref="O8:O21" si="3">IFERROR((N8/M8)*100,"-")</f>
        <v>-</v>
      </c>
      <c r="P8" s="52"/>
      <c r="Q8" s="53"/>
      <c r="R8" s="54" t="str">
        <f t="shared" ref="R8:R21" si="4">IFERROR((Q8/P8)*100,"-")</f>
        <v>-</v>
      </c>
      <c r="S8" s="52"/>
      <c r="T8" s="53"/>
      <c r="U8" s="54" t="str">
        <f t="shared" ref="U8:U21" si="5">IFERROR((T8/S8)*100,"-")</f>
        <v>-</v>
      </c>
      <c r="V8" s="52"/>
      <c r="W8" s="53"/>
      <c r="X8" s="54" t="str">
        <f t="shared" ref="X8:X21" si="6">IFERROR((W8/V8)*100,"-")</f>
        <v>-</v>
      </c>
      <c r="Y8" s="52"/>
      <c r="Z8" s="53"/>
      <c r="AA8" s="54" t="str">
        <f t="shared" ref="AA8:AA21" si="7">IFERROR((Z8/Y8)*100,"-")</f>
        <v>-</v>
      </c>
      <c r="AB8" s="55"/>
    </row>
    <row r="9" spans="1:188" ht="15" customHeight="1" x14ac:dyDescent="0.2">
      <c r="A9" s="34"/>
      <c r="B9" s="56"/>
      <c r="C9" s="57"/>
      <c r="D9" s="58"/>
      <c r="E9" s="59"/>
      <c r="F9" s="60" t="str">
        <f t="shared" si="0"/>
        <v>-</v>
      </c>
      <c r="G9" s="58"/>
      <c r="H9" s="59"/>
      <c r="I9" s="60" t="str">
        <f t="shared" si="1"/>
        <v>-</v>
      </c>
      <c r="J9" s="58"/>
      <c r="K9" s="59"/>
      <c r="L9" s="60" t="str">
        <f t="shared" si="2"/>
        <v>-</v>
      </c>
      <c r="M9" s="58"/>
      <c r="N9" s="59"/>
      <c r="O9" s="60" t="str">
        <f t="shared" si="3"/>
        <v>-</v>
      </c>
      <c r="P9" s="58"/>
      <c r="Q9" s="59"/>
      <c r="R9" s="60" t="str">
        <f t="shared" si="4"/>
        <v>-</v>
      </c>
      <c r="S9" s="58"/>
      <c r="T9" s="59"/>
      <c r="U9" s="60" t="str">
        <f t="shared" si="5"/>
        <v>-</v>
      </c>
      <c r="V9" s="58"/>
      <c r="W9" s="59"/>
      <c r="X9" s="60" t="str">
        <f t="shared" si="6"/>
        <v>-</v>
      </c>
      <c r="Y9" s="58"/>
      <c r="Z9" s="59"/>
      <c r="AA9" s="60" t="str">
        <f t="shared" si="7"/>
        <v>-</v>
      </c>
      <c r="AB9" s="61"/>
    </row>
    <row r="10" spans="1:188" ht="15" customHeight="1" x14ac:dyDescent="0.2">
      <c r="A10" s="34"/>
      <c r="B10" s="56"/>
      <c r="C10" s="57"/>
      <c r="D10" s="58"/>
      <c r="E10" s="59"/>
      <c r="F10" s="60" t="str">
        <f t="shared" si="0"/>
        <v>-</v>
      </c>
      <c r="G10" s="58"/>
      <c r="H10" s="59"/>
      <c r="I10" s="60" t="str">
        <f t="shared" si="1"/>
        <v>-</v>
      </c>
      <c r="J10" s="58"/>
      <c r="K10" s="59"/>
      <c r="L10" s="60" t="str">
        <f t="shared" si="2"/>
        <v>-</v>
      </c>
      <c r="M10" s="58"/>
      <c r="N10" s="59"/>
      <c r="O10" s="60" t="str">
        <f t="shared" si="3"/>
        <v>-</v>
      </c>
      <c r="P10" s="58"/>
      <c r="Q10" s="59"/>
      <c r="R10" s="60" t="str">
        <f t="shared" si="4"/>
        <v>-</v>
      </c>
      <c r="S10" s="58"/>
      <c r="T10" s="59"/>
      <c r="U10" s="60" t="str">
        <f t="shared" si="5"/>
        <v>-</v>
      </c>
      <c r="V10" s="58"/>
      <c r="W10" s="59"/>
      <c r="X10" s="60" t="str">
        <f t="shared" si="6"/>
        <v>-</v>
      </c>
      <c r="Y10" s="58"/>
      <c r="Z10" s="59"/>
      <c r="AA10" s="60" t="str">
        <f t="shared" si="7"/>
        <v>-</v>
      </c>
      <c r="AB10" s="61"/>
      <c r="AG10" s="30"/>
    </row>
    <row r="11" spans="1:188" ht="15" customHeight="1" x14ac:dyDescent="0.2">
      <c r="A11" s="34"/>
      <c r="B11" s="56"/>
      <c r="C11" s="57"/>
      <c r="D11" s="62"/>
      <c r="E11" s="59"/>
      <c r="F11" s="60" t="str">
        <f>IFERROR((E11/#REF!)*100,"-")</f>
        <v>-</v>
      </c>
      <c r="G11" s="62"/>
      <c r="H11" s="59"/>
      <c r="I11" s="60" t="str">
        <f t="shared" si="1"/>
        <v>-</v>
      </c>
      <c r="J11" s="62"/>
      <c r="K11" s="59"/>
      <c r="L11" s="60" t="str">
        <f t="shared" si="2"/>
        <v>-</v>
      </c>
      <c r="M11" s="62"/>
      <c r="N11" s="59"/>
      <c r="O11" s="60" t="str">
        <f t="shared" si="3"/>
        <v>-</v>
      </c>
      <c r="P11" s="62"/>
      <c r="Q11" s="59"/>
      <c r="R11" s="60" t="str">
        <f t="shared" si="4"/>
        <v>-</v>
      </c>
      <c r="S11" s="62"/>
      <c r="T11" s="59"/>
      <c r="U11" s="60" t="str">
        <f t="shared" si="5"/>
        <v>-</v>
      </c>
      <c r="V11" s="62"/>
      <c r="W11" s="59"/>
      <c r="X11" s="60" t="str">
        <f t="shared" si="6"/>
        <v>-</v>
      </c>
      <c r="Y11" s="62"/>
      <c r="Z11" s="59"/>
      <c r="AA11" s="60" t="str">
        <f t="shared" si="7"/>
        <v>-</v>
      </c>
      <c r="AB11" s="61"/>
      <c r="AG11" s="30"/>
    </row>
    <row r="12" spans="1:188" ht="15" customHeight="1" x14ac:dyDescent="0.2">
      <c r="A12" s="34"/>
      <c r="B12" s="56"/>
      <c r="C12" s="57"/>
      <c r="D12" s="62"/>
      <c r="E12" s="59"/>
      <c r="F12" s="60" t="str">
        <f>IFERROR((E12/#REF!)*100,"-")</f>
        <v>-</v>
      </c>
      <c r="G12" s="62"/>
      <c r="H12" s="59"/>
      <c r="I12" s="60" t="str">
        <f t="shared" si="1"/>
        <v>-</v>
      </c>
      <c r="J12" s="62"/>
      <c r="K12" s="59"/>
      <c r="L12" s="60" t="str">
        <f t="shared" si="2"/>
        <v>-</v>
      </c>
      <c r="M12" s="62"/>
      <c r="N12" s="59"/>
      <c r="O12" s="60" t="str">
        <f t="shared" si="3"/>
        <v>-</v>
      </c>
      <c r="P12" s="62"/>
      <c r="Q12" s="59"/>
      <c r="R12" s="60" t="str">
        <f t="shared" si="4"/>
        <v>-</v>
      </c>
      <c r="S12" s="62"/>
      <c r="T12" s="59"/>
      <c r="U12" s="60" t="str">
        <f t="shared" si="5"/>
        <v>-</v>
      </c>
      <c r="V12" s="62"/>
      <c r="W12" s="59"/>
      <c r="X12" s="60" t="str">
        <f t="shared" si="6"/>
        <v>-</v>
      </c>
      <c r="Y12" s="62"/>
      <c r="Z12" s="59"/>
      <c r="AA12" s="60" t="str">
        <f t="shared" si="7"/>
        <v>-</v>
      </c>
      <c r="AB12" s="61"/>
      <c r="AG12" s="30"/>
    </row>
    <row r="13" spans="1:188" ht="15" customHeight="1" x14ac:dyDescent="0.2">
      <c r="A13" s="34"/>
      <c r="B13" s="56"/>
      <c r="C13" s="57"/>
      <c r="D13" s="62"/>
      <c r="E13" s="59"/>
      <c r="F13" s="60" t="str">
        <f>IFERROR((E13/#REF!)*100,"-")</f>
        <v>-</v>
      </c>
      <c r="G13" s="62"/>
      <c r="H13" s="59"/>
      <c r="I13" s="60" t="str">
        <f t="shared" si="1"/>
        <v>-</v>
      </c>
      <c r="J13" s="62"/>
      <c r="K13" s="59"/>
      <c r="L13" s="60" t="str">
        <f t="shared" si="2"/>
        <v>-</v>
      </c>
      <c r="M13" s="62"/>
      <c r="N13" s="59"/>
      <c r="O13" s="60" t="str">
        <f t="shared" si="3"/>
        <v>-</v>
      </c>
      <c r="P13" s="62"/>
      <c r="Q13" s="59"/>
      <c r="R13" s="60" t="str">
        <f t="shared" si="4"/>
        <v>-</v>
      </c>
      <c r="S13" s="62"/>
      <c r="T13" s="59"/>
      <c r="U13" s="60" t="str">
        <f t="shared" si="5"/>
        <v>-</v>
      </c>
      <c r="V13" s="62"/>
      <c r="W13" s="59"/>
      <c r="X13" s="60" t="str">
        <f t="shared" si="6"/>
        <v>-</v>
      </c>
      <c r="Y13" s="62"/>
      <c r="Z13" s="59"/>
      <c r="AA13" s="60" t="str">
        <f t="shared" si="7"/>
        <v>-</v>
      </c>
      <c r="AB13" s="61"/>
      <c r="AG13" s="30"/>
    </row>
    <row r="14" spans="1:188" ht="15" customHeight="1" x14ac:dyDescent="0.2">
      <c r="A14" s="34"/>
      <c r="B14" s="56"/>
      <c r="C14" s="57"/>
      <c r="D14" s="62"/>
      <c r="E14" s="59"/>
      <c r="F14" s="60" t="str">
        <f>IFERROR((E14/#REF!)*100,"-")</f>
        <v>-</v>
      </c>
      <c r="G14" s="62"/>
      <c r="H14" s="59"/>
      <c r="I14" s="60" t="str">
        <f t="shared" si="1"/>
        <v>-</v>
      </c>
      <c r="J14" s="62"/>
      <c r="K14" s="59"/>
      <c r="L14" s="60" t="str">
        <f t="shared" si="2"/>
        <v>-</v>
      </c>
      <c r="M14" s="62"/>
      <c r="N14" s="59"/>
      <c r="O14" s="60" t="str">
        <f t="shared" si="3"/>
        <v>-</v>
      </c>
      <c r="P14" s="62"/>
      <c r="Q14" s="59"/>
      <c r="R14" s="60" t="str">
        <f t="shared" si="4"/>
        <v>-</v>
      </c>
      <c r="S14" s="62"/>
      <c r="T14" s="63"/>
      <c r="U14" s="60" t="str">
        <f t="shared" si="5"/>
        <v>-</v>
      </c>
      <c r="V14" s="62"/>
      <c r="W14" s="59"/>
      <c r="X14" s="60" t="str">
        <f t="shared" si="6"/>
        <v>-</v>
      </c>
      <c r="Y14" s="62"/>
      <c r="Z14" s="59"/>
      <c r="AA14" s="60" t="str">
        <f t="shared" si="7"/>
        <v>-</v>
      </c>
      <c r="AB14" s="61"/>
    </row>
    <row r="15" spans="1:188" ht="15" customHeight="1" x14ac:dyDescent="0.2">
      <c r="A15" s="34"/>
      <c r="B15" s="56"/>
      <c r="C15" s="57"/>
      <c r="D15" s="64"/>
      <c r="E15" s="59"/>
      <c r="F15" s="60" t="str">
        <f t="shared" si="0"/>
        <v>-</v>
      </c>
      <c r="G15" s="64"/>
      <c r="H15" s="59"/>
      <c r="I15" s="60" t="str">
        <f t="shared" si="1"/>
        <v>-</v>
      </c>
      <c r="J15" s="64"/>
      <c r="K15" s="59"/>
      <c r="L15" s="60" t="str">
        <f t="shared" si="2"/>
        <v>-</v>
      </c>
      <c r="M15" s="64"/>
      <c r="N15" s="59"/>
      <c r="O15" s="60" t="str">
        <f t="shared" si="3"/>
        <v>-</v>
      </c>
      <c r="P15" s="64"/>
      <c r="Q15" s="59"/>
      <c r="R15" s="60" t="str">
        <f t="shared" si="4"/>
        <v>-</v>
      </c>
      <c r="S15" s="64"/>
      <c r="T15" s="59"/>
      <c r="U15" s="60" t="str">
        <f t="shared" si="5"/>
        <v>-</v>
      </c>
      <c r="V15" s="58"/>
      <c r="W15" s="59"/>
      <c r="X15" s="60" t="str">
        <f t="shared" si="6"/>
        <v>-</v>
      </c>
      <c r="Y15" s="62"/>
      <c r="Z15" s="59"/>
      <c r="AA15" s="60" t="str">
        <f t="shared" si="7"/>
        <v>-</v>
      </c>
      <c r="AB15" s="61"/>
    </row>
    <row r="16" spans="1:188" ht="15" customHeight="1" x14ac:dyDescent="0.2">
      <c r="A16" s="34"/>
      <c r="B16" s="56"/>
      <c r="C16" s="57"/>
      <c r="D16" s="64"/>
      <c r="E16" s="59"/>
      <c r="F16" s="60" t="str">
        <f t="shared" si="0"/>
        <v>-</v>
      </c>
      <c r="G16" s="64"/>
      <c r="H16" s="59"/>
      <c r="I16" s="60" t="str">
        <f t="shared" si="1"/>
        <v>-</v>
      </c>
      <c r="J16" s="64"/>
      <c r="K16" s="59"/>
      <c r="L16" s="60" t="str">
        <f t="shared" si="2"/>
        <v>-</v>
      </c>
      <c r="M16" s="64"/>
      <c r="N16" s="59"/>
      <c r="O16" s="60" t="str">
        <f t="shared" si="3"/>
        <v>-</v>
      </c>
      <c r="P16" s="64"/>
      <c r="Q16" s="59"/>
      <c r="R16" s="60" t="str">
        <f t="shared" si="4"/>
        <v>-</v>
      </c>
      <c r="S16" s="64"/>
      <c r="T16" s="59"/>
      <c r="U16" s="60" t="str">
        <f t="shared" si="5"/>
        <v>-</v>
      </c>
      <c r="V16" s="58"/>
      <c r="W16" s="59"/>
      <c r="X16" s="60" t="str">
        <f t="shared" si="6"/>
        <v>-</v>
      </c>
      <c r="Y16" s="62"/>
      <c r="Z16" s="59"/>
      <c r="AA16" s="60" t="str">
        <f t="shared" si="7"/>
        <v>-</v>
      </c>
      <c r="AB16" s="61"/>
    </row>
    <row r="17" spans="1:32" ht="15" customHeight="1" x14ac:dyDescent="0.2">
      <c r="A17" s="34"/>
      <c r="B17" s="56"/>
      <c r="C17" s="57"/>
      <c r="D17" s="64"/>
      <c r="E17" s="59"/>
      <c r="F17" s="60" t="str">
        <f t="shared" si="0"/>
        <v>-</v>
      </c>
      <c r="G17" s="64"/>
      <c r="H17" s="59"/>
      <c r="I17" s="60" t="str">
        <f t="shared" si="1"/>
        <v>-</v>
      </c>
      <c r="J17" s="64"/>
      <c r="K17" s="59"/>
      <c r="L17" s="60" t="str">
        <f t="shared" si="2"/>
        <v>-</v>
      </c>
      <c r="M17" s="64"/>
      <c r="N17" s="59"/>
      <c r="O17" s="60" t="str">
        <f t="shared" si="3"/>
        <v>-</v>
      </c>
      <c r="P17" s="64"/>
      <c r="Q17" s="59"/>
      <c r="R17" s="60" t="str">
        <f t="shared" si="4"/>
        <v>-</v>
      </c>
      <c r="S17" s="64"/>
      <c r="T17" s="59"/>
      <c r="U17" s="60" t="str">
        <f t="shared" si="5"/>
        <v>-</v>
      </c>
      <c r="V17" s="58"/>
      <c r="W17" s="59"/>
      <c r="X17" s="60" t="str">
        <f t="shared" si="6"/>
        <v>-</v>
      </c>
      <c r="Y17" s="62"/>
      <c r="Z17" s="59"/>
      <c r="AA17" s="60" t="str">
        <f t="shared" si="7"/>
        <v>-</v>
      </c>
      <c r="AB17" s="61"/>
    </row>
    <row r="18" spans="1:32" ht="15" customHeight="1" x14ac:dyDescent="0.2">
      <c r="A18" s="34"/>
      <c r="B18" s="56"/>
      <c r="C18" s="57"/>
      <c r="D18" s="64"/>
      <c r="E18" s="59"/>
      <c r="F18" s="60" t="str">
        <f t="shared" si="0"/>
        <v>-</v>
      </c>
      <c r="G18" s="64"/>
      <c r="H18" s="59"/>
      <c r="I18" s="60" t="str">
        <f t="shared" si="1"/>
        <v>-</v>
      </c>
      <c r="J18" s="64"/>
      <c r="K18" s="59"/>
      <c r="L18" s="60" t="str">
        <f t="shared" si="2"/>
        <v>-</v>
      </c>
      <c r="M18" s="64"/>
      <c r="N18" s="59"/>
      <c r="O18" s="60" t="str">
        <f t="shared" si="3"/>
        <v>-</v>
      </c>
      <c r="P18" s="64"/>
      <c r="Q18" s="59"/>
      <c r="R18" s="60" t="str">
        <f t="shared" si="4"/>
        <v>-</v>
      </c>
      <c r="S18" s="64"/>
      <c r="T18" s="59"/>
      <c r="U18" s="60" t="str">
        <f t="shared" si="5"/>
        <v>-</v>
      </c>
      <c r="V18" s="58"/>
      <c r="W18" s="59"/>
      <c r="X18" s="60" t="str">
        <f t="shared" si="6"/>
        <v>-</v>
      </c>
      <c r="Y18" s="62"/>
      <c r="Z18" s="59"/>
      <c r="AA18" s="60" t="str">
        <f t="shared" si="7"/>
        <v>-</v>
      </c>
      <c r="AB18" s="61"/>
    </row>
    <row r="19" spans="1:32" ht="15" customHeight="1" x14ac:dyDescent="0.2">
      <c r="A19" s="34"/>
      <c r="B19" s="56"/>
      <c r="C19" s="57"/>
      <c r="D19" s="64"/>
      <c r="E19" s="59"/>
      <c r="F19" s="60" t="str">
        <f t="shared" si="0"/>
        <v>-</v>
      </c>
      <c r="G19" s="64"/>
      <c r="H19" s="59"/>
      <c r="I19" s="60" t="str">
        <f t="shared" si="1"/>
        <v>-</v>
      </c>
      <c r="J19" s="64"/>
      <c r="K19" s="59"/>
      <c r="L19" s="60" t="str">
        <f t="shared" si="2"/>
        <v>-</v>
      </c>
      <c r="M19" s="64"/>
      <c r="N19" s="59"/>
      <c r="O19" s="60" t="str">
        <f t="shared" si="3"/>
        <v>-</v>
      </c>
      <c r="P19" s="64"/>
      <c r="Q19" s="59"/>
      <c r="R19" s="60" t="str">
        <f t="shared" si="4"/>
        <v>-</v>
      </c>
      <c r="S19" s="64"/>
      <c r="T19" s="59"/>
      <c r="U19" s="60" t="str">
        <f t="shared" si="5"/>
        <v>-</v>
      </c>
      <c r="V19" s="58"/>
      <c r="W19" s="59"/>
      <c r="X19" s="60" t="str">
        <f t="shared" si="6"/>
        <v>-</v>
      </c>
      <c r="Y19" s="62"/>
      <c r="Z19" s="59"/>
      <c r="AA19" s="60" t="str">
        <f t="shared" si="7"/>
        <v>-</v>
      </c>
      <c r="AB19" s="61"/>
    </row>
    <row r="20" spans="1:32" ht="15" customHeight="1" x14ac:dyDescent="0.2">
      <c r="A20" s="34"/>
      <c r="B20" s="56"/>
      <c r="C20" s="57"/>
      <c r="D20" s="64"/>
      <c r="E20" s="59"/>
      <c r="F20" s="60" t="str">
        <f t="shared" si="0"/>
        <v>-</v>
      </c>
      <c r="G20" s="64"/>
      <c r="H20" s="59"/>
      <c r="I20" s="60" t="str">
        <f t="shared" si="1"/>
        <v>-</v>
      </c>
      <c r="J20" s="64"/>
      <c r="K20" s="59"/>
      <c r="L20" s="60" t="str">
        <f t="shared" si="2"/>
        <v>-</v>
      </c>
      <c r="M20" s="64"/>
      <c r="N20" s="59"/>
      <c r="O20" s="60" t="str">
        <f t="shared" si="3"/>
        <v>-</v>
      </c>
      <c r="P20" s="64"/>
      <c r="Q20" s="59"/>
      <c r="R20" s="60" t="str">
        <f t="shared" si="4"/>
        <v>-</v>
      </c>
      <c r="S20" s="64"/>
      <c r="T20" s="59"/>
      <c r="U20" s="60" t="str">
        <f t="shared" si="5"/>
        <v>-</v>
      </c>
      <c r="V20" s="58"/>
      <c r="W20" s="59"/>
      <c r="X20" s="60" t="str">
        <f t="shared" si="6"/>
        <v>-</v>
      </c>
      <c r="Y20" s="62"/>
      <c r="Z20" s="65"/>
      <c r="AA20" s="60" t="str">
        <f t="shared" si="7"/>
        <v>-</v>
      </c>
      <c r="AB20" s="61"/>
    </row>
    <row r="21" spans="1:32" ht="15" customHeight="1" thickBot="1" x14ac:dyDescent="0.25">
      <c r="A21" s="41"/>
      <c r="B21" s="66"/>
      <c r="C21" s="67"/>
      <c r="D21" s="68"/>
      <c r="E21" s="69"/>
      <c r="F21" s="70" t="str">
        <f t="shared" si="0"/>
        <v>-</v>
      </c>
      <c r="G21" s="68"/>
      <c r="H21" s="69"/>
      <c r="I21" s="70" t="str">
        <f t="shared" si="1"/>
        <v>-</v>
      </c>
      <c r="J21" s="68"/>
      <c r="K21" s="69"/>
      <c r="L21" s="70" t="str">
        <f t="shared" si="2"/>
        <v>-</v>
      </c>
      <c r="M21" s="68"/>
      <c r="N21" s="69"/>
      <c r="O21" s="70" t="str">
        <f t="shared" si="3"/>
        <v>-</v>
      </c>
      <c r="P21" s="68"/>
      <c r="Q21" s="69"/>
      <c r="R21" s="70" t="str">
        <f t="shared" si="4"/>
        <v>-</v>
      </c>
      <c r="S21" s="68"/>
      <c r="T21" s="69"/>
      <c r="U21" s="70" t="str">
        <f t="shared" si="5"/>
        <v>-</v>
      </c>
      <c r="V21" s="71"/>
      <c r="W21" s="69"/>
      <c r="X21" s="70" t="str">
        <f t="shared" si="6"/>
        <v>-</v>
      </c>
      <c r="Y21" s="72"/>
      <c r="Z21" s="69"/>
      <c r="AA21" s="70" t="str">
        <f t="shared" si="7"/>
        <v>-</v>
      </c>
      <c r="AB21" s="73"/>
    </row>
    <row r="22" spans="1:32" ht="13.5" thickBot="1" x14ac:dyDescent="0.25">
      <c r="A22" s="182" t="s">
        <v>24</v>
      </c>
      <c r="B22" s="177" t="s">
        <v>22</v>
      </c>
      <c r="C22" s="177" t="s">
        <v>2</v>
      </c>
      <c r="D22" s="158" t="s">
        <v>0</v>
      </c>
      <c r="E22" s="158" t="s">
        <v>1</v>
      </c>
      <c r="F22" s="40" t="s">
        <v>3</v>
      </c>
      <c r="G22" s="158" t="s">
        <v>0</v>
      </c>
      <c r="H22" s="158" t="s">
        <v>1</v>
      </c>
      <c r="I22" s="40" t="s">
        <v>3</v>
      </c>
      <c r="J22" s="158" t="s">
        <v>0</v>
      </c>
      <c r="K22" s="158" t="s">
        <v>1</v>
      </c>
      <c r="L22" s="40" t="s">
        <v>3</v>
      </c>
      <c r="M22" s="158" t="s">
        <v>0</v>
      </c>
      <c r="N22" s="158" t="s">
        <v>1</v>
      </c>
      <c r="O22" s="40" t="s">
        <v>3</v>
      </c>
      <c r="P22" s="158" t="s">
        <v>0</v>
      </c>
      <c r="Q22" s="158" t="s">
        <v>1</v>
      </c>
      <c r="R22" s="40" t="s">
        <v>3</v>
      </c>
      <c r="S22" s="158" t="s">
        <v>0</v>
      </c>
      <c r="T22" s="158" t="s">
        <v>1</v>
      </c>
      <c r="U22" s="40" t="s">
        <v>3</v>
      </c>
      <c r="V22" s="158" t="s">
        <v>0</v>
      </c>
      <c r="W22" s="158" t="s">
        <v>1</v>
      </c>
      <c r="X22" s="40" t="s">
        <v>3</v>
      </c>
      <c r="Y22" s="158" t="s">
        <v>0</v>
      </c>
      <c r="Z22" s="158" t="s">
        <v>1</v>
      </c>
      <c r="AA22" s="40" t="s">
        <v>3</v>
      </c>
      <c r="AB22" s="160" t="s">
        <v>23</v>
      </c>
    </row>
    <row r="23" spans="1:32" ht="24" customHeight="1" thickBot="1" x14ac:dyDescent="0.25">
      <c r="A23" s="183"/>
      <c r="B23" s="178"/>
      <c r="C23" s="178"/>
      <c r="D23" s="159"/>
      <c r="E23" s="159"/>
      <c r="F23" s="11" t="s">
        <v>5</v>
      </c>
      <c r="G23" s="159"/>
      <c r="H23" s="159"/>
      <c r="I23" s="11" t="s">
        <v>5</v>
      </c>
      <c r="J23" s="159"/>
      <c r="K23" s="159"/>
      <c r="L23" s="11" t="s">
        <v>5</v>
      </c>
      <c r="M23" s="159"/>
      <c r="N23" s="159"/>
      <c r="O23" s="11" t="s">
        <v>5</v>
      </c>
      <c r="P23" s="159"/>
      <c r="Q23" s="159"/>
      <c r="R23" s="11" t="s">
        <v>5</v>
      </c>
      <c r="S23" s="159"/>
      <c r="T23" s="159"/>
      <c r="U23" s="11" t="s">
        <v>5</v>
      </c>
      <c r="V23" s="159"/>
      <c r="W23" s="159"/>
      <c r="X23" s="11" t="s">
        <v>5</v>
      </c>
      <c r="Y23" s="159"/>
      <c r="Z23" s="159"/>
      <c r="AA23" s="11" t="s">
        <v>5</v>
      </c>
      <c r="AB23" s="161"/>
    </row>
    <row r="24" spans="1:32" x14ac:dyDescent="0.2">
      <c r="A24" s="37"/>
      <c r="B24" s="50"/>
      <c r="C24" s="51"/>
      <c r="D24" s="52"/>
      <c r="E24" s="53"/>
      <c r="F24" s="54" t="str">
        <f>IFERROR((E24/D24)*100,"-")</f>
        <v>-</v>
      </c>
      <c r="G24" s="52"/>
      <c r="H24" s="53"/>
      <c r="I24" s="54" t="str">
        <f>IFERROR((H24/G24)*100,"-")</f>
        <v>-</v>
      </c>
      <c r="J24" s="52"/>
      <c r="K24" s="53"/>
      <c r="L24" s="54" t="str">
        <f>IFERROR((K24/J24)*100,"-")</f>
        <v>-</v>
      </c>
      <c r="M24" s="52"/>
      <c r="N24" s="53"/>
      <c r="O24" s="54" t="str">
        <f>IFERROR((N24/M24)*100,"-")</f>
        <v>-</v>
      </c>
      <c r="P24" s="52"/>
      <c r="Q24" s="53"/>
      <c r="R24" s="54" t="str">
        <f>IFERROR((Q24/P24)*100,"-")</f>
        <v>-</v>
      </c>
      <c r="S24" s="52"/>
      <c r="T24" s="53"/>
      <c r="U24" s="54" t="str">
        <f>IFERROR((T24/S24)*100,"-")</f>
        <v>-</v>
      </c>
      <c r="V24" s="52"/>
      <c r="W24" s="53"/>
      <c r="X24" s="54" t="str">
        <f>IFERROR((W24/V24)*100,"-")</f>
        <v>-</v>
      </c>
      <c r="Y24" s="52"/>
      <c r="Z24" s="53"/>
      <c r="AA24" s="54" t="str">
        <f>IFERROR((Z24/Y24)*100,"-")</f>
        <v>-</v>
      </c>
      <c r="AB24" s="55"/>
    </row>
    <row r="25" spans="1:32" x14ac:dyDescent="0.2">
      <c r="A25" s="34"/>
      <c r="B25" s="56"/>
      <c r="C25" s="57"/>
      <c r="D25" s="58"/>
      <c r="E25" s="59"/>
      <c r="F25" s="60" t="str">
        <f>IFERROR((E25/D25)*100,"-")</f>
        <v>-</v>
      </c>
      <c r="G25" s="58"/>
      <c r="H25" s="59"/>
      <c r="I25" s="60" t="str">
        <f>IFERROR((H25/G25)*100,"-")</f>
        <v>-</v>
      </c>
      <c r="J25" s="58"/>
      <c r="K25" s="59"/>
      <c r="L25" s="60" t="str">
        <f>IFERROR((K25/J25)*100,"-")</f>
        <v>-</v>
      </c>
      <c r="M25" s="58"/>
      <c r="N25" s="59"/>
      <c r="O25" s="60" t="str">
        <f>IFERROR((N25/M25)*100,"-")</f>
        <v>-</v>
      </c>
      <c r="P25" s="58"/>
      <c r="Q25" s="59"/>
      <c r="R25" s="60" t="str">
        <f>IFERROR((Q25/P25)*100,"-")</f>
        <v>-</v>
      </c>
      <c r="S25" s="58"/>
      <c r="T25" s="59"/>
      <c r="U25" s="60" t="str">
        <f>IFERROR((T25/S25)*100,"-")</f>
        <v>-</v>
      </c>
      <c r="V25" s="58"/>
      <c r="W25" s="59"/>
      <c r="X25" s="60" t="str">
        <f>IFERROR((W25/V25)*100,"-")</f>
        <v>-</v>
      </c>
      <c r="Y25" s="58"/>
      <c r="Z25" s="59"/>
      <c r="AA25" s="60" t="str">
        <f>IFERROR((Z25/Y25)*100,"-")</f>
        <v>-</v>
      </c>
      <c r="AB25" s="61"/>
    </row>
    <row r="26" spans="1:32" x14ac:dyDescent="0.2">
      <c r="A26" s="34"/>
      <c r="B26" s="56"/>
      <c r="C26" s="57"/>
      <c r="D26" s="64"/>
      <c r="E26" s="64"/>
      <c r="F26" s="60" t="str">
        <f>IFERROR((E26/D26)*100,"-")</f>
        <v>-</v>
      </c>
      <c r="G26" s="64"/>
      <c r="H26" s="64"/>
      <c r="I26" s="60" t="str">
        <f>IFERROR((H26/G26)*100,"-")</f>
        <v>-</v>
      </c>
      <c r="J26" s="64"/>
      <c r="K26" s="64"/>
      <c r="L26" s="60" t="str">
        <f>IFERROR((K26/J26)*100,"-")</f>
        <v>-</v>
      </c>
      <c r="M26" s="64"/>
      <c r="N26" s="64"/>
      <c r="O26" s="60" t="str">
        <f>IFERROR((N26/M26)*100,"-")</f>
        <v>-</v>
      </c>
      <c r="P26" s="64"/>
      <c r="Q26" s="64"/>
      <c r="R26" s="60" t="str">
        <f>IFERROR((Q26/P26)*100,"-")</f>
        <v>-</v>
      </c>
      <c r="S26" s="64"/>
      <c r="T26" s="64"/>
      <c r="U26" s="60" t="str">
        <f>IFERROR((T26/S26)*100,"-")</f>
        <v>-</v>
      </c>
      <c r="V26" s="64"/>
      <c r="W26" s="59"/>
      <c r="X26" s="60" t="str">
        <f>IFERROR((W26/V26)*100,"-")</f>
        <v>-</v>
      </c>
      <c r="Y26" s="58"/>
      <c r="Z26" s="59"/>
      <c r="AA26" s="60" t="str">
        <f>IFERROR((Z26/Y26)*100,"-")</f>
        <v>-</v>
      </c>
      <c r="AB26" s="61"/>
    </row>
    <row r="27" spans="1:32" ht="13.5" thickBot="1" x14ac:dyDescent="0.25">
      <c r="A27" s="41"/>
      <c r="B27" s="66"/>
      <c r="C27" s="67"/>
      <c r="D27" s="71"/>
      <c r="E27" s="69"/>
      <c r="F27" s="70" t="str">
        <f>IFERROR((E27/D27)*100,"-")</f>
        <v>-</v>
      </c>
      <c r="G27" s="71"/>
      <c r="H27" s="69"/>
      <c r="I27" s="70" t="str">
        <f>IFERROR((H27/G27)*100,"-")</f>
        <v>-</v>
      </c>
      <c r="J27" s="71"/>
      <c r="K27" s="69"/>
      <c r="L27" s="70" t="str">
        <f>IFERROR((K27/J27)*100,"-")</f>
        <v>-</v>
      </c>
      <c r="M27" s="71"/>
      <c r="N27" s="69"/>
      <c r="O27" s="70" t="str">
        <f>IFERROR((N27/M27)*100,"-")</f>
        <v>-</v>
      </c>
      <c r="P27" s="71"/>
      <c r="Q27" s="69"/>
      <c r="R27" s="70" t="str">
        <f>IFERROR((Q27/P27)*100,"-")</f>
        <v>-</v>
      </c>
      <c r="S27" s="71"/>
      <c r="T27" s="69"/>
      <c r="U27" s="70" t="str">
        <f>IFERROR((T27/S27)*100,"-")</f>
        <v>-</v>
      </c>
      <c r="V27" s="71"/>
      <c r="W27" s="69"/>
      <c r="X27" s="70" t="str">
        <f>IFERROR((W27/V27)*100,"-")</f>
        <v>-</v>
      </c>
      <c r="Y27" s="71"/>
      <c r="Z27" s="69"/>
      <c r="AA27" s="70" t="str">
        <f>IFERROR((Z27/Y27)*100,"-")</f>
        <v>-</v>
      </c>
      <c r="AB27" s="73"/>
    </row>
    <row r="28" spans="1:32" ht="13.5" thickBot="1" x14ac:dyDescent="0.25">
      <c r="A28" s="182" t="s">
        <v>25</v>
      </c>
      <c r="B28" s="177" t="s">
        <v>22</v>
      </c>
      <c r="C28" s="179" t="s">
        <v>2</v>
      </c>
      <c r="D28" s="158" t="s">
        <v>0</v>
      </c>
      <c r="E28" s="158" t="s">
        <v>1</v>
      </c>
      <c r="F28" s="40" t="s">
        <v>3</v>
      </c>
      <c r="G28" s="158" t="s">
        <v>0</v>
      </c>
      <c r="H28" s="158" t="s">
        <v>1</v>
      </c>
      <c r="I28" s="40" t="s">
        <v>3</v>
      </c>
      <c r="J28" s="158" t="s">
        <v>0</v>
      </c>
      <c r="K28" s="158" t="s">
        <v>1</v>
      </c>
      <c r="L28" s="40" t="s">
        <v>3</v>
      </c>
      <c r="M28" s="158" t="s">
        <v>0</v>
      </c>
      <c r="N28" s="158" t="s">
        <v>1</v>
      </c>
      <c r="O28" s="40" t="s">
        <v>3</v>
      </c>
      <c r="P28" s="158" t="s">
        <v>0</v>
      </c>
      <c r="Q28" s="158" t="s">
        <v>1</v>
      </c>
      <c r="R28" s="40" t="s">
        <v>3</v>
      </c>
      <c r="S28" s="158" t="s">
        <v>0</v>
      </c>
      <c r="T28" s="158" t="s">
        <v>1</v>
      </c>
      <c r="U28" s="40" t="s">
        <v>3</v>
      </c>
      <c r="V28" s="158" t="s">
        <v>0</v>
      </c>
      <c r="W28" s="158" t="s">
        <v>1</v>
      </c>
      <c r="X28" s="40" t="s">
        <v>3</v>
      </c>
      <c r="Y28" s="158" t="s">
        <v>0</v>
      </c>
      <c r="Z28" s="158" t="s">
        <v>1</v>
      </c>
      <c r="AA28" s="40" t="s">
        <v>3</v>
      </c>
      <c r="AB28" s="160" t="s">
        <v>23</v>
      </c>
    </row>
    <row r="29" spans="1:32" ht="13.5" thickBot="1" x14ac:dyDescent="0.25">
      <c r="A29" s="183"/>
      <c r="B29" s="178"/>
      <c r="C29" s="180"/>
      <c r="D29" s="159"/>
      <c r="E29" s="159"/>
      <c r="F29" s="11" t="s">
        <v>5</v>
      </c>
      <c r="G29" s="159"/>
      <c r="H29" s="159"/>
      <c r="I29" s="11" t="s">
        <v>5</v>
      </c>
      <c r="J29" s="159"/>
      <c r="K29" s="159"/>
      <c r="L29" s="11" t="s">
        <v>5</v>
      </c>
      <c r="M29" s="159"/>
      <c r="N29" s="159"/>
      <c r="O29" s="11" t="s">
        <v>5</v>
      </c>
      <c r="P29" s="159"/>
      <c r="Q29" s="159"/>
      <c r="R29" s="11" t="s">
        <v>5</v>
      </c>
      <c r="S29" s="159"/>
      <c r="T29" s="159"/>
      <c r="U29" s="11" t="s">
        <v>5</v>
      </c>
      <c r="V29" s="159"/>
      <c r="W29" s="159"/>
      <c r="X29" s="11" t="s">
        <v>5</v>
      </c>
      <c r="Y29" s="159"/>
      <c r="Z29" s="159"/>
      <c r="AA29" s="11" t="s">
        <v>5</v>
      </c>
      <c r="AB29" s="161"/>
    </row>
    <row r="30" spans="1:32" x14ac:dyDescent="0.2">
      <c r="A30" s="37"/>
      <c r="B30" s="42"/>
      <c r="C30" s="51"/>
      <c r="D30" s="74"/>
      <c r="E30" s="53"/>
      <c r="F30" s="54" t="str">
        <f>IFERROR((E30/#REF!)*100,"-")</f>
        <v>-</v>
      </c>
      <c r="G30" s="74"/>
      <c r="H30" s="53"/>
      <c r="I30" s="54" t="str">
        <f>IFERROR((H30/G30)*100,"-")</f>
        <v>-</v>
      </c>
      <c r="J30" s="74"/>
      <c r="K30" s="53"/>
      <c r="L30" s="54" t="str">
        <f>IFERROR((K30/J30)*100,"-")</f>
        <v>-</v>
      </c>
      <c r="M30" s="74"/>
      <c r="N30" s="53"/>
      <c r="O30" s="54" t="str">
        <f>IFERROR((N30/M30)*100,"-")</f>
        <v>-</v>
      </c>
      <c r="P30" s="74"/>
      <c r="Q30" s="53"/>
      <c r="R30" s="54" t="str">
        <f>IFERROR((Q30/P30)*100,"-")</f>
        <v>-</v>
      </c>
      <c r="S30" s="74"/>
      <c r="T30" s="53"/>
      <c r="U30" s="54" t="str">
        <f t="shared" ref="U30:U35" si="8">IFERROR((T30/V30)*100,"-")</f>
        <v>-</v>
      </c>
      <c r="V30" s="74"/>
      <c r="W30" s="53"/>
      <c r="X30" s="54" t="str">
        <f>IFERROR((W30/#REF!)*100,"-")</f>
        <v>-</v>
      </c>
      <c r="Y30" s="74"/>
      <c r="Z30" s="53"/>
      <c r="AA30" s="54" t="str">
        <f>IFERROR((Z30/Y30)*100,"-")</f>
        <v>-</v>
      </c>
      <c r="AB30" s="55"/>
    </row>
    <row r="31" spans="1:32" x14ac:dyDescent="0.2">
      <c r="A31" s="34"/>
      <c r="B31" s="56"/>
      <c r="C31" s="57"/>
      <c r="D31" s="62"/>
      <c r="E31" s="59"/>
      <c r="F31" s="60" t="str">
        <f>IFERROR((E31/#REF!)*100,"-")</f>
        <v>-</v>
      </c>
      <c r="G31" s="62"/>
      <c r="H31" s="59"/>
      <c r="I31" s="60" t="str">
        <f>IFERROR((H31/G31)*100,"-")</f>
        <v>-</v>
      </c>
      <c r="J31" s="62"/>
      <c r="K31" s="59"/>
      <c r="L31" s="60" t="str">
        <f>IFERROR((K31/J31)*100,"-")</f>
        <v>-</v>
      </c>
      <c r="M31" s="62"/>
      <c r="N31" s="59"/>
      <c r="O31" s="60" t="str">
        <f>IFERROR((N31/M31)*100,"-")</f>
        <v>-</v>
      </c>
      <c r="P31" s="62"/>
      <c r="Q31" s="59"/>
      <c r="R31" s="60" t="str">
        <f>IFERROR((Q31/P31)*100,"-")</f>
        <v>-</v>
      </c>
      <c r="S31" s="62"/>
      <c r="T31" s="59"/>
      <c r="U31" s="60" t="str">
        <f t="shared" si="8"/>
        <v>-</v>
      </c>
      <c r="V31" s="62"/>
      <c r="W31" s="59"/>
      <c r="X31" s="60" t="str">
        <f>IFERROR((W31/#REF!)*100,"-")</f>
        <v>-</v>
      </c>
      <c r="Y31" s="62"/>
      <c r="Z31" s="59"/>
      <c r="AA31" s="60" t="str">
        <f>IFERROR((Z31/Y31)*100,"-")</f>
        <v>-</v>
      </c>
      <c r="AB31" s="61"/>
    </row>
    <row r="32" spans="1:32" s="1" customFormat="1" x14ac:dyDescent="0.2">
      <c r="A32" s="34"/>
      <c r="B32" s="56"/>
      <c r="C32" s="57"/>
      <c r="D32" s="62"/>
      <c r="E32" s="59"/>
      <c r="F32" s="60" t="str">
        <f>IFERROR((E32/#REF!)*100,"-")</f>
        <v>-</v>
      </c>
      <c r="G32" s="62"/>
      <c r="H32" s="59"/>
      <c r="I32" s="60" t="str">
        <f>IFERROR((H32/G32)*100,"-")</f>
        <v>-</v>
      </c>
      <c r="J32" s="62"/>
      <c r="K32" s="59"/>
      <c r="L32" s="60" t="str">
        <f>IFERROR((K32/J32)*100,"-")</f>
        <v>-</v>
      </c>
      <c r="M32" s="62"/>
      <c r="N32" s="59"/>
      <c r="O32" s="60" t="str">
        <f>IFERROR((N32/M32)*100,"-")</f>
        <v>-</v>
      </c>
      <c r="P32" s="62"/>
      <c r="Q32" s="59"/>
      <c r="R32" s="60" t="str">
        <f>IFERROR((Q32/P32)*100,"-")</f>
        <v>-</v>
      </c>
      <c r="S32" s="62"/>
      <c r="T32" s="59"/>
      <c r="U32" s="60" t="str">
        <f t="shared" si="8"/>
        <v>-</v>
      </c>
      <c r="V32" s="62"/>
      <c r="W32" s="59"/>
      <c r="X32" s="60" t="str">
        <f>IFERROR((W32/#REF!)*100,"-")</f>
        <v>-</v>
      </c>
      <c r="Y32" s="62"/>
      <c r="Z32" s="59"/>
      <c r="AA32" s="60" t="str">
        <f>IFERROR((Z32/Y32)*100,"-")</f>
        <v>-</v>
      </c>
      <c r="AB32" s="61"/>
      <c r="AF32" s="31"/>
    </row>
    <row r="33" spans="1:33" s="1" customFormat="1" x14ac:dyDescent="0.2">
      <c r="A33" s="34"/>
      <c r="B33" s="56"/>
      <c r="C33" s="57"/>
      <c r="D33" s="62"/>
      <c r="E33" s="59"/>
      <c r="F33" s="60" t="str">
        <f>IFERROR((E33/#REF!)*100,"-")</f>
        <v>-</v>
      </c>
      <c r="G33" s="62"/>
      <c r="H33" s="59"/>
      <c r="I33" s="60" t="str">
        <f>IFERROR((H33/G33)*100,"-")</f>
        <v>-</v>
      </c>
      <c r="J33" s="62"/>
      <c r="K33" s="59"/>
      <c r="L33" s="60" t="str">
        <f>IFERROR((K33/J33)*100,"-")</f>
        <v>-</v>
      </c>
      <c r="M33" s="62"/>
      <c r="N33" s="59"/>
      <c r="O33" s="60" t="str">
        <f>IFERROR((N33/M33)*100,"-")</f>
        <v>-</v>
      </c>
      <c r="P33" s="62"/>
      <c r="Q33" s="59"/>
      <c r="R33" s="60" t="str">
        <f>IFERROR((Q33/P33)*100,"-")</f>
        <v>-</v>
      </c>
      <c r="S33" s="62"/>
      <c r="T33" s="59"/>
      <c r="U33" s="60" t="str">
        <f t="shared" si="8"/>
        <v>-</v>
      </c>
      <c r="V33" s="62"/>
      <c r="W33" s="59"/>
      <c r="X33" s="60" t="str">
        <f>IFERROR((W33/#REF!)*100,"-")</f>
        <v>-</v>
      </c>
      <c r="Y33" s="62"/>
      <c r="Z33" s="59"/>
      <c r="AA33" s="60" t="str">
        <f>IFERROR((Z33/Y33)*100,"-")</f>
        <v>-</v>
      </c>
      <c r="AB33" s="61"/>
      <c r="AF33" s="31"/>
    </row>
    <row r="34" spans="1:33" s="1" customFormat="1" x14ac:dyDescent="0.2">
      <c r="A34" s="34"/>
      <c r="B34" s="56"/>
      <c r="C34" s="57"/>
      <c r="D34" s="62"/>
      <c r="E34" s="59"/>
      <c r="F34" s="60" t="str">
        <f>IFERROR((E34/#REF!)*100,"-")</f>
        <v>-</v>
      </c>
      <c r="G34" s="62"/>
      <c r="H34" s="59"/>
      <c r="I34" s="60" t="str">
        <f>IFERROR((H34/G34)*100,"-")</f>
        <v>-</v>
      </c>
      <c r="J34" s="62"/>
      <c r="K34" s="59"/>
      <c r="L34" s="60" t="str">
        <f>IFERROR((K34/J34)*100,"-")</f>
        <v>-</v>
      </c>
      <c r="M34" s="62"/>
      <c r="N34" s="59"/>
      <c r="O34" s="60" t="str">
        <f>IFERROR((N34/M34)*100,"-")</f>
        <v>-</v>
      </c>
      <c r="P34" s="62"/>
      <c r="Q34" s="59"/>
      <c r="R34" s="60" t="str">
        <f>IFERROR((Q34/P34)*100,"-")</f>
        <v>-</v>
      </c>
      <c r="S34" s="62"/>
      <c r="T34" s="59"/>
      <c r="U34" s="60" t="str">
        <f t="shared" si="8"/>
        <v>-</v>
      </c>
      <c r="V34" s="62"/>
      <c r="W34" s="59"/>
      <c r="X34" s="60" t="str">
        <f>IFERROR((W34/#REF!)*100,"-")</f>
        <v>-</v>
      </c>
      <c r="Y34" s="62"/>
      <c r="Z34" s="59"/>
      <c r="AA34" s="60" t="str">
        <f>IFERROR((Z34/Y34)*100,"-")</f>
        <v>-</v>
      </c>
      <c r="AB34" s="61"/>
      <c r="AF34" s="31"/>
    </row>
    <row r="35" spans="1:33" x14ac:dyDescent="0.2">
      <c r="A35" s="34"/>
      <c r="B35" s="56"/>
      <c r="C35" s="57"/>
      <c r="D35" s="62"/>
      <c r="E35" s="65"/>
      <c r="F35" s="60" t="str">
        <f>IFERROR((E35/#REF!)*100,"-")</f>
        <v>-</v>
      </c>
      <c r="G35" s="62"/>
      <c r="H35" s="65"/>
      <c r="I35" s="60" t="str">
        <f t="shared" ref="I35:I51" si="9">IFERROR((H35/G35)*100,"-")</f>
        <v>-</v>
      </c>
      <c r="J35" s="62"/>
      <c r="K35" s="65"/>
      <c r="L35" s="60" t="str">
        <f t="shared" ref="L35:L51" si="10">IFERROR((K35/J35)*100,"-")</f>
        <v>-</v>
      </c>
      <c r="M35" s="62"/>
      <c r="N35" s="65"/>
      <c r="O35" s="60" t="str">
        <f t="shared" ref="O35:O51" si="11">IFERROR((N35/M35)*100,"-")</f>
        <v>-</v>
      </c>
      <c r="P35" s="62"/>
      <c r="Q35" s="65"/>
      <c r="R35" s="60" t="str">
        <f t="shared" ref="R35:R51" si="12">IFERROR((Q35/P35)*100,"-")</f>
        <v>-</v>
      </c>
      <c r="S35" s="62"/>
      <c r="T35" s="65"/>
      <c r="U35" s="60" t="str">
        <f t="shared" si="8"/>
        <v>-</v>
      </c>
      <c r="V35" s="62"/>
      <c r="W35" s="65"/>
      <c r="X35" s="60" t="str">
        <f>IFERROR((W35/#REF!)*100,"-")</f>
        <v>-</v>
      </c>
      <c r="Y35" s="62"/>
      <c r="Z35" s="65"/>
      <c r="AA35" s="60" t="str">
        <f t="shared" ref="AA35:AA51" si="13">IFERROR((Z35/Y35)*100,"-")</f>
        <v>-</v>
      </c>
      <c r="AB35" s="61"/>
      <c r="AF35" s="30"/>
    </row>
    <row r="36" spans="1:33" x14ac:dyDescent="0.2">
      <c r="A36" s="34"/>
      <c r="B36" s="56"/>
      <c r="C36" s="57"/>
      <c r="D36" s="64"/>
      <c r="E36" s="59"/>
      <c r="F36" s="60" t="str">
        <f t="shared" ref="F36:F51" si="14">IFERROR((E36/D36)*100,"-")</f>
        <v>-</v>
      </c>
      <c r="G36" s="64"/>
      <c r="H36" s="59"/>
      <c r="I36" s="60" t="str">
        <f t="shared" si="9"/>
        <v>-</v>
      </c>
      <c r="J36" s="64"/>
      <c r="K36" s="59"/>
      <c r="L36" s="60" t="str">
        <f t="shared" si="10"/>
        <v>-</v>
      </c>
      <c r="M36" s="64"/>
      <c r="N36" s="59"/>
      <c r="O36" s="60" t="str">
        <f t="shared" si="11"/>
        <v>-</v>
      </c>
      <c r="P36" s="64"/>
      <c r="Q36" s="59"/>
      <c r="R36" s="60" t="str">
        <f t="shared" si="12"/>
        <v>-</v>
      </c>
      <c r="S36" s="64"/>
      <c r="T36" s="59"/>
      <c r="U36" s="60" t="str">
        <f t="shared" ref="U36:U51" si="15">IFERROR((T36/S36)*100,"-")</f>
        <v>-</v>
      </c>
      <c r="V36" s="64"/>
      <c r="W36" s="59"/>
      <c r="X36" s="60" t="str">
        <f t="shared" ref="X36:X51" si="16">IFERROR((W36/V36)*100,"-")</f>
        <v>-</v>
      </c>
      <c r="Y36" s="62"/>
      <c r="Z36" s="59"/>
      <c r="AA36" s="60" t="str">
        <f t="shared" si="13"/>
        <v>-</v>
      </c>
      <c r="AB36" s="61"/>
      <c r="AF36" s="30"/>
    </row>
    <row r="37" spans="1:33" x14ac:dyDescent="0.2">
      <c r="A37" s="34"/>
      <c r="B37" s="56"/>
      <c r="C37" s="57"/>
      <c r="D37" s="64"/>
      <c r="E37" s="59"/>
      <c r="F37" s="60" t="str">
        <f t="shared" si="14"/>
        <v>-</v>
      </c>
      <c r="G37" s="64"/>
      <c r="H37" s="59"/>
      <c r="I37" s="60" t="str">
        <f t="shared" si="9"/>
        <v>-</v>
      </c>
      <c r="J37" s="64"/>
      <c r="K37" s="59"/>
      <c r="L37" s="60" t="str">
        <f t="shared" si="10"/>
        <v>-</v>
      </c>
      <c r="M37" s="64"/>
      <c r="N37" s="59"/>
      <c r="O37" s="60" t="str">
        <f t="shared" si="11"/>
        <v>-</v>
      </c>
      <c r="P37" s="64"/>
      <c r="Q37" s="59"/>
      <c r="R37" s="60" t="str">
        <f t="shared" si="12"/>
        <v>-</v>
      </c>
      <c r="S37" s="64"/>
      <c r="T37" s="59"/>
      <c r="U37" s="60" t="str">
        <f t="shared" si="15"/>
        <v>-</v>
      </c>
      <c r="V37" s="64"/>
      <c r="W37" s="59"/>
      <c r="X37" s="60" t="str">
        <f t="shared" si="16"/>
        <v>-</v>
      </c>
      <c r="Y37" s="62"/>
      <c r="Z37" s="65"/>
      <c r="AA37" s="60" t="str">
        <f t="shared" si="13"/>
        <v>-</v>
      </c>
      <c r="AB37" s="61"/>
      <c r="AF37" s="30"/>
    </row>
    <row r="38" spans="1:33" x14ac:dyDescent="0.2">
      <c r="A38" s="34"/>
      <c r="B38" s="56"/>
      <c r="C38" s="57"/>
      <c r="D38" s="64"/>
      <c r="E38" s="59"/>
      <c r="F38" s="60" t="str">
        <f t="shared" si="14"/>
        <v>-</v>
      </c>
      <c r="G38" s="64"/>
      <c r="H38" s="59"/>
      <c r="I38" s="60" t="str">
        <f t="shared" si="9"/>
        <v>-</v>
      </c>
      <c r="J38" s="64"/>
      <c r="K38" s="59"/>
      <c r="L38" s="60" t="str">
        <f t="shared" si="10"/>
        <v>-</v>
      </c>
      <c r="M38" s="64"/>
      <c r="N38" s="59"/>
      <c r="O38" s="60" t="str">
        <f t="shared" si="11"/>
        <v>-</v>
      </c>
      <c r="P38" s="64"/>
      <c r="Q38" s="59"/>
      <c r="R38" s="60" t="str">
        <f t="shared" si="12"/>
        <v>-</v>
      </c>
      <c r="S38" s="64"/>
      <c r="T38" s="59"/>
      <c r="U38" s="60" t="str">
        <f t="shared" si="15"/>
        <v>-</v>
      </c>
      <c r="V38" s="64"/>
      <c r="W38" s="59"/>
      <c r="X38" s="60" t="str">
        <f t="shared" si="16"/>
        <v>-</v>
      </c>
      <c r="Y38" s="62"/>
      <c r="Z38" s="59"/>
      <c r="AA38" s="60" t="str">
        <f t="shared" si="13"/>
        <v>-</v>
      </c>
      <c r="AB38" s="61"/>
    </row>
    <row r="39" spans="1:33" x14ac:dyDescent="0.2">
      <c r="A39" s="34"/>
      <c r="B39" s="56"/>
      <c r="C39" s="57"/>
      <c r="D39" s="64"/>
      <c r="E39" s="59"/>
      <c r="F39" s="60" t="str">
        <f t="shared" si="14"/>
        <v>-</v>
      </c>
      <c r="G39" s="64"/>
      <c r="H39" s="59"/>
      <c r="I39" s="60" t="str">
        <f t="shared" si="9"/>
        <v>-</v>
      </c>
      <c r="J39" s="64"/>
      <c r="K39" s="59"/>
      <c r="L39" s="60" t="str">
        <f t="shared" si="10"/>
        <v>-</v>
      </c>
      <c r="M39" s="64"/>
      <c r="N39" s="59"/>
      <c r="O39" s="60" t="str">
        <f t="shared" si="11"/>
        <v>-</v>
      </c>
      <c r="P39" s="64"/>
      <c r="Q39" s="59"/>
      <c r="R39" s="60" t="str">
        <f t="shared" si="12"/>
        <v>-</v>
      </c>
      <c r="S39" s="64"/>
      <c r="T39" s="59"/>
      <c r="U39" s="60" t="str">
        <f t="shared" si="15"/>
        <v>-</v>
      </c>
      <c r="V39" s="64"/>
      <c r="W39" s="59"/>
      <c r="X39" s="60" t="str">
        <f t="shared" si="16"/>
        <v>-</v>
      </c>
      <c r="Y39" s="75"/>
      <c r="Z39" s="65"/>
      <c r="AA39" s="60" t="str">
        <f t="shared" si="13"/>
        <v>-</v>
      </c>
      <c r="AB39" s="61"/>
    </row>
    <row r="40" spans="1:33" s="2" customFormat="1" ht="18" x14ac:dyDescent="0.25">
      <c r="A40" s="34"/>
      <c r="B40" s="56"/>
      <c r="C40" s="57"/>
      <c r="D40" s="64"/>
      <c r="E40" s="59"/>
      <c r="F40" s="60" t="str">
        <f t="shared" si="14"/>
        <v>-</v>
      </c>
      <c r="G40" s="64"/>
      <c r="H40" s="59"/>
      <c r="I40" s="60" t="str">
        <f t="shared" si="9"/>
        <v>-</v>
      </c>
      <c r="J40" s="64"/>
      <c r="K40" s="59"/>
      <c r="L40" s="60" t="str">
        <f t="shared" si="10"/>
        <v>-</v>
      </c>
      <c r="M40" s="64"/>
      <c r="N40" s="59"/>
      <c r="O40" s="60" t="str">
        <f t="shared" si="11"/>
        <v>-</v>
      </c>
      <c r="P40" s="64"/>
      <c r="Q40" s="59"/>
      <c r="R40" s="60" t="str">
        <f t="shared" si="12"/>
        <v>-</v>
      </c>
      <c r="S40" s="64"/>
      <c r="T40" s="59"/>
      <c r="U40" s="60" t="str">
        <f t="shared" si="15"/>
        <v>-</v>
      </c>
      <c r="V40" s="64"/>
      <c r="W40" s="59"/>
      <c r="X40" s="60" t="str">
        <f t="shared" si="16"/>
        <v>-</v>
      </c>
      <c r="Y40" s="62"/>
      <c r="Z40" s="59"/>
      <c r="AA40" s="60" t="str">
        <f t="shared" si="13"/>
        <v>-</v>
      </c>
      <c r="AB40" s="61"/>
    </row>
    <row r="41" spans="1:33" x14ac:dyDescent="0.2">
      <c r="A41" s="34"/>
      <c r="B41" s="56"/>
      <c r="C41" s="57"/>
      <c r="D41" s="62"/>
      <c r="E41" s="59"/>
      <c r="F41" s="60" t="str">
        <f>IFERROR((E41/#REF!)*100,"-")</f>
        <v>-</v>
      </c>
      <c r="G41" s="62"/>
      <c r="H41" s="59"/>
      <c r="I41" s="60" t="str">
        <f t="shared" si="9"/>
        <v>-</v>
      </c>
      <c r="J41" s="76"/>
      <c r="K41" s="59"/>
      <c r="L41" s="60" t="str">
        <f>IFERROR((K41/M41)*100,"-")</f>
        <v>-</v>
      </c>
      <c r="M41" s="62"/>
      <c r="N41" s="59"/>
      <c r="O41" s="60" t="str">
        <f>IFERROR((N41/#REF!)*100,"-")</f>
        <v>-</v>
      </c>
      <c r="P41" s="62"/>
      <c r="Q41" s="59"/>
      <c r="R41" s="60" t="str">
        <f t="shared" si="12"/>
        <v>-</v>
      </c>
      <c r="S41" s="62"/>
      <c r="T41" s="59"/>
      <c r="U41" s="60" t="str">
        <f>IFERROR((T41/V41)*100,"-")</f>
        <v>-</v>
      </c>
      <c r="V41" s="62"/>
      <c r="W41" s="59"/>
      <c r="X41" s="60" t="str">
        <f>IFERROR((W41/#REF!)*100,"-")</f>
        <v>-</v>
      </c>
      <c r="Y41" s="62"/>
      <c r="Z41" s="59"/>
      <c r="AA41" s="60" t="str">
        <f t="shared" si="13"/>
        <v>-</v>
      </c>
      <c r="AB41" s="61"/>
      <c r="AG41" s="30"/>
    </row>
    <row r="42" spans="1:33" x14ac:dyDescent="0.2">
      <c r="A42" s="34"/>
      <c r="B42" s="56"/>
      <c r="C42" s="57"/>
      <c r="D42" s="62"/>
      <c r="E42" s="59"/>
      <c r="F42" s="60" t="str">
        <f>IFERROR((E42/#REF!)*100,"-")</f>
        <v>-</v>
      </c>
      <c r="G42" s="62"/>
      <c r="H42" s="59"/>
      <c r="I42" s="60" t="str">
        <f t="shared" si="9"/>
        <v>-</v>
      </c>
      <c r="J42" s="76"/>
      <c r="K42" s="59"/>
      <c r="L42" s="60" t="str">
        <f>IFERROR((K42/M42)*100,"-")</f>
        <v>-</v>
      </c>
      <c r="M42" s="62"/>
      <c r="N42" s="59"/>
      <c r="O42" s="60" t="str">
        <f>IFERROR((N42/#REF!)*100,"-")</f>
        <v>-</v>
      </c>
      <c r="P42" s="62"/>
      <c r="Q42" s="59"/>
      <c r="R42" s="60" t="str">
        <f t="shared" si="12"/>
        <v>-</v>
      </c>
      <c r="S42" s="62"/>
      <c r="T42" s="59"/>
      <c r="U42" s="60" t="str">
        <f>IFERROR((T42/V42)*100,"-")</f>
        <v>-</v>
      </c>
      <c r="V42" s="62"/>
      <c r="W42" s="59"/>
      <c r="X42" s="60" t="str">
        <f>IFERROR((W42/#REF!)*100,"-")</f>
        <v>-</v>
      </c>
      <c r="Y42" s="62"/>
      <c r="Z42" s="59"/>
      <c r="AA42" s="60" t="str">
        <f t="shared" si="13"/>
        <v>-</v>
      </c>
      <c r="AB42" s="61"/>
      <c r="AG42" s="30"/>
    </row>
    <row r="43" spans="1:33" x14ac:dyDescent="0.2">
      <c r="A43" s="34"/>
      <c r="B43" s="56"/>
      <c r="C43" s="57"/>
      <c r="D43" s="77"/>
      <c r="E43" s="77"/>
      <c r="F43" s="60" t="str">
        <f t="shared" si="14"/>
        <v>-</v>
      </c>
      <c r="G43" s="77"/>
      <c r="H43" s="77"/>
      <c r="I43" s="60" t="str">
        <f t="shared" si="9"/>
        <v>-</v>
      </c>
      <c r="J43" s="77"/>
      <c r="K43" s="77"/>
      <c r="L43" s="60" t="str">
        <f t="shared" si="10"/>
        <v>-</v>
      </c>
      <c r="M43" s="77"/>
      <c r="N43" s="77"/>
      <c r="O43" s="60" t="str">
        <f t="shared" si="11"/>
        <v>-</v>
      </c>
      <c r="P43" s="77"/>
      <c r="Q43" s="77"/>
      <c r="R43" s="60" t="str">
        <f t="shared" si="12"/>
        <v>-</v>
      </c>
      <c r="S43" s="77"/>
      <c r="T43" s="77"/>
      <c r="U43" s="60" t="str">
        <f t="shared" si="15"/>
        <v>-</v>
      </c>
      <c r="V43" s="64"/>
      <c r="W43" s="77"/>
      <c r="X43" s="60" t="str">
        <f t="shared" si="16"/>
        <v>-</v>
      </c>
      <c r="Y43" s="62"/>
      <c r="Z43" s="59"/>
      <c r="AA43" s="60" t="str">
        <f t="shared" si="13"/>
        <v>-</v>
      </c>
      <c r="AB43" s="61"/>
    </row>
    <row r="44" spans="1:33" x14ac:dyDescent="0.2">
      <c r="A44" s="34"/>
      <c r="B44" s="56"/>
      <c r="C44" s="57"/>
      <c r="D44" s="77"/>
      <c r="E44" s="59"/>
      <c r="F44" s="60" t="str">
        <f t="shared" si="14"/>
        <v>-</v>
      </c>
      <c r="G44" s="77"/>
      <c r="H44" s="59"/>
      <c r="I44" s="60" t="str">
        <f t="shared" si="9"/>
        <v>-</v>
      </c>
      <c r="J44" s="77"/>
      <c r="K44" s="59"/>
      <c r="L44" s="60" t="str">
        <f t="shared" si="10"/>
        <v>-</v>
      </c>
      <c r="M44" s="77"/>
      <c r="N44" s="59"/>
      <c r="O44" s="60" t="str">
        <f t="shared" si="11"/>
        <v>-</v>
      </c>
      <c r="P44" s="77"/>
      <c r="Q44" s="59"/>
      <c r="R44" s="60" t="str">
        <f t="shared" si="12"/>
        <v>-</v>
      </c>
      <c r="S44" s="77"/>
      <c r="T44" s="59"/>
      <c r="U44" s="60" t="str">
        <f t="shared" si="15"/>
        <v>-</v>
      </c>
      <c r="V44" s="64"/>
      <c r="W44" s="59"/>
      <c r="X44" s="60" t="str">
        <f t="shared" si="16"/>
        <v>-</v>
      </c>
      <c r="Y44" s="62"/>
      <c r="Z44" s="59"/>
      <c r="AA44" s="60" t="str">
        <f t="shared" si="13"/>
        <v>-</v>
      </c>
      <c r="AB44" s="61"/>
    </row>
    <row r="45" spans="1:33" x14ac:dyDescent="0.2">
      <c r="A45" s="34"/>
      <c r="B45" s="56"/>
      <c r="C45" s="57"/>
      <c r="D45" s="77"/>
      <c r="E45" s="59"/>
      <c r="F45" s="60" t="str">
        <f t="shared" si="14"/>
        <v>-</v>
      </c>
      <c r="G45" s="77"/>
      <c r="H45" s="59"/>
      <c r="I45" s="60" t="str">
        <f t="shared" si="9"/>
        <v>-</v>
      </c>
      <c r="J45" s="77"/>
      <c r="K45" s="59"/>
      <c r="L45" s="60" t="str">
        <f t="shared" si="10"/>
        <v>-</v>
      </c>
      <c r="M45" s="77"/>
      <c r="N45" s="59"/>
      <c r="O45" s="60" t="str">
        <f t="shared" si="11"/>
        <v>-</v>
      </c>
      <c r="P45" s="77"/>
      <c r="Q45" s="59"/>
      <c r="R45" s="60" t="str">
        <f t="shared" si="12"/>
        <v>-</v>
      </c>
      <c r="S45" s="77"/>
      <c r="T45" s="59"/>
      <c r="U45" s="60" t="str">
        <f t="shared" si="15"/>
        <v>-</v>
      </c>
      <c r="V45" s="64"/>
      <c r="W45" s="59"/>
      <c r="X45" s="60" t="str">
        <f t="shared" si="16"/>
        <v>-</v>
      </c>
      <c r="Y45" s="62"/>
      <c r="Z45" s="59"/>
      <c r="AA45" s="60" t="str">
        <f t="shared" si="13"/>
        <v>-</v>
      </c>
      <c r="AB45" s="61"/>
    </row>
    <row r="46" spans="1:33" x14ac:dyDescent="0.2">
      <c r="A46" s="34"/>
      <c r="B46" s="56"/>
      <c r="C46" s="57"/>
      <c r="D46" s="77"/>
      <c r="E46" s="59"/>
      <c r="F46" s="60" t="str">
        <f t="shared" si="14"/>
        <v>-</v>
      </c>
      <c r="G46" s="77"/>
      <c r="H46" s="59"/>
      <c r="I46" s="60" t="str">
        <f t="shared" si="9"/>
        <v>-</v>
      </c>
      <c r="J46" s="77"/>
      <c r="K46" s="59"/>
      <c r="L46" s="60" t="str">
        <f t="shared" si="10"/>
        <v>-</v>
      </c>
      <c r="M46" s="77"/>
      <c r="N46" s="59"/>
      <c r="O46" s="60" t="str">
        <f t="shared" si="11"/>
        <v>-</v>
      </c>
      <c r="P46" s="77"/>
      <c r="Q46" s="59"/>
      <c r="R46" s="60" t="str">
        <f t="shared" si="12"/>
        <v>-</v>
      </c>
      <c r="S46" s="77"/>
      <c r="T46" s="59"/>
      <c r="U46" s="60" t="str">
        <f t="shared" si="15"/>
        <v>-</v>
      </c>
      <c r="V46" s="64"/>
      <c r="W46" s="59"/>
      <c r="X46" s="60" t="str">
        <f t="shared" si="16"/>
        <v>-</v>
      </c>
      <c r="Y46" s="62"/>
      <c r="Z46" s="59"/>
      <c r="AA46" s="60" t="str">
        <f t="shared" si="13"/>
        <v>-</v>
      </c>
      <c r="AB46" s="61"/>
    </row>
    <row r="47" spans="1:33" x14ac:dyDescent="0.2">
      <c r="A47" s="34"/>
      <c r="B47" s="56"/>
      <c r="C47" s="57"/>
      <c r="D47" s="77"/>
      <c r="E47" s="59"/>
      <c r="F47" s="60" t="str">
        <f t="shared" si="14"/>
        <v>-</v>
      </c>
      <c r="G47" s="77"/>
      <c r="H47" s="59"/>
      <c r="I47" s="60" t="str">
        <f t="shared" si="9"/>
        <v>-</v>
      </c>
      <c r="J47" s="77"/>
      <c r="K47" s="59"/>
      <c r="L47" s="60" t="str">
        <f t="shared" si="10"/>
        <v>-</v>
      </c>
      <c r="M47" s="77"/>
      <c r="N47" s="59"/>
      <c r="O47" s="60" t="str">
        <f t="shared" si="11"/>
        <v>-</v>
      </c>
      <c r="P47" s="77"/>
      <c r="Q47" s="59"/>
      <c r="R47" s="60" t="str">
        <f t="shared" si="12"/>
        <v>-</v>
      </c>
      <c r="S47" s="77"/>
      <c r="T47" s="59"/>
      <c r="U47" s="60" t="str">
        <f t="shared" si="15"/>
        <v>-</v>
      </c>
      <c r="V47" s="64"/>
      <c r="W47" s="59"/>
      <c r="X47" s="60" t="str">
        <f t="shared" si="16"/>
        <v>-</v>
      </c>
      <c r="Y47" s="62"/>
      <c r="Z47" s="59"/>
      <c r="AA47" s="60" t="str">
        <f t="shared" si="13"/>
        <v>-</v>
      </c>
      <c r="AB47" s="61"/>
    </row>
    <row r="48" spans="1:33" x14ac:dyDescent="0.2">
      <c r="A48" s="34"/>
      <c r="B48" s="56"/>
      <c r="C48" s="57"/>
      <c r="D48" s="77"/>
      <c r="E48" s="59"/>
      <c r="F48" s="60" t="str">
        <f t="shared" si="14"/>
        <v>-</v>
      </c>
      <c r="G48" s="77"/>
      <c r="H48" s="59"/>
      <c r="I48" s="60" t="str">
        <f t="shared" si="9"/>
        <v>-</v>
      </c>
      <c r="J48" s="77"/>
      <c r="K48" s="59"/>
      <c r="L48" s="60" t="str">
        <f t="shared" si="10"/>
        <v>-</v>
      </c>
      <c r="M48" s="77"/>
      <c r="N48" s="59"/>
      <c r="O48" s="60" t="str">
        <f t="shared" si="11"/>
        <v>-</v>
      </c>
      <c r="P48" s="77"/>
      <c r="Q48" s="59"/>
      <c r="R48" s="60" t="str">
        <f t="shared" si="12"/>
        <v>-</v>
      </c>
      <c r="S48" s="77"/>
      <c r="T48" s="59"/>
      <c r="U48" s="60" t="str">
        <f t="shared" si="15"/>
        <v>-</v>
      </c>
      <c r="V48" s="64"/>
      <c r="W48" s="59"/>
      <c r="X48" s="60" t="str">
        <f t="shared" si="16"/>
        <v>-</v>
      </c>
      <c r="Y48" s="62"/>
      <c r="Z48" s="59"/>
      <c r="AA48" s="60" t="str">
        <f t="shared" si="13"/>
        <v>-</v>
      </c>
      <c r="AB48" s="61"/>
    </row>
    <row r="49" spans="1:32" x14ac:dyDescent="0.2">
      <c r="A49" s="34"/>
      <c r="B49" s="56"/>
      <c r="C49" s="57"/>
      <c r="D49" s="77"/>
      <c r="E49" s="59"/>
      <c r="F49" s="60" t="str">
        <f t="shared" si="14"/>
        <v>-</v>
      </c>
      <c r="G49" s="77"/>
      <c r="H49" s="59"/>
      <c r="I49" s="60" t="str">
        <f t="shared" si="9"/>
        <v>-</v>
      </c>
      <c r="J49" s="77"/>
      <c r="K49" s="59"/>
      <c r="L49" s="60" t="str">
        <f t="shared" si="10"/>
        <v>-</v>
      </c>
      <c r="M49" s="77"/>
      <c r="N49" s="59"/>
      <c r="O49" s="60" t="str">
        <f t="shared" si="11"/>
        <v>-</v>
      </c>
      <c r="P49" s="77"/>
      <c r="Q49" s="59"/>
      <c r="R49" s="60" t="str">
        <f t="shared" si="12"/>
        <v>-</v>
      </c>
      <c r="S49" s="77"/>
      <c r="T49" s="59"/>
      <c r="U49" s="60" t="str">
        <f t="shared" si="15"/>
        <v>-</v>
      </c>
      <c r="V49" s="64"/>
      <c r="W49" s="59"/>
      <c r="X49" s="60" t="str">
        <f t="shared" si="16"/>
        <v>-</v>
      </c>
      <c r="Y49" s="62"/>
      <c r="Z49" s="59"/>
      <c r="AA49" s="60" t="str">
        <f t="shared" si="13"/>
        <v>-</v>
      </c>
      <c r="AB49" s="61"/>
    </row>
    <row r="50" spans="1:32" x14ac:dyDescent="0.2">
      <c r="A50" s="34"/>
      <c r="B50" s="56"/>
      <c r="C50" s="57"/>
      <c r="D50" s="77"/>
      <c r="E50" s="59"/>
      <c r="F50" s="60" t="str">
        <f t="shared" si="14"/>
        <v>-</v>
      </c>
      <c r="G50" s="77"/>
      <c r="H50" s="59"/>
      <c r="I50" s="60" t="str">
        <f t="shared" si="9"/>
        <v>-</v>
      </c>
      <c r="J50" s="77"/>
      <c r="K50" s="59"/>
      <c r="L50" s="60" t="str">
        <f t="shared" si="10"/>
        <v>-</v>
      </c>
      <c r="M50" s="77"/>
      <c r="N50" s="59"/>
      <c r="O50" s="60" t="str">
        <f t="shared" si="11"/>
        <v>-</v>
      </c>
      <c r="P50" s="77"/>
      <c r="Q50" s="59"/>
      <c r="R50" s="60" t="str">
        <f t="shared" si="12"/>
        <v>-</v>
      </c>
      <c r="S50" s="77"/>
      <c r="T50" s="59"/>
      <c r="U50" s="60" t="str">
        <f t="shared" si="15"/>
        <v>-</v>
      </c>
      <c r="V50" s="64"/>
      <c r="W50" s="59"/>
      <c r="X50" s="60" t="str">
        <f t="shared" si="16"/>
        <v>-</v>
      </c>
      <c r="Y50" s="62"/>
      <c r="Z50" s="59"/>
      <c r="AA50" s="60" t="str">
        <f t="shared" si="13"/>
        <v>-</v>
      </c>
      <c r="AB50" s="61"/>
    </row>
    <row r="51" spans="1:32" ht="13.5" thickBot="1" x14ac:dyDescent="0.25">
      <c r="A51" s="41"/>
      <c r="B51" s="66"/>
      <c r="C51" s="67"/>
      <c r="D51" s="78"/>
      <c r="E51" s="69"/>
      <c r="F51" s="70" t="str">
        <f t="shared" si="14"/>
        <v>-</v>
      </c>
      <c r="G51" s="78"/>
      <c r="H51" s="69"/>
      <c r="I51" s="70" t="str">
        <f t="shared" si="9"/>
        <v>-</v>
      </c>
      <c r="J51" s="78"/>
      <c r="K51" s="69"/>
      <c r="L51" s="70" t="str">
        <f t="shared" si="10"/>
        <v>-</v>
      </c>
      <c r="M51" s="78"/>
      <c r="N51" s="69"/>
      <c r="O51" s="70" t="str">
        <f t="shared" si="11"/>
        <v>-</v>
      </c>
      <c r="P51" s="78"/>
      <c r="Q51" s="69"/>
      <c r="R51" s="70" t="str">
        <f t="shared" si="12"/>
        <v>-</v>
      </c>
      <c r="S51" s="78"/>
      <c r="T51" s="69"/>
      <c r="U51" s="70" t="str">
        <f t="shared" si="15"/>
        <v>-</v>
      </c>
      <c r="V51" s="68"/>
      <c r="W51" s="69"/>
      <c r="X51" s="70" t="str">
        <f t="shared" si="16"/>
        <v>-</v>
      </c>
      <c r="Y51" s="72"/>
      <c r="Z51" s="69"/>
      <c r="AA51" s="70" t="str">
        <f t="shared" si="13"/>
        <v>-</v>
      </c>
      <c r="AB51" s="73"/>
    </row>
    <row r="52" spans="1:32" ht="13.5" thickBot="1" x14ac:dyDescent="0.25">
      <c r="A52" s="177" t="s">
        <v>26</v>
      </c>
      <c r="B52" s="177" t="s">
        <v>22</v>
      </c>
      <c r="C52" s="177" t="s">
        <v>2</v>
      </c>
      <c r="D52" s="158" t="s">
        <v>0</v>
      </c>
      <c r="E52" s="158" t="s">
        <v>1</v>
      </c>
      <c r="F52" s="12" t="s">
        <v>3</v>
      </c>
      <c r="G52" s="158" t="s">
        <v>0</v>
      </c>
      <c r="H52" s="158" t="s">
        <v>1</v>
      </c>
      <c r="I52" s="39" t="s">
        <v>3</v>
      </c>
      <c r="J52" s="158" t="s">
        <v>0</v>
      </c>
      <c r="K52" s="158" t="s">
        <v>1</v>
      </c>
      <c r="L52" s="12" t="s">
        <v>3</v>
      </c>
      <c r="M52" s="158" t="s">
        <v>0</v>
      </c>
      <c r="N52" s="158" t="s">
        <v>1</v>
      </c>
      <c r="O52" s="12" t="s">
        <v>3</v>
      </c>
      <c r="P52" s="158" t="s">
        <v>0</v>
      </c>
      <c r="Q52" s="158" t="s">
        <v>1</v>
      </c>
      <c r="R52" s="12" t="s">
        <v>3</v>
      </c>
      <c r="S52" s="158" t="s">
        <v>0</v>
      </c>
      <c r="T52" s="158" t="s">
        <v>1</v>
      </c>
      <c r="U52" s="12" t="s">
        <v>3</v>
      </c>
      <c r="V52" s="158" t="s">
        <v>0</v>
      </c>
      <c r="W52" s="158" t="s">
        <v>1</v>
      </c>
      <c r="X52" s="12" t="s">
        <v>3</v>
      </c>
      <c r="Y52" s="158" t="s">
        <v>0</v>
      </c>
      <c r="Z52" s="158" t="s">
        <v>1</v>
      </c>
      <c r="AA52" s="12" t="s">
        <v>3</v>
      </c>
      <c r="AB52" s="160" t="s">
        <v>23</v>
      </c>
    </row>
    <row r="53" spans="1:32" ht="13.5" thickBot="1" x14ac:dyDescent="0.25">
      <c r="A53" s="178"/>
      <c r="B53" s="178"/>
      <c r="C53" s="178"/>
      <c r="D53" s="159"/>
      <c r="E53" s="159"/>
      <c r="F53" s="44" t="s">
        <v>5</v>
      </c>
      <c r="G53" s="159"/>
      <c r="H53" s="159"/>
      <c r="I53" s="44" t="s">
        <v>5</v>
      </c>
      <c r="J53" s="159"/>
      <c r="K53" s="159"/>
      <c r="L53" s="45" t="s">
        <v>5</v>
      </c>
      <c r="M53" s="159"/>
      <c r="N53" s="159"/>
      <c r="O53" s="45" t="s">
        <v>5</v>
      </c>
      <c r="P53" s="159"/>
      <c r="Q53" s="159"/>
      <c r="R53" s="45" t="s">
        <v>5</v>
      </c>
      <c r="S53" s="159"/>
      <c r="T53" s="159"/>
      <c r="U53" s="45" t="s">
        <v>5</v>
      </c>
      <c r="V53" s="159"/>
      <c r="W53" s="159"/>
      <c r="X53" s="45" t="s">
        <v>5</v>
      </c>
      <c r="Y53" s="159"/>
      <c r="Z53" s="159"/>
      <c r="AA53" s="45" t="s">
        <v>5</v>
      </c>
      <c r="AB53" s="161"/>
    </row>
    <row r="54" spans="1:32" x14ac:dyDescent="0.2">
      <c r="A54" s="43"/>
      <c r="B54" s="79"/>
      <c r="C54" s="51"/>
      <c r="D54" s="74"/>
      <c r="E54" s="53"/>
      <c r="F54" s="54" t="str">
        <f t="shared" ref="F54:F55" si="17">IFERROR((E54/D54)*100,"-")</f>
        <v>-</v>
      </c>
      <c r="G54" s="74"/>
      <c r="H54" s="53"/>
      <c r="I54" s="54" t="str">
        <f t="shared" ref="I54:I62" si="18">IFERROR((H54/G54)*100,"-")</f>
        <v>-</v>
      </c>
      <c r="J54" s="74"/>
      <c r="K54" s="53"/>
      <c r="L54" s="54" t="str">
        <f t="shared" ref="L54:L62" si="19">IFERROR((K54/J54)*100,"-")</f>
        <v>-</v>
      </c>
      <c r="M54" s="74"/>
      <c r="N54" s="53"/>
      <c r="O54" s="54" t="str">
        <f t="shared" ref="O54:O62" si="20">IFERROR((N54/M54)*100,"-")</f>
        <v>-</v>
      </c>
      <c r="P54" s="74"/>
      <c r="Q54" s="53"/>
      <c r="R54" s="54" t="str">
        <f t="shared" ref="R54:R62" si="21">IFERROR((Q54/P54)*100,"-")</f>
        <v>-</v>
      </c>
      <c r="S54" s="74"/>
      <c r="T54" s="53"/>
      <c r="U54" s="54" t="str">
        <f t="shared" ref="U54:U59" si="22">IFERROR((T54/S54)*100,"-")</f>
        <v>-</v>
      </c>
      <c r="V54" s="74"/>
      <c r="W54" s="53"/>
      <c r="X54" s="54" t="str">
        <f t="shared" ref="X54:X59" si="23">IFERROR((W54/V54)*100,"-")</f>
        <v>-</v>
      </c>
      <c r="Y54" s="74"/>
      <c r="Z54" s="53"/>
      <c r="AA54" s="54" t="str">
        <f t="shared" ref="AA54:AA62" si="24">IFERROR((Z54/Y54)*100,"-")</f>
        <v>-</v>
      </c>
      <c r="AB54" s="55"/>
      <c r="AF54" s="30"/>
    </row>
    <row r="55" spans="1:32" x14ac:dyDescent="0.2">
      <c r="A55" s="35"/>
      <c r="B55" s="80"/>
      <c r="C55" s="57"/>
      <c r="D55" s="62"/>
      <c r="E55" s="59"/>
      <c r="F55" s="60" t="str">
        <f t="shared" si="17"/>
        <v>-</v>
      </c>
      <c r="G55" s="62"/>
      <c r="H55" s="59"/>
      <c r="I55" s="60" t="str">
        <f t="shared" si="18"/>
        <v>-</v>
      </c>
      <c r="J55" s="62"/>
      <c r="K55" s="59"/>
      <c r="L55" s="60" t="str">
        <f t="shared" si="19"/>
        <v>-</v>
      </c>
      <c r="M55" s="62"/>
      <c r="N55" s="59"/>
      <c r="O55" s="60" t="str">
        <f t="shared" si="20"/>
        <v>-</v>
      </c>
      <c r="P55" s="62"/>
      <c r="Q55" s="59"/>
      <c r="R55" s="60" t="str">
        <f t="shared" si="21"/>
        <v>-</v>
      </c>
      <c r="S55" s="62"/>
      <c r="T55" s="59"/>
      <c r="U55" s="60" t="str">
        <f t="shared" si="22"/>
        <v>-</v>
      </c>
      <c r="V55" s="62"/>
      <c r="W55" s="59"/>
      <c r="X55" s="60" t="str">
        <f t="shared" si="23"/>
        <v>-</v>
      </c>
      <c r="Y55" s="62"/>
      <c r="Z55" s="59"/>
      <c r="AA55" s="60" t="str">
        <f t="shared" si="24"/>
        <v>-</v>
      </c>
      <c r="AB55" s="61"/>
      <c r="AF55" s="30"/>
    </row>
    <row r="56" spans="1:32" x14ac:dyDescent="0.2">
      <c r="A56" s="35"/>
      <c r="B56" s="81"/>
      <c r="C56" s="82"/>
      <c r="D56" s="62"/>
      <c r="E56" s="83"/>
      <c r="F56" s="60" t="str">
        <f>IFERROR((E56/D56)*100,"-")</f>
        <v>-</v>
      </c>
      <c r="G56" s="62"/>
      <c r="H56" s="83"/>
      <c r="I56" s="60" t="str">
        <f t="shared" si="18"/>
        <v>-</v>
      </c>
      <c r="J56" s="62"/>
      <c r="K56" s="59"/>
      <c r="L56" s="60" t="str">
        <f t="shared" si="19"/>
        <v>-</v>
      </c>
      <c r="M56" s="62"/>
      <c r="N56" s="59"/>
      <c r="O56" s="60" t="str">
        <f t="shared" si="20"/>
        <v>-</v>
      </c>
      <c r="P56" s="62"/>
      <c r="Q56" s="59"/>
      <c r="R56" s="60" t="str">
        <f t="shared" si="21"/>
        <v>-</v>
      </c>
      <c r="S56" s="62"/>
      <c r="T56" s="59"/>
      <c r="U56" s="60" t="str">
        <f t="shared" si="22"/>
        <v>-</v>
      </c>
      <c r="V56" s="62"/>
      <c r="W56" s="59"/>
      <c r="X56" s="60" t="str">
        <f t="shared" si="23"/>
        <v>-</v>
      </c>
      <c r="Y56" s="62"/>
      <c r="Z56" s="59"/>
      <c r="AA56" s="60" t="str">
        <f t="shared" si="24"/>
        <v>-</v>
      </c>
      <c r="AB56" s="61"/>
      <c r="AF56" s="30"/>
    </row>
    <row r="57" spans="1:32" x14ac:dyDescent="0.2">
      <c r="A57" s="35"/>
      <c r="B57" s="80"/>
      <c r="C57" s="57"/>
      <c r="D57" s="62"/>
      <c r="E57" s="83"/>
      <c r="F57" s="60" t="str">
        <f>IFERROR((E57/D57)*100,"-")</f>
        <v>-</v>
      </c>
      <c r="G57" s="62"/>
      <c r="H57" s="83"/>
      <c r="I57" s="60" t="str">
        <f t="shared" si="18"/>
        <v>-</v>
      </c>
      <c r="J57" s="62"/>
      <c r="K57" s="59"/>
      <c r="L57" s="60" t="str">
        <f t="shared" si="19"/>
        <v>-</v>
      </c>
      <c r="M57" s="62"/>
      <c r="N57" s="59"/>
      <c r="O57" s="60" t="str">
        <f t="shared" si="20"/>
        <v>-</v>
      </c>
      <c r="P57" s="62"/>
      <c r="Q57" s="59"/>
      <c r="R57" s="60" t="str">
        <f t="shared" si="21"/>
        <v>-</v>
      </c>
      <c r="S57" s="62"/>
      <c r="T57" s="59"/>
      <c r="U57" s="60" t="str">
        <f t="shared" si="22"/>
        <v>-</v>
      </c>
      <c r="V57" s="62"/>
      <c r="W57" s="59"/>
      <c r="X57" s="60" t="str">
        <f t="shared" si="23"/>
        <v>-</v>
      </c>
      <c r="Y57" s="62"/>
      <c r="Z57" s="59"/>
      <c r="AA57" s="60" t="str">
        <f t="shared" si="24"/>
        <v>-</v>
      </c>
      <c r="AB57" s="61"/>
      <c r="AF57" s="30"/>
    </row>
    <row r="58" spans="1:32" x14ac:dyDescent="0.2">
      <c r="A58" s="35"/>
      <c r="B58" s="80"/>
      <c r="C58" s="57"/>
      <c r="D58" s="62"/>
      <c r="E58" s="83"/>
      <c r="F58" s="60" t="str">
        <f t="shared" ref="F58:F59" si="25">IFERROR((E58/D58)*100,"-")</f>
        <v>-</v>
      </c>
      <c r="G58" s="62"/>
      <c r="H58" s="83"/>
      <c r="I58" s="60" t="str">
        <f t="shared" si="18"/>
        <v>-</v>
      </c>
      <c r="J58" s="62"/>
      <c r="K58" s="59"/>
      <c r="L58" s="60" t="str">
        <f t="shared" si="19"/>
        <v>-</v>
      </c>
      <c r="M58" s="62"/>
      <c r="N58" s="59"/>
      <c r="O58" s="60" t="str">
        <f t="shared" si="20"/>
        <v>-</v>
      </c>
      <c r="P58" s="62"/>
      <c r="Q58" s="59"/>
      <c r="R58" s="60" t="str">
        <f t="shared" si="21"/>
        <v>-</v>
      </c>
      <c r="S58" s="62"/>
      <c r="T58" s="59"/>
      <c r="U58" s="60" t="str">
        <f t="shared" si="22"/>
        <v>-</v>
      </c>
      <c r="V58" s="62"/>
      <c r="W58" s="59"/>
      <c r="X58" s="60" t="str">
        <f t="shared" si="23"/>
        <v>-</v>
      </c>
      <c r="Y58" s="62"/>
      <c r="Z58" s="59"/>
      <c r="AA58" s="60" t="str">
        <f t="shared" si="24"/>
        <v>-</v>
      </c>
      <c r="AB58" s="61"/>
      <c r="AF58" s="30"/>
    </row>
    <row r="59" spans="1:32" x14ac:dyDescent="0.2">
      <c r="A59" s="35"/>
      <c r="B59" s="80"/>
      <c r="C59" s="57"/>
      <c r="D59" s="62"/>
      <c r="E59" s="59"/>
      <c r="F59" s="60" t="str">
        <f t="shared" si="25"/>
        <v>-</v>
      </c>
      <c r="G59" s="62"/>
      <c r="H59" s="59"/>
      <c r="I59" s="60" t="str">
        <f t="shared" si="18"/>
        <v>-</v>
      </c>
      <c r="J59" s="62"/>
      <c r="K59" s="59"/>
      <c r="L59" s="60" t="str">
        <f t="shared" si="19"/>
        <v>-</v>
      </c>
      <c r="M59" s="62"/>
      <c r="N59" s="59"/>
      <c r="O59" s="60" t="str">
        <f t="shared" si="20"/>
        <v>-</v>
      </c>
      <c r="P59" s="62"/>
      <c r="Q59" s="59"/>
      <c r="R59" s="60" t="str">
        <f t="shared" si="21"/>
        <v>-</v>
      </c>
      <c r="S59" s="62"/>
      <c r="T59" s="59"/>
      <c r="U59" s="60" t="str">
        <f t="shared" si="22"/>
        <v>-</v>
      </c>
      <c r="V59" s="62"/>
      <c r="W59" s="59"/>
      <c r="X59" s="60" t="str">
        <f t="shared" si="23"/>
        <v>-</v>
      </c>
      <c r="Y59" s="62"/>
      <c r="Z59" s="59"/>
      <c r="AA59" s="60" t="str">
        <f t="shared" si="24"/>
        <v>-</v>
      </c>
      <c r="AB59" s="61"/>
      <c r="AF59" s="30"/>
    </row>
    <row r="60" spans="1:32" x14ac:dyDescent="0.2">
      <c r="A60" s="35"/>
      <c r="B60" s="80"/>
      <c r="C60" s="57"/>
      <c r="D60" s="77"/>
      <c r="E60" s="77"/>
      <c r="F60" s="60" t="str">
        <f>IFERROR((E60/#REF!)*100,"-")</f>
        <v>-</v>
      </c>
      <c r="G60" s="77"/>
      <c r="H60" s="77"/>
      <c r="I60" s="60" t="str">
        <f t="shared" si="18"/>
        <v>-</v>
      </c>
      <c r="J60" s="77"/>
      <c r="K60" s="77"/>
      <c r="L60" s="60" t="str">
        <f t="shared" si="19"/>
        <v>-</v>
      </c>
      <c r="M60" s="77"/>
      <c r="N60" s="77"/>
      <c r="O60" s="60" t="str">
        <f t="shared" si="20"/>
        <v>-</v>
      </c>
      <c r="P60" s="77"/>
      <c r="Q60" s="77"/>
      <c r="R60" s="60" t="str">
        <f t="shared" si="21"/>
        <v>-</v>
      </c>
      <c r="S60" s="77"/>
      <c r="T60" s="77"/>
      <c r="U60" s="60" t="str">
        <f t="shared" ref="U60:U62" si="26">IFERROR((T60/S60)*100,"-")</f>
        <v>-</v>
      </c>
      <c r="V60" s="77"/>
      <c r="W60" s="59"/>
      <c r="X60" s="60" t="str">
        <f t="shared" ref="X60:X62" si="27">IFERROR((W60/V60)*100,"-")</f>
        <v>-</v>
      </c>
      <c r="Y60" s="62"/>
      <c r="Z60" s="59"/>
      <c r="AA60" s="60" t="str">
        <f t="shared" si="24"/>
        <v>-</v>
      </c>
      <c r="AB60" s="61"/>
      <c r="AF60" s="30"/>
    </row>
    <row r="61" spans="1:32" x14ac:dyDescent="0.2">
      <c r="A61" s="35"/>
      <c r="B61" s="80"/>
      <c r="C61" s="57"/>
      <c r="D61" s="77"/>
      <c r="E61" s="77"/>
      <c r="F61" s="60" t="str">
        <f>IFERROR((E61/#REF!)*100,"-")</f>
        <v>-</v>
      </c>
      <c r="G61" s="77"/>
      <c r="H61" s="77"/>
      <c r="I61" s="60" t="str">
        <f t="shared" si="18"/>
        <v>-</v>
      </c>
      <c r="J61" s="77"/>
      <c r="K61" s="77"/>
      <c r="L61" s="60" t="str">
        <f t="shared" si="19"/>
        <v>-</v>
      </c>
      <c r="M61" s="77"/>
      <c r="N61" s="77"/>
      <c r="O61" s="60" t="str">
        <f t="shared" si="20"/>
        <v>-</v>
      </c>
      <c r="P61" s="77"/>
      <c r="Q61" s="77"/>
      <c r="R61" s="60" t="str">
        <f t="shared" si="21"/>
        <v>-</v>
      </c>
      <c r="S61" s="77"/>
      <c r="T61" s="77"/>
      <c r="U61" s="60" t="str">
        <f t="shared" si="26"/>
        <v>-</v>
      </c>
      <c r="V61" s="77"/>
      <c r="W61" s="59"/>
      <c r="X61" s="60" t="str">
        <f t="shared" si="27"/>
        <v>-</v>
      </c>
      <c r="Y61" s="62"/>
      <c r="Z61" s="59"/>
      <c r="AA61" s="60" t="str">
        <f t="shared" si="24"/>
        <v>-</v>
      </c>
      <c r="AB61" s="61"/>
      <c r="AF61" s="30"/>
    </row>
    <row r="62" spans="1:32" ht="13.5" thickBot="1" x14ac:dyDescent="0.25">
      <c r="A62" s="46"/>
      <c r="B62" s="84"/>
      <c r="C62" s="67"/>
      <c r="D62" s="78"/>
      <c r="E62" s="78"/>
      <c r="F62" s="70" t="str">
        <f>IFERROR((E62/#REF!)*100,"-")</f>
        <v>-</v>
      </c>
      <c r="G62" s="78"/>
      <c r="H62" s="78"/>
      <c r="I62" s="70" t="str">
        <f t="shared" si="18"/>
        <v>-</v>
      </c>
      <c r="J62" s="78"/>
      <c r="K62" s="78"/>
      <c r="L62" s="70" t="str">
        <f t="shared" si="19"/>
        <v>-</v>
      </c>
      <c r="M62" s="78"/>
      <c r="N62" s="78"/>
      <c r="O62" s="70" t="str">
        <f t="shared" si="20"/>
        <v>-</v>
      </c>
      <c r="P62" s="78"/>
      <c r="Q62" s="78"/>
      <c r="R62" s="70" t="str">
        <f t="shared" si="21"/>
        <v>-</v>
      </c>
      <c r="S62" s="78"/>
      <c r="T62" s="78"/>
      <c r="U62" s="70" t="str">
        <f t="shared" si="26"/>
        <v>-</v>
      </c>
      <c r="V62" s="78"/>
      <c r="W62" s="69"/>
      <c r="X62" s="70" t="str">
        <f t="shared" si="27"/>
        <v>-</v>
      </c>
      <c r="Y62" s="72"/>
      <c r="Z62" s="69"/>
      <c r="AA62" s="70" t="str">
        <f t="shared" si="24"/>
        <v>-</v>
      </c>
      <c r="AB62" s="73"/>
      <c r="AF62" s="30"/>
    </row>
    <row r="63" spans="1:32" ht="13.5" thickBot="1" x14ac:dyDescent="0.25">
      <c r="A63" s="182" t="s">
        <v>27</v>
      </c>
      <c r="B63" s="177" t="s">
        <v>22</v>
      </c>
      <c r="C63" s="177" t="s">
        <v>2</v>
      </c>
      <c r="D63" s="158" t="s">
        <v>0</v>
      </c>
      <c r="E63" s="158" t="s">
        <v>1</v>
      </c>
      <c r="F63" s="40" t="s">
        <v>3</v>
      </c>
      <c r="G63" s="158" t="s">
        <v>0</v>
      </c>
      <c r="H63" s="158" t="s">
        <v>1</v>
      </c>
      <c r="I63" s="40" t="s">
        <v>3</v>
      </c>
      <c r="J63" s="158" t="s">
        <v>0</v>
      </c>
      <c r="K63" s="158" t="s">
        <v>1</v>
      </c>
      <c r="L63" s="40" t="s">
        <v>3</v>
      </c>
      <c r="M63" s="158" t="s">
        <v>0</v>
      </c>
      <c r="N63" s="158" t="s">
        <v>1</v>
      </c>
      <c r="O63" s="40" t="s">
        <v>3</v>
      </c>
      <c r="P63" s="158" t="s">
        <v>0</v>
      </c>
      <c r="Q63" s="158" t="s">
        <v>1</v>
      </c>
      <c r="R63" s="40" t="s">
        <v>3</v>
      </c>
      <c r="S63" s="158" t="s">
        <v>0</v>
      </c>
      <c r="T63" s="158" t="s">
        <v>1</v>
      </c>
      <c r="U63" s="40" t="s">
        <v>3</v>
      </c>
      <c r="V63" s="158" t="s">
        <v>0</v>
      </c>
      <c r="W63" s="158" t="s">
        <v>1</v>
      </c>
      <c r="X63" s="48" t="s">
        <v>3</v>
      </c>
      <c r="Y63" s="158" t="s">
        <v>0</v>
      </c>
      <c r="Z63" s="158" t="s">
        <v>1</v>
      </c>
      <c r="AA63" s="40" t="s">
        <v>3</v>
      </c>
      <c r="AB63" s="160" t="s">
        <v>23</v>
      </c>
    </row>
    <row r="64" spans="1:32" ht="13.5" thickBot="1" x14ac:dyDescent="0.25">
      <c r="A64" s="183"/>
      <c r="B64" s="178"/>
      <c r="C64" s="178"/>
      <c r="D64" s="159"/>
      <c r="E64" s="159"/>
      <c r="F64" s="11" t="s">
        <v>5</v>
      </c>
      <c r="G64" s="159"/>
      <c r="H64" s="159"/>
      <c r="I64" s="11" t="s">
        <v>5</v>
      </c>
      <c r="J64" s="159"/>
      <c r="K64" s="159"/>
      <c r="L64" s="11" t="s">
        <v>5</v>
      </c>
      <c r="M64" s="159"/>
      <c r="N64" s="159"/>
      <c r="O64" s="11" t="s">
        <v>5</v>
      </c>
      <c r="P64" s="159"/>
      <c r="Q64" s="159"/>
      <c r="R64" s="11" t="s">
        <v>5</v>
      </c>
      <c r="S64" s="159"/>
      <c r="T64" s="159"/>
      <c r="U64" s="11" t="s">
        <v>5</v>
      </c>
      <c r="V64" s="159"/>
      <c r="W64" s="159"/>
      <c r="X64" s="11" t="s">
        <v>5</v>
      </c>
      <c r="Y64" s="159"/>
      <c r="Z64" s="159"/>
      <c r="AA64" s="11" t="s">
        <v>5</v>
      </c>
      <c r="AB64" s="161"/>
    </row>
    <row r="65" spans="1:34" x14ac:dyDescent="0.2">
      <c r="A65" s="43"/>
      <c r="B65" s="79"/>
      <c r="C65" s="51"/>
      <c r="D65" s="85"/>
      <c r="E65" s="85"/>
      <c r="F65" s="54" t="str">
        <f>IFERROR((E65/D65)*100,"-")</f>
        <v>-</v>
      </c>
      <c r="G65" s="85"/>
      <c r="H65" s="85"/>
      <c r="I65" s="54" t="str">
        <f>IFERROR((H65/G65)*100,"-")</f>
        <v>-</v>
      </c>
      <c r="J65" s="85"/>
      <c r="K65" s="85"/>
      <c r="L65" s="54" t="str">
        <f>IFERROR((K65/J65)*100,"-")</f>
        <v>-</v>
      </c>
      <c r="M65" s="85"/>
      <c r="N65" s="85"/>
      <c r="O65" s="54" t="str">
        <f>IFERROR((N65/M65)*100,"-")</f>
        <v>-</v>
      </c>
      <c r="P65" s="85"/>
      <c r="Q65" s="85"/>
      <c r="R65" s="54" t="str">
        <f>IFERROR((Q65/P65)*100,"-")</f>
        <v>-</v>
      </c>
      <c r="S65" s="85"/>
      <c r="T65" s="85"/>
      <c r="U65" s="54" t="str">
        <f>IFERROR((T65/S65)*100,"-")</f>
        <v>-</v>
      </c>
      <c r="V65" s="85"/>
      <c r="W65" s="53"/>
      <c r="X65" s="54" t="str">
        <f>IFERROR((W65/V65)*100,"-")</f>
        <v>-</v>
      </c>
      <c r="Y65" s="53"/>
      <c r="Z65" s="53"/>
      <c r="AA65" s="54" t="str">
        <f>IFERROR((Z65/Y65)*100,"100")</f>
        <v>100</v>
      </c>
      <c r="AB65" s="55"/>
    </row>
    <row r="66" spans="1:34" ht="13.5" thickBot="1" x14ac:dyDescent="0.25">
      <c r="A66" s="46"/>
      <c r="B66" s="84"/>
      <c r="C66" s="67"/>
      <c r="D66" s="78"/>
      <c r="E66" s="78"/>
      <c r="F66" s="70" t="str">
        <f>IFERROR((E66/D66)*100,"-")</f>
        <v>-</v>
      </c>
      <c r="G66" s="78"/>
      <c r="H66" s="78"/>
      <c r="I66" s="70" t="str">
        <f>IFERROR((H66/G66)*100,"-")</f>
        <v>-</v>
      </c>
      <c r="J66" s="78"/>
      <c r="K66" s="78"/>
      <c r="L66" s="70" t="str">
        <f>IFERROR((K66/J66)*100,"-")</f>
        <v>-</v>
      </c>
      <c r="M66" s="78"/>
      <c r="N66" s="78"/>
      <c r="O66" s="70" t="str">
        <f>IFERROR((N66/M66)*100,"-")</f>
        <v>-</v>
      </c>
      <c r="P66" s="78"/>
      <c r="Q66" s="78"/>
      <c r="R66" s="70" t="str">
        <f>IFERROR((Q66/P66)*100,"-")</f>
        <v>-</v>
      </c>
      <c r="S66" s="78"/>
      <c r="T66" s="78"/>
      <c r="U66" s="70" t="str">
        <f>IFERROR((T66/S66)*100,"-")</f>
        <v>-</v>
      </c>
      <c r="V66" s="78"/>
      <c r="W66" s="69"/>
      <c r="X66" s="70" t="str">
        <f>IFERROR((W66/V66)*100,"-")</f>
        <v>-</v>
      </c>
      <c r="Y66" s="69"/>
      <c r="Z66" s="69"/>
      <c r="AA66" s="70" t="str">
        <f>IFERROR((Z66/Y66)*100,"-")</f>
        <v>-</v>
      </c>
      <c r="AB66" s="73"/>
    </row>
    <row r="67" spans="1:34" ht="13.5" thickBot="1" x14ac:dyDescent="0.25">
      <c r="A67" s="182" t="s">
        <v>28</v>
      </c>
      <c r="B67" s="177" t="s">
        <v>22</v>
      </c>
      <c r="C67" s="177" t="s">
        <v>2</v>
      </c>
      <c r="D67" s="158" t="s">
        <v>0</v>
      </c>
      <c r="E67" s="158" t="s">
        <v>1</v>
      </c>
      <c r="F67" s="40" t="s">
        <v>3</v>
      </c>
      <c r="G67" s="158" t="s">
        <v>0</v>
      </c>
      <c r="H67" s="162" t="s">
        <v>1</v>
      </c>
      <c r="I67" s="40" t="s">
        <v>3</v>
      </c>
      <c r="J67" s="158" t="s">
        <v>0</v>
      </c>
      <c r="K67" s="158" t="s">
        <v>1</v>
      </c>
      <c r="L67" s="40" t="s">
        <v>3</v>
      </c>
      <c r="M67" s="158" t="s">
        <v>0</v>
      </c>
      <c r="N67" s="158" t="s">
        <v>1</v>
      </c>
      <c r="O67" s="12" t="s">
        <v>3</v>
      </c>
      <c r="P67" s="158" t="s">
        <v>0</v>
      </c>
      <c r="Q67" s="158" t="s">
        <v>1</v>
      </c>
      <c r="R67" s="40" t="s">
        <v>3</v>
      </c>
      <c r="S67" s="158" t="s">
        <v>0</v>
      </c>
      <c r="T67" s="158" t="s">
        <v>1</v>
      </c>
      <c r="U67" s="39" t="s">
        <v>3</v>
      </c>
      <c r="V67" s="162" t="s">
        <v>0</v>
      </c>
      <c r="W67" s="158" t="s">
        <v>1</v>
      </c>
      <c r="X67" s="40" t="s">
        <v>3</v>
      </c>
      <c r="Y67" s="158" t="s">
        <v>0</v>
      </c>
      <c r="Z67" s="162" t="s">
        <v>1</v>
      </c>
      <c r="AA67" s="40" t="s">
        <v>3</v>
      </c>
      <c r="AB67" s="160" t="s">
        <v>23</v>
      </c>
    </row>
    <row r="68" spans="1:34" ht="13.5" thickBot="1" x14ac:dyDescent="0.25">
      <c r="A68" s="183"/>
      <c r="B68" s="178"/>
      <c r="C68" s="178"/>
      <c r="D68" s="159"/>
      <c r="E68" s="159"/>
      <c r="F68" s="11" t="s">
        <v>5</v>
      </c>
      <c r="G68" s="159"/>
      <c r="H68" s="181"/>
      <c r="I68" s="44" t="s">
        <v>5</v>
      </c>
      <c r="J68" s="159"/>
      <c r="K68" s="159"/>
      <c r="L68" s="11" t="s">
        <v>5</v>
      </c>
      <c r="M68" s="159"/>
      <c r="N68" s="159"/>
      <c r="O68" s="44" t="s">
        <v>5</v>
      </c>
      <c r="P68" s="159"/>
      <c r="Q68" s="159"/>
      <c r="R68" s="11" t="s">
        <v>5</v>
      </c>
      <c r="S68" s="159"/>
      <c r="T68" s="159"/>
      <c r="U68" s="44" t="s">
        <v>5</v>
      </c>
      <c r="V68" s="181"/>
      <c r="W68" s="159"/>
      <c r="X68" s="11" t="s">
        <v>5</v>
      </c>
      <c r="Y68" s="159"/>
      <c r="Z68" s="181"/>
      <c r="AA68" s="44" t="s">
        <v>5</v>
      </c>
      <c r="AB68" s="161"/>
    </row>
    <row r="69" spans="1:34" x14ac:dyDescent="0.2">
      <c r="A69" s="43"/>
      <c r="B69" s="79"/>
      <c r="C69" s="51"/>
      <c r="D69" s="86"/>
      <c r="E69" s="87"/>
      <c r="F69" s="54" t="str">
        <f>IFERROR((E69/D69)*100,"-")</f>
        <v>-</v>
      </c>
      <c r="G69" s="86"/>
      <c r="H69" s="87"/>
      <c r="I69" s="54" t="str">
        <f>IFERROR((H69/G69)*100,"-")</f>
        <v>-</v>
      </c>
      <c r="J69" s="86"/>
      <c r="K69" s="87"/>
      <c r="L69" s="54" t="str">
        <f>IFERROR((K69/J69)*100,"-")</f>
        <v>-</v>
      </c>
      <c r="M69" s="86"/>
      <c r="N69" s="87"/>
      <c r="O69" s="54" t="str">
        <f>IFERROR((N69/M69)*100,"-")</f>
        <v>-</v>
      </c>
      <c r="P69" s="86"/>
      <c r="Q69" s="87"/>
      <c r="R69" s="54" t="str">
        <f>IFERROR((Q69/P69)*100,"-")</f>
        <v>-</v>
      </c>
      <c r="S69" s="86"/>
      <c r="T69" s="87"/>
      <c r="U69" s="54" t="str">
        <f>IFERROR((T69/S69)*100,"-")</f>
        <v>-</v>
      </c>
      <c r="V69" s="86"/>
      <c r="W69" s="87"/>
      <c r="X69" s="54" t="str">
        <f>IFERROR((W69/V69)*100,"-")</f>
        <v>-</v>
      </c>
      <c r="Y69" s="86"/>
      <c r="Z69" s="87"/>
      <c r="AA69" s="54" t="str">
        <f>IFERROR((Z69/Y69)*100,"-")</f>
        <v>-</v>
      </c>
      <c r="AB69" s="88"/>
    </row>
    <row r="70" spans="1:34" ht="25.5" customHeight="1" x14ac:dyDescent="0.2">
      <c r="A70" s="35"/>
      <c r="B70" s="80"/>
      <c r="C70" s="57"/>
      <c r="D70" s="89"/>
      <c r="E70" s="90"/>
      <c r="F70" s="60" t="str">
        <f>IFERROR((E70/D70)*100,"-")</f>
        <v>-</v>
      </c>
      <c r="G70" s="89"/>
      <c r="H70" s="90"/>
      <c r="I70" s="60" t="str">
        <f t="shared" ref="I70:I79" si="28">IFERROR((H70/G70)*100,"-")</f>
        <v>-</v>
      </c>
      <c r="J70" s="89"/>
      <c r="K70" s="90"/>
      <c r="L70" s="60" t="str">
        <f>IFERROR((K70/J70)*100,"-")</f>
        <v>-</v>
      </c>
      <c r="M70" s="89"/>
      <c r="N70" s="90"/>
      <c r="O70" s="60" t="str">
        <f t="shared" ref="O70:O79" si="29">IFERROR((N70/M70)*100,"-")</f>
        <v>-</v>
      </c>
      <c r="P70" s="89"/>
      <c r="Q70" s="90"/>
      <c r="R70" s="60" t="str">
        <f t="shared" ref="R70:R79" si="30">IFERROR((Q70/P70)*100,"-")</f>
        <v>-</v>
      </c>
      <c r="S70" s="89"/>
      <c r="T70" s="90"/>
      <c r="U70" s="60" t="str">
        <f>IFERROR((T70/S70)*100,"-")</f>
        <v>-</v>
      </c>
      <c r="V70" s="89"/>
      <c r="W70" s="90"/>
      <c r="X70" s="60" t="str">
        <f>IFERROR((W70/V70)*100,"-")</f>
        <v>-</v>
      </c>
      <c r="Y70" s="89"/>
      <c r="Z70" s="90"/>
      <c r="AA70" s="60" t="str">
        <f t="shared" ref="AA70:AA79" si="31">IFERROR((Z70/Y70)*100,"-")</f>
        <v>-</v>
      </c>
      <c r="AB70" s="91"/>
    </row>
    <row r="71" spans="1:34" x14ac:dyDescent="0.2">
      <c r="A71" s="35"/>
      <c r="B71" s="80"/>
      <c r="C71" s="57"/>
      <c r="D71" s="92"/>
      <c r="E71" s="92"/>
      <c r="F71" s="60" t="s">
        <v>4</v>
      </c>
      <c r="G71" s="92"/>
      <c r="H71" s="92"/>
      <c r="I71" s="60" t="str">
        <f t="shared" si="28"/>
        <v>-</v>
      </c>
      <c r="J71" s="92"/>
      <c r="K71" s="92"/>
      <c r="L71" s="60" t="str">
        <f>IFERROR((K71/J71)*100,"-")</f>
        <v>-</v>
      </c>
      <c r="M71" s="92"/>
      <c r="N71" s="92"/>
      <c r="O71" s="60" t="str">
        <f t="shared" si="29"/>
        <v>-</v>
      </c>
      <c r="P71" s="92"/>
      <c r="Q71" s="92"/>
      <c r="R71" s="60" t="str">
        <f t="shared" si="30"/>
        <v>-</v>
      </c>
      <c r="S71" s="92"/>
      <c r="T71" s="92"/>
      <c r="U71" s="60" t="str">
        <f t="shared" ref="U71:U79" si="32">IFERROR((T71/S71)*100,"-")</f>
        <v>-</v>
      </c>
      <c r="V71" s="92"/>
      <c r="W71" s="92"/>
      <c r="X71" s="60" t="str">
        <f t="shared" ref="X71:X79" si="33">IFERROR((W71/V71)*100,"-")</f>
        <v>-</v>
      </c>
      <c r="Y71" s="92"/>
      <c r="Z71" s="92"/>
      <c r="AA71" s="60" t="str">
        <f t="shared" si="31"/>
        <v>-</v>
      </c>
      <c r="AB71" s="93"/>
    </row>
    <row r="72" spans="1:34" x14ac:dyDescent="0.2">
      <c r="A72" s="35"/>
      <c r="B72" s="80"/>
      <c r="C72" s="57"/>
      <c r="D72" s="62"/>
      <c r="E72" s="92"/>
      <c r="F72" s="60" t="str">
        <f>IFERROR((E72/D72)*100,"-")</f>
        <v>-</v>
      </c>
      <c r="G72" s="62"/>
      <c r="H72" s="92"/>
      <c r="I72" s="60" t="str">
        <f t="shared" si="28"/>
        <v>-</v>
      </c>
      <c r="J72" s="62"/>
      <c r="K72" s="59"/>
      <c r="L72" s="60" t="str">
        <f t="shared" ref="L72:L79" si="34">IFERROR((K72/J72)*100,"-")</f>
        <v>-</v>
      </c>
      <c r="M72" s="62"/>
      <c r="N72" s="59"/>
      <c r="O72" s="60" t="str">
        <f t="shared" si="29"/>
        <v>-</v>
      </c>
      <c r="P72" s="62"/>
      <c r="Q72" s="59"/>
      <c r="R72" s="60" t="str">
        <f t="shared" si="30"/>
        <v>-</v>
      </c>
      <c r="S72" s="62"/>
      <c r="T72" s="59"/>
      <c r="U72" s="60" t="str">
        <f t="shared" si="32"/>
        <v>-</v>
      </c>
      <c r="V72" s="62"/>
      <c r="W72" s="59"/>
      <c r="X72" s="60" t="str">
        <f t="shared" si="33"/>
        <v>-</v>
      </c>
      <c r="Y72" s="62"/>
      <c r="Z72" s="59"/>
      <c r="AA72" s="60" t="str">
        <f t="shared" si="31"/>
        <v>-</v>
      </c>
      <c r="AB72" s="61"/>
      <c r="AH72" s="30"/>
    </row>
    <row r="73" spans="1:34" x14ac:dyDescent="0.2">
      <c r="A73" s="35"/>
      <c r="B73" s="80"/>
      <c r="C73" s="57"/>
      <c r="D73" s="62"/>
      <c r="E73" s="92"/>
      <c r="F73" s="60" t="str">
        <f t="shared" ref="F73:F76" si="35">IFERROR((E73/D73)*100,"-")</f>
        <v>-</v>
      </c>
      <c r="G73" s="62"/>
      <c r="H73" s="92"/>
      <c r="I73" s="60" t="str">
        <f t="shared" si="28"/>
        <v>-</v>
      </c>
      <c r="J73" s="62"/>
      <c r="K73" s="59"/>
      <c r="L73" s="60" t="str">
        <f t="shared" si="34"/>
        <v>-</v>
      </c>
      <c r="M73" s="62"/>
      <c r="N73" s="59"/>
      <c r="O73" s="60" t="str">
        <f t="shared" si="29"/>
        <v>-</v>
      </c>
      <c r="P73" s="62"/>
      <c r="Q73" s="59"/>
      <c r="R73" s="60" t="str">
        <f t="shared" si="30"/>
        <v>-</v>
      </c>
      <c r="S73" s="62"/>
      <c r="T73" s="59"/>
      <c r="U73" s="60" t="str">
        <f t="shared" si="32"/>
        <v>-</v>
      </c>
      <c r="V73" s="62"/>
      <c r="W73" s="59"/>
      <c r="X73" s="60" t="str">
        <f t="shared" si="33"/>
        <v>-</v>
      </c>
      <c r="Y73" s="62"/>
      <c r="Z73" s="59"/>
      <c r="AA73" s="60" t="str">
        <f t="shared" si="31"/>
        <v>-</v>
      </c>
      <c r="AB73" s="61"/>
      <c r="AH73" s="30"/>
    </row>
    <row r="74" spans="1:34" x14ac:dyDescent="0.2">
      <c r="A74" s="35"/>
      <c r="B74" s="80"/>
      <c r="C74" s="57"/>
      <c r="D74" s="62"/>
      <c r="E74" s="92"/>
      <c r="F74" s="60" t="str">
        <f t="shared" si="35"/>
        <v>-</v>
      </c>
      <c r="G74" s="62"/>
      <c r="H74" s="92"/>
      <c r="I74" s="60" t="str">
        <f t="shared" si="28"/>
        <v>-</v>
      </c>
      <c r="J74" s="62"/>
      <c r="K74" s="59"/>
      <c r="L74" s="60" t="str">
        <f t="shared" si="34"/>
        <v>-</v>
      </c>
      <c r="M74" s="62"/>
      <c r="N74" s="59"/>
      <c r="O74" s="60" t="str">
        <f t="shared" si="29"/>
        <v>-</v>
      </c>
      <c r="P74" s="62"/>
      <c r="Q74" s="59"/>
      <c r="R74" s="60" t="str">
        <f t="shared" si="30"/>
        <v>-</v>
      </c>
      <c r="S74" s="62"/>
      <c r="T74" s="59"/>
      <c r="U74" s="60" t="str">
        <f t="shared" si="32"/>
        <v>-</v>
      </c>
      <c r="V74" s="62"/>
      <c r="W74" s="59"/>
      <c r="X74" s="60" t="str">
        <f t="shared" si="33"/>
        <v>-</v>
      </c>
      <c r="Y74" s="62"/>
      <c r="Z74" s="59"/>
      <c r="AA74" s="60" t="str">
        <f t="shared" si="31"/>
        <v>-</v>
      </c>
      <c r="AB74" s="61"/>
      <c r="AH74" s="30"/>
    </row>
    <row r="75" spans="1:34" x14ac:dyDescent="0.2">
      <c r="A75" s="35"/>
      <c r="B75" s="80"/>
      <c r="C75" s="57"/>
      <c r="D75" s="62"/>
      <c r="E75" s="92"/>
      <c r="F75" s="60" t="str">
        <f t="shared" si="35"/>
        <v>-</v>
      </c>
      <c r="G75" s="62"/>
      <c r="H75" s="92"/>
      <c r="I75" s="60" t="str">
        <f t="shared" si="28"/>
        <v>-</v>
      </c>
      <c r="J75" s="62"/>
      <c r="K75" s="59"/>
      <c r="L75" s="60" t="str">
        <f t="shared" si="34"/>
        <v>-</v>
      </c>
      <c r="M75" s="62"/>
      <c r="N75" s="59"/>
      <c r="O75" s="60" t="str">
        <f t="shared" si="29"/>
        <v>-</v>
      </c>
      <c r="P75" s="62"/>
      <c r="Q75" s="59"/>
      <c r="R75" s="60" t="str">
        <f t="shared" si="30"/>
        <v>-</v>
      </c>
      <c r="S75" s="62"/>
      <c r="T75" s="59"/>
      <c r="U75" s="60" t="str">
        <f t="shared" si="32"/>
        <v>-</v>
      </c>
      <c r="V75" s="62"/>
      <c r="W75" s="59"/>
      <c r="X75" s="60" t="str">
        <f t="shared" si="33"/>
        <v>-</v>
      </c>
      <c r="Y75" s="62"/>
      <c r="Z75" s="59"/>
      <c r="AA75" s="60" t="str">
        <f t="shared" si="31"/>
        <v>-</v>
      </c>
      <c r="AB75" s="61"/>
      <c r="AH75" s="30"/>
    </row>
    <row r="76" spans="1:34" x14ac:dyDescent="0.2">
      <c r="A76" s="35"/>
      <c r="B76" s="80"/>
      <c r="C76" s="57"/>
      <c r="D76" s="62"/>
      <c r="E76" s="92"/>
      <c r="F76" s="60" t="str">
        <f t="shared" si="35"/>
        <v>-</v>
      </c>
      <c r="G76" s="62"/>
      <c r="H76" s="92"/>
      <c r="I76" s="60" t="str">
        <f t="shared" si="28"/>
        <v>-</v>
      </c>
      <c r="J76" s="62"/>
      <c r="K76" s="59"/>
      <c r="L76" s="60" t="str">
        <f t="shared" si="34"/>
        <v>-</v>
      </c>
      <c r="M76" s="62"/>
      <c r="N76" s="59"/>
      <c r="O76" s="60" t="str">
        <f t="shared" si="29"/>
        <v>-</v>
      </c>
      <c r="P76" s="62"/>
      <c r="Q76" s="59"/>
      <c r="R76" s="60" t="str">
        <f t="shared" si="30"/>
        <v>-</v>
      </c>
      <c r="S76" s="62"/>
      <c r="T76" s="59"/>
      <c r="U76" s="60" t="str">
        <f t="shared" si="32"/>
        <v>-</v>
      </c>
      <c r="V76" s="62"/>
      <c r="W76" s="59"/>
      <c r="X76" s="60" t="str">
        <f t="shared" si="33"/>
        <v>-</v>
      </c>
      <c r="Y76" s="62"/>
      <c r="Z76" s="59"/>
      <c r="AA76" s="60" t="str">
        <f t="shared" si="31"/>
        <v>-</v>
      </c>
      <c r="AB76" s="61"/>
      <c r="AH76" s="30"/>
    </row>
    <row r="77" spans="1:34" x14ac:dyDescent="0.2">
      <c r="A77" s="35"/>
      <c r="B77" s="80"/>
      <c r="C77" s="57"/>
      <c r="D77" s="77"/>
      <c r="E77" s="92"/>
      <c r="F77" s="60" t="str">
        <f t="shared" ref="F77:F79" si="36">IFERROR((E77/D77)*100,"-")</f>
        <v>-</v>
      </c>
      <c r="G77" s="77"/>
      <c r="H77" s="92"/>
      <c r="I77" s="60" t="str">
        <f t="shared" si="28"/>
        <v>-</v>
      </c>
      <c r="J77" s="77"/>
      <c r="K77" s="92"/>
      <c r="L77" s="60" t="str">
        <f t="shared" si="34"/>
        <v>-</v>
      </c>
      <c r="M77" s="77"/>
      <c r="N77" s="92"/>
      <c r="O77" s="60" t="str">
        <f t="shared" si="29"/>
        <v>-</v>
      </c>
      <c r="P77" s="77"/>
      <c r="Q77" s="92"/>
      <c r="R77" s="60" t="str">
        <f t="shared" si="30"/>
        <v>-</v>
      </c>
      <c r="S77" s="77"/>
      <c r="T77" s="92"/>
      <c r="U77" s="60" t="str">
        <f t="shared" si="32"/>
        <v>-</v>
      </c>
      <c r="V77" s="77"/>
      <c r="W77" s="92"/>
      <c r="X77" s="60" t="str">
        <f t="shared" si="33"/>
        <v>-</v>
      </c>
      <c r="Y77" s="62"/>
      <c r="Z77" s="58"/>
      <c r="AA77" s="60" t="str">
        <f t="shared" si="31"/>
        <v>-</v>
      </c>
      <c r="AB77" s="61"/>
    </row>
    <row r="78" spans="1:34" x14ac:dyDescent="0.2">
      <c r="A78" s="35"/>
      <c r="B78" s="80"/>
      <c r="C78" s="57"/>
      <c r="D78" s="77"/>
      <c r="E78" s="92"/>
      <c r="F78" s="60" t="str">
        <f t="shared" si="36"/>
        <v>-</v>
      </c>
      <c r="G78" s="77"/>
      <c r="H78" s="92"/>
      <c r="I78" s="60" t="str">
        <f t="shared" si="28"/>
        <v>-</v>
      </c>
      <c r="J78" s="77"/>
      <c r="K78" s="92"/>
      <c r="L78" s="60" t="str">
        <f t="shared" si="34"/>
        <v>-</v>
      </c>
      <c r="M78" s="77"/>
      <c r="N78" s="92"/>
      <c r="O78" s="60" t="str">
        <f t="shared" si="29"/>
        <v>-</v>
      </c>
      <c r="P78" s="77"/>
      <c r="Q78" s="92"/>
      <c r="R78" s="60" t="str">
        <f t="shared" si="30"/>
        <v>-</v>
      </c>
      <c r="S78" s="77"/>
      <c r="T78" s="92"/>
      <c r="U78" s="60" t="str">
        <f t="shared" si="32"/>
        <v>-</v>
      </c>
      <c r="V78" s="77"/>
      <c r="W78" s="92"/>
      <c r="X78" s="60" t="str">
        <f t="shared" si="33"/>
        <v>-</v>
      </c>
      <c r="Y78" s="62"/>
      <c r="Z78" s="59"/>
      <c r="AA78" s="60" t="str">
        <f t="shared" si="31"/>
        <v>-</v>
      </c>
      <c r="AB78" s="61"/>
    </row>
    <row r="79" spans="1:34" ht="13.5" thickBot="1" x14ac:dyDescent="0.25">
      <c r="A79" s="46"/>
      <c r="B79" s="84"/>
      <c r="C79" s="67"/>
      <c r="D79" s="78"/>
      <c r="E79" s="94"/>
      <c r="F79" s="70" t="str">
        <f t="shared" si="36"/>
        <v>-</v>
      </c>
      <c r="G79" s="78"/>
      <c r="H79" s="94"/>
      <c r="I79" s="70" t="str">
        <f t="shared" si="28"/>
        <v>-</v>
      </c>
      <c r="J79" s="78"/>
      <c r="K79" s="94"/>
      <c r="L79" s="70" t="str">
        <f t="shared" si="34"/>
        <v>-</v>
      </c>
      <c r="M79" s="78"/>
      <c r="N79" s="94"/>
      <c r="O79" s="70" t="str">
        <f t="shared" si="29"/>
        <v>-</v>
      </c>
      <c r="P79" s="78"/>
      <c r="Q79" s="94"/>
      <c r="R79" s="70" t="str">
        <f t="shared" si="30"/>
        <v>-</v>
      </c>
      <c r="S79" s="78"/>
      <c r="T79" s="94"/>
      <c r="U79" s="70" t="str">
        <f t="shared" si="32"/>
        <v>-</v>
      </c>
      <c r="V79" s="78"/>
      <c r="W79" s="94"/>
      <c r="X79" s="70" t="str">
        <f t="shared" si="33"/>
        <v>-</v>
      </c>
      <c r="Y79" s="72"/>
      <c r="Z79" s="69"/>
      <c r="AA79" s="70" t="str">
        <f t="shared" si="31"/>
        <v>-</v>
      </c>
      <c r="AB79" s="73"/>
    </row>
    <row r="80" spans="1:34" ht="13.5" thickBot="1" x14ac:dyDescent="0.25">
      <c r="A80" s="177" t="s">
        <v>29</v>
      </c>
      <c r="B80" s="177" t="s">
        <v>22</v>
      </c>
      <c r="C80" s="179" t="s">
        <v>2</v>
      </c>
      <c r="D80" s="158" t="s">
        <v>0</v>
      </c>
      <c r="E80" s="158" t="s">
        <v>1</v>
      </c>
      <c r="F80" s="40" t="s">
        <v>3</v>
      </c>
      <c r="G80" s="158" t="s">
        <v>0</v>
      </c>
      <c r="H80" s="158" t="s">
        <v>1</v>
      </c>
      <c r="I80" s="40" t="s">
        <v>3</v>
      </c>
      <c r="J80" s="158" t="s">
        <v>0</v>
      </c>
      <c r="K80" s="158" t="s">
        <v>1</v>
      </c>
      <c r="L80" s="40" t="s">
        <v>3</v>
      </c>
      <c r="M80" s="158" t="s">
        <v>0</v>
      </c>
      <c r="N80" s="158" t="s">
        <v>1</v>
      </c>
      <c r="O80" s="40" t="s">
        <v>3</v>
      </c>
      <c r="P80" s="158" t="s">
        <v>0</v>
      </c>
      <c r="Q80" s="158" t="s">
        <v>1</v>
      </c>
      <c r="R80" s="40" t="s">
        <v>3</v>
      </c>
      <c r="S80" s="158" t="s">
        <v>0</v>
      </c>
      <c r="T80" s="162" t="s">
        <v>1</v>
      </c>
      <c r="U80" s="40" t="s">
        <v>3</v>
      </c>
      <c r="V80" s="158" t="s">
        <v>0</v>
      </c>
      <c r="W80" s="158" t="s">
        <v>1</v>
      </c>
      <c r="X80" s="40" t="s">
        <v>3</v>
      </c>
      <c r="Y80" s="158" t="s">
        <v>0</v>
      </c>
      <c r="Z80" s="158" t="s">
        <v>1</v>
      </c>
      <c r="AA80" s="40" t="s">
        <v>3</v>
      </c>
      <c r="AB80" s="160" t="s">
        <v>23</v>
      </c>
    </row>
    <row r="81" spans="1:35" ht="13.5" thickBot="1" x14ac:dyDescent="0.25">
      <c r="A81" s="178"/>
      <c r="B81" s="178"/>
      <c r="C81" s="180"/>
      <c r="D81" s="159"/>
      <c r="E81" s="159"/>
      <c r="F81" s="11" t="s">
        <v>5</v>
      </c>
      <c r="G81" s="159"/>
      <c r="H81" s="159"/>
      <c r="I81" s="11" t="s">
        <v>5</v>
      </c>
      <c r="J81" s="159"/>
      <c r="K81" s="159"/>
      <c r="L81" s="11" t="s">
        <v>5</v>
      </c>
      <c r="M81" s="159"/>
      <c r="N81" s="159"/>
      <c r="O81" s="11" t="s">
        <v>5</v>
      </c>
      <c r="P81" s="159"/>
      <c r="Q81" s="159"/>
      <c r="R81" s="11" t="s">
        <v>5</v>
      </c>
      <c r="S81" s="159"/>
      <c r="T81" s="163"/>
      <c r="U81" s="47" t="s">
        <v>5</v>
      </c>
      <c r="V81" s="159"/>
      <c r="W81" s="159"/>
      <c r="X81" s="11" t="s">
        <v>5</v>
      </c>
      <c r="Y81" s="159"/>
      <c r="Z81" s="159"/>
      <c r="AA81" s="11" t="s">
        <v>5</v>
      </c>
      <c r="AB81" s="161"/>
    </row>
    <row r="82" spans="1:35" x14ac:dyDescent="0.2">
      <c r="A82" s="43"/>
      <c r="B82" s="79"/>
      <c r="C82" s="51"/>
      <c r="D82" s="95"/>
      <c r="E82" s="95"/>
      <c r="F82" s="54" t="str">
        <f>IFERROR((E82/D82)*100,"-")</f>
        <v>-</v>
      </c>
      <c r="G82" s="95"/>
      <c r="H82" s="95"/>
      <c r="I82" s="54" t="str">
        <f>IFERROR((H82/G82)*100,"-")</f>
        <v>-</v>
      </c>
      <c r="J82" s="95"/>
      <c r="K82" s="95"/>
      <c r="L82" s="54" t="str">
        <f>IFERROR((K82/J82)*100,"-")</f>
        <v>-</v>
      </c>
      <c r="M82" s="95"/>
      <c r="N82" s="95"/>
      <c r="O82" s="54" t="str">
        <f>IFERROR((N82/M82)*100,"-")</f>
        <v>-</v>
      </c>
      <c r="P82" s="95"/>
      <c r="Q82" s="95"/>
      <c r="R82" s="54" t="str">
        <f>IFERROR((Q82/P82)*100,"-")</f>
        <v>-</v>
      </c>
      <c r="S82" s="95"/>
      <c r="T82" s="95"/>
      <c r="U82" s="54" t="str">
        <f>IFERROR((T82/S82)*100,"-")</f>
        <v>-</v>
      </c>
      <c r="V82" s="95"/>
      <c r="W82" s="95"/>
      <c r="X82" s="54" t="str">
        <f>IFERROR((W82/V82)*100,"-")</f>
        <v>-</v>
      </c>
      <c r="Y82" s="74"/>
      <c r="Z82" s="96"/>
      <c r="AA82" s="54" t="str">
        <f>IFERROR((Z82/Y82)*100,"-")</f>
        <v>-</v>
      </c>
      <c r="AB82" s="97"/>
    </row>
    <row r="83" spans="1:35" x14ac:dyDescent="0.2">
      <c r="A83" s="35"/>
      <c r="B83" s="80"/>
      <c r="C83" s="57"/>
      <c r="D83" s="98"/>
      <c r="E83" s="98"/>
      <c r="F83" s="60" t="str">
        <f>IFERROR((E83/D83)*100,"-")</f>
        <v>-</v>
      </c>
      <c r="G83" s="98"/>
      <c r="H83" s="98"/>
      <c r="I83" s="60" t="str">
        <f>IFERROR((H83/G83)*100,"-")</f>
        <v>-</v>
      </c>
      <c r="J83" s="98"/>
      <c r="K83" s="98"/>
      <c r="L83" s="60" t="str">
        <f>IFERROR((K83/J83)*100,"-")</f>
        <v>-</v>
      </c>
      <c r="M83" s="98"/>
      <c r="N83" s="98"/>
      <c r="O83" s="60" t="str">
        <f>IFERROR((N83/M83)*100,"-")</f>
        <v>-</v>
      </c>
      <c r="P83" s="98"/>
      <c r="Q83" s="98"/>
      <c r="R83" s="60" t="str">
        <f>IFERROR((Q83/P83)*100,"-")</f>
        <v>-</v>
      </c>
      <c r="S83" s="98"/>
      <c r="T83" s="98"/>
      <c r="U83" s="60" t="str">
        <f>IFERROR((T83/S83)*100,"-")</f>
        <v>-</v>
      </c>
      <c r="V83" s="98"/>
      <c r="W83" s="98"/>
      <c r="X83" s="60" t="str">
        <f>IFERROR((W83/V83)*100,"-")</f>
        <v>-</v>
      </c>
      <c r="Y83" s="62"/>
      <c r="Z83" s="63"/>
      <c r="AA83" s="60" t="str">
        <f>IFERROR((Z83/Y83)*100,"-")</f>
        <v>-</v>
      </c>
      <c r="AB83" s="99"/>
    </row>
    <row r="84" spans="1:35" x14ac:dyDescent="0.2">
      <c r="A84" s="35"/>
      <c r="B84" s="80"/>
      <c r="C84" s="57"/>
      <c r="D84" s="98"/>
      <c r="E84" s="98"/>
      <c r="F84" s="60" t="str">
        <f>IFERROR((E84/D84)*100,"-")</f>
        <v>-</v>
      </c>
      <c r="G84" s="98"/>
      <c r="H84" s="98"/>
      <c r="I84" s="60" t="str">
        <f>IFERROR((H84/G84)*100,"-")</f>
        <v>-</v>
      </c>
      <c r="J84" s="98"/>
      <c r="K84" s="98"/>
      <c r="L84" s="60" t="str">
        <f>IFERROR((K84/J84)*100,"-")</f>
        <v>-</v>
      </c>
      <c r="M84" s="98"/>
      <c r="N84" s="98"/>
      <c r="O84" s="60" t="str">
        <f>IFERROR((N84/M84)*100,"-")</f>
        <v>-</v>
      </c>
      <c r="P84" s="98"/>
      <c r="Q84" s="98"/>
      <c r="R84" s="60" t="str">
        <f>IFERROR((Q84/P84)*100,"-")</f>
        <v>-</v>
      </c>
      <c r="S84" s="98"/>
      <c r="T84" s="98"/>
      <c r="U84" s="60" t="str">
        <f>IFERROR((T84/S84)*100,"-")</f>
        <v>-</v>
      </c>
      <c r="V84" s="98"/>
      <c r="W84" s="98"/>
      <c r="X84" s="60" t="str">
        <f>IFERROR((W84/V84)*100,"-")</f>
        <v>-</v>
      </c>
      <c r="Y84" s="62"/>
      <c r="Z84" s="63"/>
      <c r="AA84" s="60" t="str">
        <f>IFERROR((Z84/Y84)*100,"-")</f>
        <v>-</v>
      </c>
      <c r="AB84" s="99"/>
    </row>
    <row r="85" spans="1:35" ht="13.5" thickBot="1" x14ac:dyDescent="0.25">
      <c r="A85" s="36"/>
      <c r="B85" s="100"/>
      <c r="C85" s="101"/>
      <c r="D85" s="102"/>
      <c r="E85" s="102"/>
      <c r="F85" s="103" t="str">
        <f>IFERROR((E85/D85)*100,"-")</f>
        <v>-</v>
      </c>
      <c r="G85" s="102"/>
      <c r="H85" s="102"/>
      <c r="I85" s="103" t="str">
        <f>IFERROR((H85/G85)*100,"-")</f>
        <v>-</v>
      </c>
      <c r="J85" s="102"/>
      <c r="K85" s="102"/>
      <c r="L85" s="103" t="str">
        <f>IFERROR((K85/J85)*100,"-")</f>
        <v>-</v>
      </c>
      <c r="M85" s="102"/>
      <c r="N85" s="102"/>
      <c r="O85" s="103" t="str">
        <f>IFERROR((N85/M85)*100,"-")</f>
        <v>-</v>
      </c>
      <c r="P85" s="102"/>
      <c r="Q85" s="102"/>
      <c r="R85" s="103" t="str">
        <f>IFERROR((Q85/P85)*100,"-")</f>
        <v>-</v>
      </c>
      <c r="S85" s="102"/>
      <c r="T85" s="102"/>
      <c r="U85" s="103" t="str">
        <f>IFERROR((T85/S85)*100,"-")</f>
        <v>-</v>
      </c>
      <c r="V85" s="102"/>
      <c r="W85" s="102"/>
      <c r="X85" s="103" t="str">
        <f>IFERROR((W85/V85)*100,"-")</f>
        <v>-</v>
      </c>
      <c r="Y85" s="104"/>
      <c r="Z85" s="105"/>
      <c r="AA85" s="103"/>
      <c r="AB85" s="106"/>
    </row>
    <row r="86" spans="1:35" ht="25.5" x14ac:dyDescent="0.2">
      <c r="A86" s="126" t="s">
        <v>30</v>
      </c>
      <c r="B86" s="127"/>
      <c r="C86" s="128"/>
      <c r="D86" s="129"/>
      <c r="E86" s="130"/>
      <c r="F86" s="131"/>
      <c r="G86" s="129"/>
      <c r="H86" s="130"/>
      <c r="I86" s="132"/>
      <c r="J86" s="129"/>
      <c r="K86" s="133"/>
      <c r="L86" s="134"/>
      <c r="M86" s="129"/>
      <c r="N86" s="130"/>
      <c r="O86" s="134"/>
      <c r="P86" s="129"/>
      <c r="Q86" s="130"/>
      <c r="R86" s="132"/>
      <c r="S86" s="129"/>
      <c r="T86" s="130"/>
      <c r="U86" s="134"/>
      <c r="V86" s="129"/>
      <c r="W86" s="133"/>
      <c r="X86" s="135"/>
      <c r="Y86" s="129"/>
      <c r="Z86" s="136"/>
      <c r="AA86" s="27"/>
      <c r="AB86" s="137"/>
      <c r="AI86" s="30"/>
    </row>
    <row r="87" spans="1:35" ht="25.5" x14ac:dyDescent="0.2">
      <c r="A87" s="138" t="s">
        <v>31</v>
      </c>
      <c r="B87" s="4"/>
      <c r="C87" s="107"/>
      <c r="D87" s="62"/>
      <c r="E87" s="13"/>
      <c r="F87" s="5"/>
      <c r="G87" s="62"/>
      <c r="H87" s="13"/>
      <c r="I87" s="5"/>
      <c r="J87" s="62"/>
      <c r="K87" s="14"/>
      <c r="L87" s="6"/>
      <c r="M87" s="62"/>
      <c r="N87" s="13"/>
      <c r="O87" s="7"/>
      <c r="P87" s="62"/>
      <c r="Q87" s="16"/>
      <c r="R87" s="5"/>
      <c r="S87" s="62"/>
      <c r="T87" s="13"/>
      <c r="U87" s="6"/>
      <c r="V87" s="62"/>
      <c r="W87" s="14"/>
      <c r="X87" s="25"/>
      <c r="Y87" s="62"/>
      <c r="Z87" s="16"/>
      <c r="AA87" s="28"/>
      <c r="AB87" s="15"/>
      <c r="AI87" s="30"/>
    </row>
    <row r="88" spans="1:35" ht="26.25" thickBot="1" x14ac:dyDescent="0.25">
      <c r="A88" s="139" t="s">
        <v>32</v>
      </c>
      <c r="B88" s="8"/>
      <c r="C88" s="108"/>
      <c r="D88" s="104"/>
      <c r="E88" s="17"/>
      <c r="F88" s="9"/>
      <c r="G88" s="104"/>
      <c r="H88" s="17"/>
      <c r="I88" s="9"/>
      <c r="J88" s="104"/>
      <c r="K88" s="17"/>
      <c r="L88" s="9"/>
      <c r="M88" s="104"/>
      <c r="N88" s="17"/>
      <c r="O88" s="9"/>
      <c r="P88" s="104"/>
      <c r="Q88" s="17"/>
      <c r="R88" s="9"/>
      <c r="S88" s="104"/>
      <c r="T88" s="17"/>
      <c r="U88" s="9"/>
      <c r="V88" s="104"/>
      <c r="W88" s="17"/>
      <c r="X88" s="26"/>
      <c r="Y88" s="104"/>
      <c r="Z88" s="17"/>
      <c r="AA88" s="29"/>
      <c r="AB88" s="140"/>
      <c r="AI88" s="30"/>
    </row>
    <row r="89" spans="1:35" ht="13.5" thickBot="1" x14ac:dyDescent="0.25">
      <c r="A89" s="18"/>
      <c r="B89" s="18"/>
      <c r="C89" s="19"/>
      <c r="D89" s="20"/>
      <c r="E89" s="20"/>
      <c r="F89" s="10"/>
      <c r="G89" s="20"/>
      <c r="H89" s="20"/>
      <c r="I89" s="10"/>
      <c r="J89" s="20"/>
      <c r="K89" s="20"/>
      <c r="L89" s="21"/>
      <c r="M89" s="20"/>
      <c r="N89" s="20"/>
      <c r="O89" s="10"/>
      <c r="P89" s="20"/>
      <c r="Q89" s="20"/>
      <c r="R89" s="10"/>
      <c r="S89" s="20"/>
      <c r="T89" s="20"/>
      <c r="U89" s="10"/>
      <c r="V89" s="20"/>
      <c r="W89" s="20"/>
      <c r="X89" s="22"/>
      <c r="Y89" s="154"/>
      <c r="Z89" s="154"/>
      <c r="AA89" s="23"/>
      <c r="AB89" s="10"/>
    </row>
    <row r="90" spans="1:35" ht="13.5" thickBot="1" x14ac:dyDescent="0.25">
      <c r="A90" s="155" t="s">
        <v>11</v>
      </c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7"/>
    </row>
    <row r="91" spans="1:35" ht="13.5" thickBot="1" x14ac:dyDescent="0.25">
      <c r="A91" s="109" t="s">
        <v>10</v>
      </c>
      <c r="B91" s="109"/>
      <c r="C91" s="110"/>
      <c r="D91" s="111"/>
      <c r="E91" s="111"/>
      <c r="F91" s="110"/>
      <c r="G91" s="111"/>
      <c r="H91" s="111"/>
      <c r="I91" s="110"/>
      <c r="J91" s="111"/>
      <c r="K91" s="111"/>
      <c r="L91" s="110"/>
      <c r="M91" s="111"/>
      <c r="N91" s="111"/>
      <c r="O91" s="110"/>
      <c r="P91" s="112"/>
      <c r="Q91" s="112"/>
      <c r="R91" s="113"/>
      <c r="S91" s="112"/>
      <c r="T91" s="112"/>
      <c r="U91" s="113"/>
      <c r="V91" s="112"/>
      <c r="W91" s="112"/>
      <c r="X91" s="113"/>
      <c r="Y91" s="112"/>
      <c r="Z91" s="112"/>
      <c r="AA91" s="113"/>
      <c r="AB91" s="10"/>
    </row>
    <row r="92" spans="1:35" x14ac:dyDescent="0.2">
      <c r="A92" s="141"/>
      <c r="B92" s="142"/>
      <c r="C92" s="142"/>
      <c r="D92" s="142"/>
      <c r="E92" s="142"/>
      <c r="F92" s="142"/>
      <c r="G92" s="142"/>
      <c r="H92" s="142"/>
      <c r="I92" s="142"/>
      <c r="J92" s="142"/>
      <c r="K92" s="142"/>
      <c r="L92" s="142"/>
      <c r="M92" s="142"/>
      <c r="N92" s="142"/>
      <c r="O92" s="142"/>
      <c r="P92" s="142"/>
      <c r="Q92" s="142"/>
      <c r="R92" s="142"/>
      <c r="S92" s="142"/>
      <c r="T92" s="142"/>
      <c r="U92" s="142"/>
      <c r="V92" s="142"/>
      <c r="W92" s="142"/>
      <c r="X92" s="142"/>
      <c r="Y92" s="142"/>
      <c r="Z92" s="142"/>
      <c r="AA92" s="142"/>
      <c r="AB92" s="143"/>
    </row>
    <row r="93" spans="1:35" x14ac:dyDescent="0.2">
      <c r="A93" s="144"/>
      <c r="B93" s="145"/>
      <c r="C93" s="145"/>
      <c r="D93" s="145"/>
      <c r="E93" s="145"/>
      <c r="F93" s="145"/>
      <c r="G93" s="145"/>
      <c r="H93" s="145"/>
      <c r="I93" s="145"/>
      <c r="J93" s="145"/>
      <c r="K93" s="145"/>
      <c r="L93" s="145"/>
      <c r="M93" s="145"/>
      <c r="N93" s="145"/>
      <c r="O93" s="145"/>
      <c r="P93" s="145"/>
      <c r="Q93" s="145"/>
      <c r="R93" s="145"/>
      <c r="S93" s="145"/>
      <c r="T93" s="145"/>
      <c r="U93" s="145"/>
      <c r="V93" s="145"/>
      <c r="W93" s="145"/>
      <c r="X93" s="145"/>
      <c r="Y93" s="145"/>
      <c r="Z93" s="145"/>
      <c r="AA93" s="145"/>
      <c r="AB93" s="146"/>
    </row>
    <row r="94" spans="1:35" x14ac:dyDescent="0.2">
      <c r="A94" s="144"/>
      <c r="B94" s="145"/>
      <c r="C94" s="145"/>
      <c r="D94" s="145"/>
      <c r="E94" s="145"/>
      <c r="F94" s="145"/>
      <c r="G94" s="145"/>
      <c r="H94" s="145"/>
      <c r="I94" s="145"/>
      <c r="J94" s="145"/>
      <c r="K94" s="145"/>
      <c r="L94" s="145"/>
      <c r="M94" s="145"/>
      <c r="N94" s="145"/>
      <c r="O94" s="145"/>
      <c r="P94" s="145"/>
      <c r="Q94" s="145"/>
      <c r="R94" s="145"/>
      <c r="S94" s="145"/>
      <c r="T94" s="145"/>
      <c r="U94" s="145"/>
      <c r="V94" s="145"/>
      <c r="W94" s="145"/>
      <c r="X94" s="145"/>
      <c r="Y94" s="145"/>
      <c r="Z94" s="145"/>
      <c r="AA94" s="145"/>
      <c r="AB94" s="146"/>
    </row>
    <row r="95" spans="1:35" x14ac:dyDescent="0.2">
      <c r="A95" s="144"/>
      <c r="B95" s="145"/>
      <c r="C95" s="145"/>
      <c r="D95" s="145"/>
      <c r="E95" s="145"/>
      <c r="F95" s="145"/>
      <c r="G95" s="145"/>
      <c r="H95" s="145"/>
      <c r="I95" s="145"/>
      <c r="J95" s="145"/>
      <c r="K95" s="145"/>
      <c r="L95" s="145"/>
      <c r="M95" s="145"/>
      <c r="N95" s="145"/>
      <c r="O95" s="145"/>
      <c r="P95" s="145"/>
      <c r="Q95" s="145"/>
      <c r="R95" s="145"/>
      <c r="S95" s="145"/>
      <c r="T95" s="145"/>
      <c r="U95" s="145"/>
      <c r="V95" s="145"/>
      <c r="W95" s="145"/>
      <c r="X95" s="145"/>
      <c r="Y95" s="145"/>
      <c r="Z95" s="145"/>
      <c r="AA95" s="145"/>
      <c r="AB95" s="146"/>
    </row>
    <row r="96" spans="1:35" ht="13.5" thickBot="1" x14ac:dyDescent="0.25">
      <c r="A96" s="147"/>
      <c r="B96" s="148"/>
      <c r="C96" s="148"/>
      <c r="D96" s="148"/>
      <c r="E96" s="148"/>
      <c r="F96" s="148"/>
      <c r="G96" s="148"/>
      <c r="H96" s="148"/>
      <c r="I96" s="148"/>
      <c r="J96" s="148"/>
      <c r="K96" s="148"/>
      <c r="L96" s="148"/>
      <c r="M96" s="148"/>
      <c r="N96" s="148"/>
      <c r="O96" s="148"/>
      <c r="P96" s="148"/>
      <c r="Q96" s="148"/>
      <c r="R96" s="148"/>
      <c r="S96" s="148"/>
      <c r="T96" s="148"/>
      <c r="U96" s="148"/>
      <c r="V96" s="148"/>
      <c r="W96" s="148"/>
      <c r="X96" s="148"/>
      <c r="Y96" s="148"/>
      <c r="Z96" s="148"/>
      <c r="AA96" s="148"/>
      <c r="AB96" s="149"/>
    </row>
    <row r="97" spans="1:28" ht="13.5" thickBot="1" x14ac:dyDescent="0.25">
      <c r="A97" s="114"/>
      <c r="B97" s="114"/>
      <c r="C97" s="150"/>
      <c r="D97" s="151"/>
      <c r="E97" s="151"/>
      <c r="F97" s="151"/>
      <c r="G97" s="151"/>
      <c r="H97" s="151"/>
      <c r="I97" s="151"/>
      <c r="J97" s="151"/>
      <c r="K97" s="151"/>
      <c r="L97" s="151"/>
      <c r="M97" s="151"/>
      <c r="N97" s="151"/>
      <c r="O97" s="151"/>
      <c r="P97" s="151"/>
      <c r="Q97" s="151"/>
      <c r="R97" s="151"/>
      <c r="S97" s="151"/>
      <c r="T97" s="151"/>
      <c r="U97" s="151"/>
      <c r="V97" s="152"/>
      <c r="W97" s="115"/>
      <c r="X97" s="116"/>
      <c r="Y97" s="152"/>
      <c r="Z97" s="152"/>
      <c r="AA97" s="152"/>
      <c r="AB97" s="116"/>
    </row>
    <row r="98" spans="1:28" ht="17.45" customHeight="1" thickBot="1" x14ac:dyDescent="0.25">
      <c r="A98" s="169" t="s">
        <v>34</v>
      </c>
      <c r="B98" s="170"/>
      <c r="C98" s="170"/>
      <c r="D98" s="170"/>
      <c r="E98" s="170"/>
      <c r="F98" s="170"/>
      <c r="G98" s="170"/>
      <c r="H98" s="170"/>
      <c r="I98" s="170"/>
      <c r="J98" s="170"/>
      <c r="K98" s="170"/>
      <c r="L98" s="170"/>
      <c r="M98" s="170"/>
      <c r="N98" s="170"/>
      <c r="O98" s="170"/>
      <c r="P98" s="170"/>
      <c r="Q98" s="170"/>
      <c r="R98" s="170"/>
      <c r="S98" s="170"/>
      <c r="T98" s="170"/>
      <c r="U98" s="170"/>
      <c r="V98" s="170"/>
      <c r="W98" s="170"/>
      <c r="X98" s="170"/>
      <c r="Y98" s="170"/>
      <c r="Z98" s="170"/>
      <c r="AA98" s="170"/>
      <c r="AB98" s="171"/>
    </row>
    <row r="99" spans="1:28" ht="16.149999999999999" customHeight="1" thickBot="1" x14ac:dyDescent="0.25">
      <c r="A99" s="172" t="s">
        <v>35</v>
      </c>
      <c r="B99" s="173"/>
      <c r="C99" s="173"/>
      <c r="D99" s="173"/>
      <c r="E99" s="173"/>
      <c r="F99" s="173"/>
      <c r="G99" s="173"/>
      <c r="H99" s="173"/>
      <c r="I99" s="173"/>
      <c r="J99" s="173"/>
      <c r="K99" s="173"/>
      <c r="L99" s="173"/>
      <c r="M99" s="173"/>
      <c r="N99" s="173"/>
      <c r="O99" s="173"/>
      <c r="P99" s="173"/>
      <c r="Q99" s="173"/>
      <c r="R99" s="173"/>
      <c r="S99" s="173"/>
      <c r="T99" s="173"/>
      <c r="U99" s="173"/>
      <c r="V99" s="173"/>
      <c r="W99" s="173"/>
      <c r="X99" s="173"/>
      <c r="Y99" s="173"/>
      <c r="Z99" s="173"/>
      <c r="AA99" s="173"/>
      <c r="AB99" s="173"/>
    </row>
    <row r="100" spans="1:28" ht="3.6" customHeight="1" x14ac:dyDescent="0.2">
      <c r="A100" s="174"/>
      <c r="B100" s="175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6"/>
    </row>
    <row r="101" spans="1:28" ht="43.15" customHeight="1" x14ac:dyDescent="0.2">
      <c r="A101" s="33" t="s">
        <v>36</v>
      </c>
      <c r="B101" s="32" t="s">
        <v>37</v>
      </c>
      <c r="C101" s="164" t="s">
        <v>38</v>
      </c>
      <c r="D101" s="164"/>
      <c r="E101" s="165" t="s">
        <v>39</v>
      </c>
      <c r="F101" s="165"/>
      <c r="G101" s="166" t="s">
        <v>40</v>
      </c>
      <c r="H101" s="167"/>
      <c r="I101" s="167"/>
      <c r="J101" s="167"/>
      <c r="K101" s="167"/>
      <c r="L101" s="167"/>
      <c r="M101" s="167"/>
      <c r="N101" s="167"/>
      <c r="O101" s="167"/>
      <c r="P101" s="167"/>
      <c r="Q101" s="167"/>
      <c r="R101" s="167"/>
      <c r="S101" s="167"/>
      <c r="T101" s="167"/>
      <c r="U101" s="167"/>
      <c r="V101" s="167"/>
      <c r="W101" s="167"/>
      <c r="X101" s="167"/>
      <c r="Y101" s="167"/>
      <c r="Z101" s="167"/>
      <c r="AA101" s="167"/>
      <c r="AB101" s="168"/>
    </row>
    <row r="102" spans="1:28" ht="4.9000000000000004" customHeight="1" thickBot="1" x14ac:dyDescent="0.25">
      <c r="A102" s="117"/>
      <c r="B102" s="118"/>
      <c r="C102" s="119"/>
      <c r="D102" s="120"/>
      <c r="E102" s="120"/>
      <c r="F102" s="120"/>
      <c r="G102" s="120"/>
      <c r="H102" s="120"/>
      <c r="I102" s="120"/>
      <c r="J102" s="120"/>
      <c r="K102" s="120"/>
      <c r="L102" s="120"/>
      <c r="M102" s="120"/>
      <c r="N102" s="120"/>
      <c r="O102" s="120"/>
      <c r="P102" s="120"/>
      <c r="Q102" s="120"/>
      <c r="R102" s="120"/>
      <c r="S102" s="120"/>
      <c r="T102" s="120"/>
      <c r="U102" s="120"/>
      <c r="V102" s="121"/>
      <c r="W102" s="122"/>
      <c r="X102" s="121"/>
      <c r="Y102" s="121"/>
      <c r="Z102" s="121"/>
      <c r="AA102" s="121"/>
      <c r="AB102" s="123"/>
    </row>
    <row r="103" spans="1:28" x14ac:dyDescent="0.2">
      <c r="A103" s="114"/>
      <c r="B103" s="114"/>
      <c r="C103" s="124"/>
      <c r="D103" s="125"/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125"/>
      <c r="T103" s="125"/>
      <c r="U103" s="125"/>
      <c r="V103" s="116"/>
      <c r="W103" s="115"/>
      <c r="X103" s="116"/>
      <c r="Y103" s="116"/>
      <c r="Z103" s="116"/>
      <c r="AA103" s="116"/>
      <c r="AB103" s="116"/>
    </row>
    <row r="104" spans="1:28" x14ac:dyDescent="0.2">
      <c r="A104" s="153" t="s">
        <v>41</v>
      </c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</row>
  </sheetData>
  <sheetProtection algorithmName="SHA-512" hashValue="zZqmotxB5hkhIkO7uVGRE9amZ3PVQvfEADd424SKdki6znE0UHgAfmZ+fmn4DCD2nMrFZA41r1X8kKobUwR/xg==" saltValue="3+2BZZzpqwdl9NjiLwQnQA==" spinCount="100000" sheet="1" formatCells="0" formatColumns="0" formatRows="0" autoFilter="0"/>
  <mergeCells count="165">
    <mergeCell ref="K6:K7"/>
    <mergeCell ref="A2:AB2"/>
    <mergeCell ref="A1:AB1"/>
    <mergeCell ref="B3:AB3"/>
    <mergeCell ref="A4:AB4"/>
    <mergeCell ref="B5:C5"/>
    <mergeCell ref="D5:F5"/>
    <mergeCell ref="G5:I5"/>
    <mergeCell ref="J5:L5"/>
    <mergeCell ref="Y5:AB5"/>
    <mergeCell ref="V5:X5"/>
    <mergeCell ref="M5:O5"/>
    <mergeCell ref="P5:R5"/>
    <mergeCell ref="S5:U5"/>
    <mergeCell ref="A22:A23"/>
    <mergeCell ref="B22:B23"/>
    <mergeCell ref="C22:C23"/>
    <mergeCell ref="D22:D23"/>
    <mergeCell ref="E22:E23"/>
    <mergeCell ref="Y6:Y7"/>
    <mergeCell ref="Z6:Z7"/>
    <mergeCell ref="AB6:AB7"/>
    <mergeCell ref="T6:T7"/>
    <mergeCell ref="V6:V7"/>
    <mergeCell ref="W6:W7"/>
    <mergeCell ref="M6:M7"/>
    <mergeCell ref="N6:N7"/>
    <mergeCell ref="P6:P7"/>
    <mergeCell ref="Q6:Q7"/>
    <mergeCell ref="S6:S7"/>
    <mergeCell ref="A6:A7"/>
    <mergeCell ref="B6:B7"/>
    <mergeCell ref="C6:C7"/>
    <mergeCell ref="D6:D7"/>
    <mergeCell ref="E6:E7"/>
    <mergeCell ref="G6:G7"/>
    <mergeCell ref="H6:H7"/>
    <mergeCell ref="J6:J7"/>
    <mergeCell ref="N22:N23"/>
    <mergeCell ref="P22:P23"/>
    <mergeCell ref="Q22:Q23"/>
    <mergeCell ref="S22:S23"/>
    <mergeCell ref="T22:T23"/>
    <mergeCell ref="G22:G23"/>
    <mergeCell ref="H22:H23"/>
    <mergeCell ref="J22:J23"/>
    <mergeCell ref="K22:K23"/>
    <mergeCell ref="M22:M23"/>
    <mergeCell ref="A28:A29"/>
    <mergeCell ref="B28:B29"/>
    <mergeCell ref="C28:C29"/>
    <mergeCell ref="D28:D29"/>
    <mergeCell ref="E28:E29"/>
    <mergeCell ref="G28:G29"/>
    <mergeCell ref="H28:H29"/>
    <mergeCell ref="J28:J29"/>
    <mergeCell ref="K28:K29"/>
    <mergeCell ref="Y22:Y23"/>
    <mergeCell ref="Z22:Z23"/>
    <mergeCell ref="AB22:AB23"/>
    <mergeCell ref="AB52:AB53"/>
    <mergeCell ref="T52:T53"/>
    <mergeCell ref="V52:V53"/>
    <mergeCell ref="W52:W53"/>
    <mergeCell ref="Z28:Z29"/>
    <mergeCell ref="AB28:AB29"/>
    <mergeCell ref="V22:V23"/>
    <mergeCell ref="W22:W23"/>
    <mergeCell ref="A52:A53"/>
    <mergeCell ref="B52:B53"/>
    <mergeCell ref="C52:C53"/>
    <mergeCell ref="D52:D53"/>
    <mergeCell ref="E52:E53"/>
    <mergeCell ref="G52:G53"/>
    <mergeCell ref="H52:H53"/>
    <mergeCell ref="J52:J53"/>
    <mergeCell ref="K52:K53"/>
    <mergeCell ref="M52:M53"/>
    <mergeCell ref="N52:N53"/>
    <mergeCell ref="P52:P53"/>
    <mergeCell ref="Q52:Q53"/>
    <mergeCell ref="S52:S53"/>
    <mergeCell ref="V28:V29"/>
    <mergeCell ref="W28:W29"/>
    <mergeCell ref="Y52:Y53"/>
    <mergeCell ref="Z52:Z53"/>
    <mergeCell ref="Y28:Y29"/>
    <mergeCell ref="Q28:Q29"/>
    <mergeCell ref="S28:S29"/>
    <mergeCell ref="T28:T29"/>
    <mergeCell ref="M28:M29"/>
    <mergeCell ref="N28:N29"/>
    <mergeCell ref="P28:P29"/>
    <mergeCell ref="P63:P64"/>
    <mergeCell ref="Q63:Q64"/>
    <mergeCell ref="S63:S64"/>
    <mergeCell ref="T63:T64"/>
    <mergeCell ref="G63:G64"/>
    <mergeCell ref="H63:H64"/>
    <mergeCell ref="J63:J64"/>
    <mergeCell ref="K63:K64"/>
    <mergeCell ref="M63:M64"/>
    <mergeCell ref="Y63:Y64"/>
    <mergeCell ref="Z63:Z64"/>
    <mergeCell ref="AB63:AB64"/>
    <mergeCell ref="A67:A68"/>
    <mergeCell ref="B67:B68"/>
    <mergeCell ref="C67:C68"/>
    <mergeCell ref="D67:D68"/>
    <mergeCell ref="E67:E68"/>
    <mergeCell ref="G67:G68"/>
    <mergeCell ref="H67:H68"/>
    <mergeCell ref="J67:J68"/>
    <mergeCell ref="K67:K68"/>
    <mergeCell ref="M67:M68"/>
    <mergeCell ref="N67:N68"/>
    <mergeCell ref="P67:P68"/>
    <mergeCell ref="V63:V64"/>
    <mergeCell ref="W63:W64"/>
    <mergeCell ref="N63:N64"/>
    <mergeCell ref="A63:A64"/>
    <mergeCell ref="B63:B64"/>
    <mergeCell ref="C63:C64"/>
    <mergeCell ref="D63:D64"/>
    <mergeCell ref="E63:E64"/>
    <mergeCell ref="Z67:Z68"/>
    <mergeCell ref="AB67:AB68"/>
    <mergeCell ref="A80:A81"/>
    <mergeCell ref="B80:B81"/>
    <mergeCell ref="C80:C81"/>
    <mergeCell ref="D80:D81"/>
    <mergeCell ref="E80:E81"/>
    <mergeCell ref="G80:G81"/>
    <mergeCell ref="H80:H81"/>
    <mergeCell ref="J80:J81"/>
    <mergeCell ref="K80:K81"/>
    <mergeCell ref="M80:M81"/>
    <mergeCell ref="N80:N81"/>
    <mergeCell ref="P80:P81"/>
    <mergeCell ref="Q80:Q81"/>
    <mergeCell ref="S80:S81"/>
    <mergeCell ref="V67:V68"/>
    <mergeCell ref="W67:W68"/>
    <mergeCell ref="Y67:Y68"/>
    <mergeCell ref="Q67:Q68"/>
    <mergeCell ref="S67:S68"/>
    <mergeCell ref="T67:T68"/>
    <mergeCell ref="A92:AB96"/>
    <mergeCell ref="C97:V97"/>
    <mergeCell ref="Y97:AA97"/>
    <mergeCell ref="A104:AB104"/>
    <mergeCell ref="Y89:Z89"/>
    <mergeCell ref="A90:AB90"/>
    <mergeCell ref="Z80:Z81"/>
    <mergeCell ref="AB80:AB81"/>
    <mergeCell ref="T80:T81"/>
    <mergeCell ref="V80:V81"/>
    <mergeCell ref="W80:W81"/>
    <mergeCell ref="Y80:Y81"/>
    <mergeCell ref="C101:D101"/>
    <mergeCell ref="E101:F101"/>
    <mergeCell ref="G101:AB101"/>
    <mergeCell ref="A98:AB98"/>
    <mergeCell ref="A99:AB99"/>
    <mergeCell ref="A100:AB100"/>
  </mergeCells>
  <conditionalFormatting sqref="U24:U27 X24:X27 AA24:AA27 R24:R27 O24:O27 L24:L27 I24:I27 F24:F27 U54:U62 X54:X62 AA54:AA62 R54:R62 O54:O62 L54:L62 I54:I62 F30:F51 I30:I51 L30:L51 O30:O51 R30:R51 AA30:AA51 X30:X51 U30:U51 F65:F66 I65:I66 L65:L66 O65:O66 R65:R66 AA65:AA66 X65:X66 U65:U66 U69:U79 X69:X79 AA69:AA79 R69:R79 O69:O79 L69:L79 I69:I79 F82:F85 I82:I85 L82:L85 O82:O85 R82:R85 AA82:AA85 X82:X85 U82:U85 F8:F21 I8:I21 L8:L21 O8:O21 R8:R21 AA8:AA21 X8:X21 U8:U21 F69:F79 F54:F62">
    <cfRule type="cellIs" dxfId="19" priority="21" stopIfTrue="1" operator="greaterThanOrEqual">
      <formula>98</formula>
    </cfRule>
    <cfRule type="cellIs" dxfId="18" priority="22" stopIfTrue="1" operator="equal">
      <formula>""</formula>
    </cfRule>
  </conditionalFormatting>
  <conditionalFormatting sqref="F24:F27 I24:I27 L24:L27 O24:O27 R24:R27 U24:U27 X24:X27 AA24:AA27 I54:I62 L54:L62 O54:O62 R54:R62 U54:U62 X54:X62 AA54:AA62 AA30:AA51 X30:X51 U30:U51 R30:R51 O30:O51 L30:L51 I30:I51 F30:F51 AA65:AA66 X65:X66 U65:U66 R65:R66 O65:O66 L65:L66 I65:I66 F65:F66 I69:I79 L69:L79 O69:O79 R69:R79 U69:U79 X69:X79 AA69:AA79 AA82:AA85 X82:X85 U82:U85 R82:R85 O82:O85 L82:L85 I82:I85 F82:F85 AA8:AA21 X8:X21 U8:U21 R8:R21 O8:O21 L8:L21 I8:I21 F8:F21 F69:F79 F54:F62">
    <cfRule type="cellIs" dxfId="17" priority="19" stopIfTrue="1" operator="lessThan">
      <formula>79</formula>
    </cfRule>
    <cfRule type="cellIs" dxfId="16" priority="20" stopIfTrue="1" operator="between">
      <formula>97</formula>
      <formula>80</formula>
    </cfRule>
  </conditionalFormatting>
  <conditionalFormatting sqref="C86:C88">
    <cfRule type="cellIs" dxfId="15" priority="18" stopIfTrue="1" operator="equal">
      <formula>"+"</formula>
    </cfRule>
  </conditionalFormatting>
  <conditionalFormatting sqref="C86:C88">
    <cfRule type="cellIs" dxfId="14" priority="17" stopIfTrue="1" operator="equal">
      <formula>"-"</formula>
    </cfRule>
  </conditionalFormatting>
  <conditionalFormatting sqref="C8:C21">
    <cfRule type="cellIs" dxfId="13" priority="14" stopIfTrue="1" operator="equal">
      <formula>"+"</formula>
    </cfRule>
  </conditionalFormatting>
  <conditionalFormatting sqref="C8:C21">
    <cfRule type="cellIs" dxfId="12" priority="13" stopIfTrue="1" operator="equal">
      <formula>"-"</formula>
    </cfRule>
  </conditionalFormatting>
  <conditionalFormatting sqref="C24:C27">
    <cfRule type="cellIs" dxfId="11" priority="12" stopIfTrue="1" operator="equal">
      <formula>"+"</formula>
    </cfRule>
  </conditionalFormatting>
  <conditionalFormatting sqref="C24:C27">
    <cfRule type="cellIs" dxfId="10" priority="11" stopIfTrue="1" operator="equal">
      <formula>"-"</formula>
    </cfRule>
  </conditionalFormatting>
  <conditionalFormatting sqref="C30:C51">
    <cfRule type="cellIs" dxfId="9" priority="10" stopIfTrue="1" operator="equal">
      <formula>"+"</formula>
    </cfRule>
  </conditionalFormatting>
  <conditionalFormatting sqref="C30:C51">
    <cfRule type="cellIs" dxfId="8" priority="9" stopIfTrue="1" operator="equal">
      <formula>"-"</formula>
    </cfRule>
  </conditionalFormatting>
  <conditionalFormatting sqref="C54:C62">
    <cfRule type="cellIs" dxfId="7" priority="8" stopIfTrue="1" operator="equal">
      <formula>"+"</formula>
    </cfRule>
  </conditionalFormatting>
  <conditionalFormatting sqref="C54:C62">
    <cfRule type="cellIs" dxfId="6" priority="7" stopIfTrue="1" operator="equal">
      <formula>"-"</formula>
    </cfRule>
  </conditionalFormatting>
  <conditionalFormatting sqref="C65:C66">
    <cfRule type="cellIs" dxfId="5" priority="6" stopIfTrue="1" operator="equal">
      <formula>"+"</formula>
    </cfRule>
  </conditionalFormatting>
  <conditionalFormatting sqref="C65:C66">
    <cfRule type="cellIs" dxfId="4" priority="5" stopIfTrue="1" operator="equal">
      <formula>"-"</formula>
    </cfRule>
  </conditionalFormatting>
  <conditionalFormatting sqref="C69:C79">
    <cfRule type="cellIs" dxfId="3" priority="4" stopIfTrue="1" operator="equal">
      <formula>"+"</formula>
    </cfRule>
  </conditionalFormatting>
  <conditionalFormatting sqref="C69:C79">
    <cfRule type="cellIs" dxfId="2" priority="3" stopIfTrue="1" operator="equal">
      <formula>"-"</formula>
    </cfRule>
  </conditionalFormatting>
  <conditionalFormatting sqref="C82:C85">
    <cfRule type="cellIs" dxfId="1" priority="2" stopIfTrue="1" operator="equal">
      <formula>"+"</formula>
    </cfRule>
  </conditionalFormatting>
  <conditionalFormatting sqref="C82:C85">
    <cfRule type="cellIs" dxfId="0" priority="1" stopIfTrue="1" operator="equal">
      <formula>"-"</formula>
    </cfRule>
  </conditionalFormatting>
  <dataValidations count="2">
    <dataValidation type="list" allowBlank="1" showInputMessage="1" showErrorMessage="1" sqref="B8:B21 B24:B27 B30:B51 B54:B62 B65:B66 B69:B79 B82:B85" xr:uid="{00000000-0002-0000-0000-000000000000}">
      <formula1>"%, R$, Número, Nº/TNS, Nº/TNSE, R$ mil/TNSE, R$ mil/TNS, Horas/ Funcionário, Horas/ Gestor, m³, kWh"</formula1>
    </dataValidation>
    <dataValidation type="list" allowBlank="1" showInputMessage="1" showErrorMessage="1" sqref="C8:C21 C24:C27 C30:C51 C54:C62 C65:C66 C69:C79 C82:C85" xr:uid="{00000000-0002-0000-0000-000001000000}">
      <formula1>"+,-,="</formula1>
    </dataValidation>
  </dataValidations>
  <printOptions verticalCentered="1"/>
  <pageMargins left="0.39370078740157483" right="0" top="0" bottom="0" header="0.19685039370078741" footer="0"/>
  <pageSetup paperSize="9" scale="55" fitToHeight="0" orientation="landscape" r:id="rId1"/>
  <headerFooter alignWithMargins="0">
    <oddHeader>&amp;R&amp;P/&amp;N</oddHeader>
    <oddFooter>&amp;LFQ-08.24 (anexo a IT-08.01.04) - RA - revisão 06 de 02/01/24 - Página&amp;P/&amp;N</oddFooter>
  </headerFooter>
  <rowBreaks count="1" manualBreakCount="1">
    <brk id="51" max="27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ão1_Clique">
                <anchor moveWithCells="1" sizeWithCells="1">
                  <from>
                    <xdr:col>28</xdr:col>
                    <xdr:colOff>133350</xdr:colOff>
                    <xdr:row>3</xdr:row>
                    <xdr:rowOff>0</xdr:rowOff>
                  </from>
                  <to>
                    <xdr:col>29</xdr:col>
                    <xdr:colOff>581025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tão2_Clique">
                <anchor moveWithCells="1" sizeWithCells="1">
                  <from>
                    <xdr:col>30</xdr:col>
                    <xdr:colOff>57150</xdr:colOff>
                    <xdr:row>2</xdr:row>
                    <xdr:rowOff>180975</xdr:rowOff>
                  </from>
                  <to>
                    <xdr:col>31</xdr:col>
                    <xdr:colOff>590550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RowHeight="12.75" x14ac:dyDescent="0.2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FQ-08.24</vt:lpstr>
      <vt:lpstr>Plan1</vt:lpstr>
      <vt:lpstr>'FQ-08.24'!Area_de_impressao</vt:lpstr>
      <vt:lpstr>'FQ-08.24'!Titulos_de_impressao</vt:lpstr>
    </vt:vector>
  </TitlesOfParts>
  <Company>ITAL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ITAL</dc:creator>
  <cp:lastModifiedBy>SGQ</cp:lastModifiedBy>
  <cp:lastPrinted>2023-12-14T17:05:43Z</cp:lastPrinted>
  <dcterms:created xsi:type="dcterms:W3CDTF">2002-08-26T18:08:42Z</dcterms:created>
  <dcterms:modified xsi:type="dcterms:W3CDTF">2023-12-14T18:27:59Z</dcterms:modified>
</cp:coreProperties>
</file>