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AE6600E7-7A62-396C-DE95-9942FA9DD81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\\192.168.89.2\qualidadera-21\Novos Documentos RA-133\Aprovados\2023\F 12 05 2023\"/>
    </mc:Choice>
  </mc:AlternateContent>
  <xr:revisionPtr revIDLastSave="0" documentId="13_ncr:1_{FB9C38A9-1213-4F56-A7C0-D4A1EE97B9BB}" xr6:coauthVersionLast="45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limentação de dados " sheetId="8" r:id="rId1"/>
    <sheet name="Planilha final " sheetId="9" r:id="rId2"/>
    <sheet name="Comentários" sheetId="3" r:id="rId3"/>
  </sheets>
  <definedNames>
    <definedName name="_xlnm.Print_Area" localSheetId="0">'Alimentação de dados '!$A$1:$I$20</definedName>
    <definedName name="_xlnm.Print_Area" localSheetId="2">Comentários!$A$1:$B$17</definedName>
    <definedName name="_xlnm.Print_Area" localSheetId="1">'Planilha final '!$A$1:$G$26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3" l="1"/>
  <c r="A2" i="3"/>
  <c r="A2" i="9"/>
  <c r="A3" i="9"/>
  <c r="H14" i="8"/>
  <c r="D14" i="8"/>
  <c r="D16" i="8"/>
  <c r="E14" i="8"/>
  <c r="I16" i="8"/>
  <c r="H16" i="8"/>
  <c r="G14" i="8"/>
  <c r="E15" i="8"/>
  <c r="G15" i="8"/>
  <c r="F15" i="8"/>
  <c r="D15" i="8"/>
  <c r="I14" i="8"/>
  <c r="F14" i="8"/>
  <c r="I15" i="8"/>
  <c r="G16" i="8"/>
  <c r="C17" i="8"/>
  <c r="E16" i="8"/>
  <c r="F16" i="8"/>
  <c r="H15" i="8"/>
  <c r="A1" i="9" l="1"/>
  <c r="A1" i="3" l="1"/>
  <c r="E13" i="8"/>
  <c r="G10" i="8"/>
  <c r="D11" i="8"/>
  <c r="F12" i="8"/>
  <c r="I13" i="8"/>
  <c r="E12" i="8"/>
  <c r="H13" i="8"/>
  <c r="H11" i="8"/>
  <c r="H12" i="8"/>
  <c r="G12" i="8"/>
  <c r="E11" i="8"/>
  <c r="D10" i="8"/>
  <c r="H10" i="8"/>
  <c r="F10" i="8"/>
  <c r="G11" i="8"/>
  <c r="D12" i="8"/>
  <c r="I10" i="8"/>
  <c r="G13" i="8"/>
  <c r="I11" i="8"/>
  <c r="F11" i="8"/>
  <c r="E10" i="8"/>
  <c r="D13" i="8"/>
  <c r="F13" i="8"/>
  <c r="I12" i="8"/>
  <c r="C25" i="9" l="1"/>
  <c r="C24" i="9"/>
  <c r="G5" i="9"/>
  <c r="F5" i="9"/>
  <c r="E5" i="9"/>
  <c r="D5" i="9"/>
  <c r="C5" i="9"/>
  <c r="E7" i="9" l="1"/>
  <c r="F8" i="9"/>
  <c r="F9" i="9"/>
  <c r="D7" i="9"/>
  <c r="E8" i="9"/>
  <c r="E9" i="9"/>
  <c r="F10" i="9"/>
  <c r="C7" i="9"/>
  <c r="D8" i="9"/>
  <c r="D9" i="9"/>
  <c r="C10" i="9"/>
  <c r="E10" i="9"/>
  <c r="F7" i="9"/>
  <c r="C8" i="9"/>
  <c r="C9" i="9"/>
  <c r="G10" i="9"/>
  <c r="D10" i="9"/>
  <c r="G6" i="9"/>
  <c r="F6" i="9"/>
  <c r="E6" i="9"/>
  <c r="D6" i="9"/>
  <c r="C6" i="9"/>
  <c r="G9" i="9" l="1"/>
  <c r="G7" i="9"/>
  <c r="G8" i="9"/>
  <c r="C18" i="9" l="1"/>
  <c r="D18" i="9"/>
  <c r="C11" i="9" l="1"/>
  <c r="G11" i="9" l="1"/>
  <c r="E11" i="9" l="1"/>
  <c r="F11" i="9" l="1"/>
  <c r="D11" i="9" l="1"/>
  <c r="F17" i="8" l="1"/>
  <c r="D13" i="9" s="1"/>
  <c r="D12" i="9"/>
  <c r="G12" i="9" l="1"/>
  <c r="I17" i="8"/>
  <c r="G13" i="9" s="1"/>
  <c r="E12" i="9" l="1"/>
  <c r="G17" i="8"/>
  <c r="E13" i="9" s="1"/>
  <c r="D17" i="8" l="1"/>
  <c r="C12" i="9" l="1"/>
  <c r="E17" i="8"/>
  <c r="C13" i="9" s="1"/>
  <c r="C22" i="9" s="1"/>
  <c r="H17" i="8" l="1"/>
  <c r="F13" i="9" s="1"/>
  <c r="F12" i="9"/>
  <c r="C19" i="9" s="1"/>
  <c r="D19" i="9" l="1"/>
  <c r="C23" i="9"/>
  <c r="G14" i="9"/>
</calcChain>
</file>

<file path=xl/sharedStrings.xml><?xml version="1.0" encoding="utf-8"?>
<sst xmlns="http://schemas.openxmlformats.org/spreadsheetml/2006/main" count="56" uniqueCount="44">
  <si>
    <t>Qualidade do conteúdo</t>
  </si>
  <si>
    <t>Clareza e objetividade</t>
  </si>
  <si>
    <t>Comunicação e linguagem</t>
  </si>
  <si>
    <t>F1</t>
  </si>
  <si>
    <t>Nº de respostas</t>
  </si>
  <si>
    <t>ÓTIMO</t>
  </si>
  <si>
    <t>BOM</t>
  </si>
  <si>
    <t>REGULAR</t>
  </si>
  <si>
    <t>RUIM</t>
  </si>
  <si>
    <t>PÉSSIMO</t>
  </si>
  <si>
    <t>TOTAL</t>
  </si>
  <si>
    <t>Formulário</t>
  </si>
  <si>
    <t>Itens avaliados:</t>
  </si>
  <si>
    <t>Atendimento dos objetivos propostos</t>
  </si>
  <si>
    <t>SATISFAÇÃO GERAL</t>
  </si>
  <si>
    <t>INSATISFAÇÃO GERAL</t>
  </si>
  <si>
    <t>Carga horária</t>
  </si>
  <si>
    <t>Aplicabilidade do conteúdo (somente treinamento)</t>
  </si>
  <si>
    <t>Atualizado em:</t>
  </si>
  <si>
    <t>Itens avaliados</t>
  </si>
  <si>
    <t>Cumprimento do progama (somente treinamento)</t>
  </si>
  <si>
    <t>Palestrante/
Instrutor (a)</t>
  </si>
  <si>
    <t>Aspectos gerais da palestra/
treinamento</t>
  </si>
  <si>
    <t>Formulários respondidos</t>
  </si>
  <si>
    <t>Número de participantes:</t>
  </si>
  <si>
    <t>Número de respondentes:</t>
  </si>
  <si>
    <t>RESULTADOS</t>
  </si>
  <si>
    <t>% Satisfação</t>
  </si>
  <si>
    <t>% Insatisfação</t>
  </si>
  <si>
    <t>Avaliação dos aspectos gerais da palestra/treinamento</t>
  </si>
  <si>
    <t>Resultados por item avaliado</t>
  </si>
  <si>
    <t>Resultados gerais</t>
  </si>
  <si>
    <t>Comentários/Sugestões</t>
  </si>
  <si>
    <t>Data:</t>
  </si>
  <si>
    <t>Tipo:</t>
  </si>
  <si>
    <t>Título:</t>
  </si>
  <si>
    <t>Instrutor:</t>
  </si>
  <si>
    <r>
      <t xml:space="preserve">Responsável </t>
    </r>
    <r>
      <rPr>
        <sz val="10"/>
        <color theme="1"/>
        <rFont val="Arial"/>
        <family val="2"/>
      </rPr>
      <t>(preenchimento):</t>
    </r>
  </si>
  <si>
    <t>TABULAÇÃO DE AVALIAÇÕES DE PALESTRA/TREINAMENTO INTERNO REMOTO</t>
  </si>
  <si>
    <r>
      <rPr>
        <u/>
        <sz val="10"/>
        <color indexed="8"/>
        <rFont val="Arial"/>
        <family val="2"/>
      </rPr>
      <t>Instrução</t>
    </r>
    <r>
      <rPr>
        <sz val="10"/>
        <color indexed="8"/>
        <rFont val="Arial"/>
        <family val="2"/>
      </rPr>
      <t>:  Os formulários respondidos devem ser codificados como F1, F2, F3 etc., de acordo com a quantidade de formulários. Para lançamento das avaliações considera-se: 5 = Ótimo; 4 = Bom; 3 = Regular; 2 = Ruim e 1 = Péssimo.</t>
    </r>
  </si>
  <si>
    <t>Avaliação do material exposto (slides)</t>
  </si>
  <si>
    <t>FQ-06.57 (anexo a IT-06.02.02) - RA - revisão 01 de 12/05/23 - Página 1/3</t>
  </si>
  <si>
    <t>FQ-06.57 (anexo a IT-06.02.02) - RA - revisão 01 de 12/05/23 - Página 2/3</t>
  </si>
  <si>
    <t>FQ-06.57 (anexo a IT-06.02.02) - RA - revisão 01 de 12/05/23 - Página 3/3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</si>
</sst>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u/>
      <sz val="10"/>
      <color indexed="8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i/>
      <sz val="11"/>
      <color rgb="FF008000"/>
      <name val="Calibri"/>
      <family val="2"/>
    </font>
    <font>
      <b/>
      <i/>
      <sz val="11"/>
      <color rgb="FF0000FF"/>
      <name val="Calibri"/>
      <family val="2"/>
    </font>
    <font>
      <b/>
      <i/>
      <sz val="11"/>
      <color rgb="FFFF0000"/>
      <name val="Calibri"/>
      <family val="2"/>
    </font>
    <font>
      <b/>
      <sz val="12"/>
      <color theme="0"/>
      <name val="Arial"/>
      <family val="2"/>
    </font>
    <font>
      <b/>
      <sz val="12"/>
      <color rgb="FF00206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vertical="center" wrapText="1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5" fillId="0" borderId="1" xfId="0" applyFont="1" applyBorder="1" applyAlignment="1">
      <alignment horizontal="right"/>
    </xf>
    <xf numFmtId="0" fontId="5" fillId="0" borderId="1" xfId="0" applyFont="1" applyBorder="1" applyAlignment="1">
      <alignment horizontal="right" wrapText="1"/>
    </xf>
    <xf numFmtId="0" fontId="6" fillId="0" borderId="1" xfId="0" applyFont="1" applyBorder="1" applyAlignment="1">
      <alignment horizontal="right"/>
    </xf>
    <xf numFmtId="0" fontId="6" fillId="0" borderId="0" xfId="0" applyFont="1" applyAlignment="1">
      <alignment vertical="center"/>
    </xf>
    <xf numFmtId="0" fontId="6" fillId="0" borderId="30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0" fillId="0" borderId="0" xfId="0" applyProtection="1">
      <protection locked="0"/>
    </xf>
    <xf numFmtId="49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wrapText="1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wrapText="1"/>
    </xf>
    <xf numFmtId="0" fontId="5" fillId="4" borderId="3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6" fillId="0" borderId="30" xfId="0" applyFon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0" fontId="5" fillId="0" borderId="31" xfId="0" applyFont="1" applyBorder="1" applyAlignment="1" applyProtection="1">
      <alignment horizontal="center" vertical="center"/>
      <protection locked="0"/>
    </xf>
    <xf numFmtId="0" fontId="6" fillId="0" borderId="14" xfId="0" applyFont="1" applyBorder="1" applyAlignment="1" applyProtection="1">
      <alignment horizontal="left" wrapText="1"/>
      <protection locked="0"/>
    </xf>
    <xf numFmtId="0" fontId="6" fillId="0" borderId="5" xfId="0" applyFont="1" applyBorder="1" applyAlignment="1" applyProtection="1">
      <alignment horizontal="left" wrapText="1"/>
      <protection locked="0"/>
    </xf>
    <xf numFmtId="0" fontId="6" fillId="0" borderId="7" xfId="0" applyFont="1" applyBorder="1" applyAlignment="1" applyProtection="1">
      <alignment horizontal="left" wrapText="1"/>
      <protection locked="0"/>
    </xf>
    <xf numFmtId="10" fontId="6" fillId="0" borderId="1" xfId="0" applyNumberFormat="1" applyFont="1" applyBorder="1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/>
    <xf numFmtId="0" fontId="1" fillId="4" borderId="11" xfId="0" applyFont="1" applyFill="1" applyBorder="1" applyAlignment="1">
      <alignment vertical="center" wrapText="1"/>
    </xf>
    <xf numFmtId="0" fontId="1" fillId="4" borderId="13" xfId="0" applyFont="1" applyFill="1" applyBorder="1" applyAlignment="1">
      <alignment horizontal="left" vertical="center" wrapText="1"/>
    </xf>
    <xf numFmtId="0" fontId="1" fillId="4" borderId="42" xfId="0" applyFont="1" applyFill="1" applyBorder="1" applyAlignment="1">
      <alignment vertical="center" wrapText="1"/>
    </xf>
    <xf numFmtId="0" fontId="6" fillId="0" borderId="30" xfId="0" applyFont="1" applyBorder="1" applyAlignment="1" applyProtection="1">
      <alignment horizontal="left" vertical="center"/>
      <protection locked="0"/>
    </xf>
    <xf numFmtId="0" fontId="6" fillId="0" borderId="14" xfId="0" applyFont="1" applyBorder="1" applyAlignment="1" applyProtection="1">
      <alignment horizontal="left" vertical="center"/>
      <protection locked="0"/>
    </xf>
    <xf numFmtId="0" fontId="6" fillId="0" borderId="41" xfId="0" applyFont="1" applyBorder="1" applyAlignment="1" applyProtection="1">
      <alignment horizontal="left" vertical="center"/>
      <protection locked="0"/>
    </xf>
    <xf numFmtId="0" fontId="6" fillId="5" borderId="25" xfId="0" applyFont="1" applyFill="1" applyBorder="1" applyAlignment="1" applyProtection="1">
      <alignment horizontal="left" vertical="center"/>
      <protection locked="0"/>
    </xf>
    <xf numFmtId="0" fontId="5" fillId="4" borderId="18" xfId="0" applyFont="1" applyFill="1" applyBorder="1" applyAlignment="1">
      <alignment horizontal="left" vertical="center"/>
    </xf>
    <xf numFmtId="14" fontId="6" fillId="2" borderId="22" xfId="0" applyNumberFormat="1" applyFont="1" applyFill="1" applyBorder="1" applyAlignment="1" applyProtection="1">
      <alignment horizontal="left" vertical="center"/>
      <protection locked="0"/>
    </xf>
    <xf numFmtId="0" fontId="5" fillId="4" borderId="6" xfId="0" applyFont="1" applyFill="1" applyBorder="1" applyAlignment="1">
      <alignment vertical="center" wrapText="1"/>
    </xf>
    <xf numFmtId="0" fontId="6" fillId="2" borderId="3" xfId="0" applyFont="1" applyFill="1" applyBorder="1" applyAlignment="1" applyProtection="1">
      <alignment horizontal="center" vertical="center"/>
      <protection locked="0"/>
    </xf>
    <xf numFmtId="0" fontId="5" fillId="4" borderId="43" xfId="0" applyFont="1" applyFill="1" applyBorder="1" applyAlignment="1">
      <alignment horizontal="center" vertical="center"/>
    </xf>
    <xf numFmtId="0" fontId="5" fillId="4" borderId="32" xfId="0" applyFont="1" applyFill="1" applyBorder="1" applyAlignment="1">
      <alignment horizontal="left" vertical="center" wrapText="1"/>
    </xf>
    <xf numFmtId="49" fontId="5" fillId="0" borderId="13" xfId="0" applyNumberFormat="1" applyFont="1" applyBorder="1" applyAlignment="1" applyProtection="1">
      <alignment horizontal="center" vertical="center" wrapText="1"/>
      <protection locked="0"/>
    </xf>
    <xf numFmtId="49" fontId="5" fillId="0" borderId="11" xfId="0" applyNumberFormat="1" applyFont="1" applyBorder="1" applyAlignment="1" applyProtection="1">
      <alignment horizontal="center" vertical="center" wrapText="1"/>
      <protection locked="0"/>
    </xf>
    <xf numFmtId="49" fontId="5" fillId="0" borderId="12" xfId="0" applyNumberFormat="1" applyFont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left" vertical="center"/>
    </xf>
    <xf numFmtId="0" fontId="5" fillId="0" borderId="20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5" fillId="0" borderId="15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4" fontId="6" fillId="0" borderId="6" xfId="0" applyNumberFormat="1" applyFont="1" applyBorder="1" applyAlignment="1" applyProtection="1">
      <alignment horizontal="left" vertical="center"/>
      <protection locked="0"/>
    </xf>
    <xf numFmtId="0" fontId="6" fillId="0" borderId="7" xfId="0" applyFont="1" applyBorder="1" applyAlignment="1" applyProtection="1">
      <alignment horizontal="left" vertical="center"/>
      <protection locked="0"/>
    </xf>
    <xf numFmtId="0" fontId="5" fillId="0" borderId="2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5" fillId="4" borderId="36" xfId="0" applyFont="1" applyFill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4" borderId="38" xfId="0" applyFont="1" applyFill="1" applyBorder="1" applyAlignment="1">
      <alignment horizontal="center" vertical="center" wrapText="1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44" xfId="0" applyFont="1" applyFill="1" applyBorder="1" applyAlignment="1" applyProtection="1">
      <alignment horizontal="center" vertical="center"/>
      <protection locked="0"/>
    </xf>
    <xf numFmtId="0" fontId="15" fillId="2" borderId="46" xfId="0" applyFont="1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5" fillId="0" borderId="18" xfId="0" applyFont="1" applyBorder="1" applyAlignment="1">
      <alignment horizontal="center" vertical="center" textRotation="90" wrapText="1"/>
    </xf>
    <xf numFmtId="0" fontId="5" fillId="0" borderId="19" xfId="0" applyFont="1" applyBorder="1" applyAlignment="1">
      <alignment horizontal="center" vertical="center" textRotation="90" wrapText="1"/>
    </xf>
    <xf numFmtId="0" fontId="6" fillId="0" borderId="21" xfId="0" applyFont="1" applyBorder="1" applyAlignment="1" applyProtection="1">
      <alignment horizontal="left" vertical="center"/>
      <protection locked="0"/>
    </xf>
    <xf numFmtId="0" fontId="0" fillId="0" borderId="37" xfId="0" applyBorder="1" applyAlignment="1">
      <alignment horizontal="center"/>
    </xf>
    <xf numFmtId="14" fontId="1" fillId="0" borderId="26" xfId="0" applyNumberFormat="1" applyFont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5" fillId="4" borderId="1" xfId="0" applyFont="1" applyFill="1" applyBorder="1" applyAlignment="1">
      <alignment horizontal="center" wrapText="1"/>
    </xf>
    <xf numFmtId="10" fontId="5" fillId="0" borderId="1" xfId="0" applyNumberFormat="1" applyFont="1" applyBorder="1" applyAlignment="1">
      <alignment horizontal="center"/>
    </xf>
    <xf numFmtId="0" fontId="5" fillId="0" borderId="27" xfId="0" applyFont="1" applyBorder="1" applyAlignment="1">
      <alignment horizontal="center" vertical="center" textRotation="90" wrapText="1"/>
    </xf>
    <xf numFmtId="0" fontId="5" fillId="0" borderId="11" xfId="0" applyFont="1" applyBorder="1" applyAlignment="1">
      <alignment horizontal="center" vertical="center" textRotation="90" wrapText="1"/>
    </xf>
    <xf numFmtId="49" fontId="1" fillId="4" borderId="18" xfId="0" applyNumberFormat="1" applyFont="1" applyFill="1" applyBorder="1" applyAlignment="1">
      <alignment horizontal="center" vertical="center"/>
    </xf>
    <xf numFmtId="49" fontId="1" fillId="4" borderId="23" xfId="0" applyNumberFormat="1" applyFont="1" applyFill="1" applyBorder="1" applyAlignment="1">
      <alignment horizontal="center" vertical="center"/>
    </xf>
    <xf numFmtId="49" fontId="1" fillId="4" borderId="24" xfId="0" applyNumberFormat="1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 wrapText="1"/>
    </xf>
    <xf numFmtId="0" fontId="5" fillId="4" borderId="10" xfId="0" applyFont="1" applyFill="1" applyBorder="1" applyAlignment="1">
      <alignment horizontal="center" vertical="center" wrapText="1"/>
    </xf>
    <xf numFmtId="10" fontId="5" fillId="0" borderId="21" xfId="0" applyNumberFormat="1" applyFont="1" applyBorder="1" applyAlignment="1">
      <alignment horizontal="center"/>
    </xf>
    <xf numFmtId="10" fontId="5" fillId="0" borderId="25" xfId="0" applyNumberFormat="1" applyFont="1" applyBorder="1" applyAlignment="1">
      <alignment horizontal="center"/>
    </xf>
    <xf numFmtId="1" fontId="6" fillId="0" borderId="21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49" fontId="1" fillId="4" borderId="8" xfId="0" applyNumberFormat="1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14" fontId="1" fillId="0" borderId="15" xfId="0" applyNumberFormat="1" applyFont="1" applyBorder="1" applyAlignment="1">
      <alignment horizontal="center" vertical="center"/>
    </xf>
    <xf numFmtId="14" fontId="1" fillId="0" borderId="17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4</xdr:row>
          <xdr:rowOff>45720</xdr:rowOff>
        </xdr:from>
        <xdr:to>
          <xdr:col>11</xdr:col>
          <xdr:colOff>106680</xdr:colOff>
          <xdr:row>5</xdr:row>
          <xdr:rowOff>45720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Inserir Formulários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5</xdr:row>
          <xdr:rowOff>175260</xdr:rowOff>
        </xdr:from>
        <xdr:to>
          <xdr:col>11</xdr:col>
          <xdr:colOff>327660</xdr:colOff>
          <xdr:row>7</xdr:row>
          <xdr:rowOff>22860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Inserir Coluna a Coluna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7</xdr:row>
          <xdr:rowOff>160020</xdr:rowOff>
        </xdr:from>
        <xdr:to>
          <xdr:col>10</xdr:col>
          <xdr:colOff>571500</xdr:colOff>
          <xdr:row>8</xdr:row>
          <xdr:rowOff>297180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Deletar Colunas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I21"/>
  <sheetViews>
    <sheetView tabSelected="1" zoomScale="90" zoomScaleNormal="90" workbookViewId="0">
      <selection sqref="A1:I1"/>
    </sheetView>
  </sheetViews>
  <sheetFormatPr defaultRowHeight="14.4" x14ac:dyDescent="0.3"/>
  <cols>
    <col min="1" max="1" width="11.6640625" customWidth="1"/>
    <col min="2" max="2" width="41.88671875" style="5" customWidth="1"/>
    <col min="3" max="3" width="7.5546875" style="29" customWidth="1"/>
    <col min="4" max="5" width="26.44140625" style="6" bestFit="1" customWidth="1"/>
    <col min="6" max="6" width="22.6640625" style="6" customWidth="1"/>
    <col min="7" max="7" width="13.5546875" style="6" bestFit="1" customWidth="1"/>
    <col min="8" max="8" width="9" style="6" customWidth="1"/>
    <col min="9" max="9" width="10.88671875" style="6" customWidth="1"/>
  </cols>
  <sheetData>
    <row r="1" spans="1:9" ht="16.2" thickBot="1" x14ac:dyDescent="0.35">
      <c r="A1" s="75" t="s">
        <v>38</v>
      </c>
      <c r="B1" s="76"/>
      <c r="C1" s="76"/>
      <c r="D1" s="76"/>
      <c r="E1" s="76"/>
      <c r="F1" s="76"/>
      <c r="G1" s="76"/>
      <c r="H1" s="76"/>
      <c r="I1" s="77"/>
    </row>
    <row r="2" spans="1:9" ht="4.5" customHeight="1" thickBot="1" x14ac:dyDescent="0.35">
      <c r="A2" s="31"/>
      <c r="B2" s="31"/>
      <c r="C2" s="31"/>
      <c r="D2" s="31"/>
      <c r="E2" s="31"/>
      <c r="F2" s="31"/>
      <c r="G2" s="31"/>
      <c r="H2" s="31"/>
      <c r="I2" s="31"/>
    </row>
    <row r="3" spans="1:9" ht="21" customHeight="1" x14ac:dyDescent="0.3">
      <c r="A3" s="55" t="s">
        <v>34</v>
      </c>
      <c r="B3" s="89"/>
      <c r="C3" s="90"/>
      <c r="D3" s="90"/>
      <c r="E3" s="90"/>
      <c r="F3" s="90"/>
      <c r="G3" s="90"/>
      <c r="H3" s="90"/>
      <c r="I3" s="91"/>
    </row>
    <row r="4" spans="1:9" ht="27" customHeight="1" x14ac:dyDescent="0.3">
      <c r="A4" s="48" t="s">
        <v>33</v>
      </c>
      <c r="B4" s="56"/>
      <c r="C4" s="92"/>
      <c r="D4" s="92"/>
      <c r="E4" s="92"/>
      <c r="F4" s="92"/>
      <c r="G4" s="92"/>
      <c r="H4" s="92"/>
      <c r="I4" s="93"/>
    </row>
    <row r="5" spans="1:9" ht="27.75" customHeight="1" x14ac:dyDescent="0.3">
      <c r="A5" s="49" t="s">
        <v>35</v>
      </c>
      <c r="B5" s="73"/>
      <c r="C5" s="74"/>
      <c r="D5" s="59" t="s">
        <v>24</v>
      </c>
      <c r="E5" s="51"/>
      <c r="F5" s="86" t="s">
        <v>25</v>
      </c>
      <c r="G5" s="87"/>
      <c r="H5" s="88"/>
      <c r="I5" s="52">
        <v>10</v>
      </c>
    </row>
    <row r="6" spans="1:9" ht="25.5" customHeight="1" thickBot="1" x14ac:dyDescent="0.35">
      <c r="A6" s="50" t="s">
        <v>36</v>
      </c>
      <c r="B6" s="96"/>
      <c r="C6" s="74"/>
      <c r="D6" s="54"/>
      <c r="E6" s="57" t="s">
        <v>37</v>
      </c>
      <c r="F6" s="53"/>
      <c r="G6" s="60" t="s">
        <v>18</v>
      </c>
      <c r="H6" s="80"/>
      <c r="I6" s="81"/>
    </row>
    <row r="7" spans="1:9" ht="12.75" customHeight="1" thickBot="1" x14ac:dyDescent="0.35">
      <c r="A7" s="46"/>
      <c r="B7" s="47"/>
      <c r="C7" s="97"/>
      <c r="D7" s="97"/>
      <c r="E7" s="97"/>
      <c r="F7" s="97"/>
      <c r="G7" s="97"/>
      <c r="H7" s="97"/>
      <c r="I7" s="97"/>
    </row>
    <row r="8" spans="1:9" x14ac:dyDescent="0.3">
      <c r="A8" s="65" t="s">
        <v>19</v>
      </c>
      <c r="B8" s="66"/>
      <c r="C8" s="41" t="s">
        <v>23</v>
      </c>
      <c r="D8" s="82" t="s">
        <v>4</v>
      </c>
      <c r="E8" s="69" t="s">
        <v>5</v>
      </c>
      <c r="F8" s="69" t="s">
        <v>6</v>
      </c>
      <c r="G8" s="69" t="s">
        <v>7</v>
      </c>
      <c r="H8" s="69" t="s">
        <v>8</v>
      </c>
      <c r="I8" s="84" t="s">
        <v>9</v>
      </c>
    </row>
    <row r="9" spans="1:9" ht="31.5" customHeight="1" thickBot="1" x14ac:dyDescent="0.35">
      <c r="A9" s="67"/>
      <c r="B9" s="68"/>
      <c r="C9" s="40" t="s">
        <v>3</v>
      </c>
      <c r="D9" s="83"/>
      <c r="E9" s="70"/>
      <c r="F9" s="70"/>
      <c r="G9" s="70"/>
      <c r="H9" s="70"/>
      <c r="I9" s="85"/>
    </row>
    <row r="10" spans="1:9" ht="18.75" customHeight="1" x14ac:dyDescent="0.3">
      <c r="A10" s="94" t="s">
        <v>22</v>
      </c>
      <c r="B10" s="13" t="s">
        <v>16</v>
      </c>
      <c r="C10" s="39"/>
      <c r="D10" s="23">
        <f ca="1">COUNT(INDIRECT("C10:"&amp;ADDRESS(10,COLUMN()-1)))</f>
        <v>0</v>
      </c>
      <c r="E10" s="14">
        <f ca="1">COUNTIF(INDIRECT("C10:"&amp;ADDRESS(10,COLUMN()-2)),"=5")</f>
        <v>0</v>
      </c>
      <c r="F10" s="14">
        <f ca="1">COUNTIF(INDIRECT("C10:"&amp;ADDRESS(10,COLUMN()-3)),"=4")</f>
        <v>0</v>
      </c>
      <c r="G10" s="14">
        <f ca="1">COUNTIF(INDIRECT("C10:"&amp;ADDRESS(10,COLUMN()-4)),"=3")</f>
        <v>0</v>
      </c>
      <c r="H10" s="14">
        <f ca="1">COUNTIF(INDIRECT("C10:"&amp;ADDRESS(10,COLUMN()-5)),"=2")</f>
        <v>0</v>
      </c>
      <c r="I10" s="15">
        <f ca="1">COUNTIF(INDIRECT("C10:"&amp;ADDRESS(10,COLUMN()-6)),"=1")</f>
        <v>0</v>
      </c>
    </row>
    <row r="11" spans="1:9" ht="18.75" customHeight="1" x14ac:dyDescent="0.3">
      <c r="A11" s="95"/>
      <c r="B11" s="11" t="s">
        <v>13</v>
      </c>
      <c r="C11" s="30"/>
      <c r="D11" s="12">
        <f ca="1">COUNT(INDIRECT("C11:"&amp;ADDRESS(11,COLUMN()-1)))</f>
        <v>0</v>
      </c>
      <c r="E11" s="12">
        <f ca="1">COUNTIF(INDIRECT("C11:"&amp;ADDRESS(11,COLUMN()-2)),"=5")</f>
        <v>0</v>
      </c>
      <c r="F11" s="12">
        <f ca="1">COUNTIF(INDIRECT("C11:"&amp;ADDRESS(11,COLUMN()-3)),"=4")</f>
        <v>0</v>
      </c>
      <c r="G11" s="12">
        <f ca="1">COUNTIF(INDIRECT("C11:"&amp;ADDRESS(11,COLUMN()-4)),"=3")</f>
        <v>0</v>
      </c>
      <c r="H11" s="12">
        <f ca="1">COUNTIF(INDIRECT("C11:"&amp;ADDRESS(11,COLUMN()-5)),"=2")</f>
        <v>0</v>
      </c>
      <c r="I11" s="16">
        <f ca="1">COUNTIF(INDIRECT("C11:"&amp;ADDRESS(11,COLUMN()-6)),"=1")</f>
        <v>0</v>
      </c>
    </row>
    <row r="12" spans="1:9" x14ac:dyDescent="0.3">
      <c r="A12" s="95"/>
      <c r="B12" s="11" t="s">
        <v>20</v>
      </c>
      <c r="C12" s="30"/>
      <c r="D12" s="12">
        <f ca="1">COUNT(INDIRECT("C12:"&amp;ADDRESS(12,COLUMN()-1)))</f>
        <v>0</v>
      </c>
      <c r="E12" s="12">
        <f ca="1">COUNTIF(INDIRECT("C12:"&amp;ADDRESS(12,COLUMN()-2)),"=5")</f>
        <v>0</v>
      </c>
      <c r="F12" s="12">
        <f ca="1">COUNTIF(INDIRECT("C12:"&amp;ADDRESS(12,COLUMN()-3)),"=4")</f>
        <v>0</v>
      </c>
      <c r="G12" s="12">
        <f ca="1">COUNTIF(INDIRECT("C12:"&amp;ADDRESS(12,COLUMN()-4)),"=3")</f>
        <v>0</v>
      </c>
      <c r="H12" s="12">
        <f ca="1">COUNTIF(INDIRECT("C12:"&amp;ADDRESS(12,COLUMN()-5)),"=2")</f>
        <v>0</v>
      </c>
      <c r="I12" s="16">
        <f ca="1">COUNTIF(INDIRECT("C12:"&amp;ADDRESS(12,COLUMN()-6)),"=1")</f>
        <v>0</v>
      </c>
    </row>
    <row r="13" spans="1:9" ht="26.4" x14ac:dyDescent="0.3">
      <c r="A13" s="95"/>
      <c r="B13" s="11" t="s">
        <v>17</v>
      </c>
      <c r="C13" s="30"/>
      <c r="D13" s="12">
        <f ca="1">COUNT(INDIRECT("C13:"&amp;ADDRESS(13,COLUMN()-1)))</f>
        <v>0</v>
      </c>
      <c r="E13" s="12">
        <f ca="1">COUNTIF(INDIRECT("C13:"&amp;ADDRESS(13,COLUMN()-2)),"=5")</f>
        <v>0</v>
      </c>
      <c r="F13" s="12">
        <f ca="1">COUNTIF(INDIRECT("C13:"&amp;ADDRESS(13,COLUMN()-3)),"=4")</f>
        <v>0</v>
      </c>
      <c r="G13" s="12">
        <f ca="1">COUNTIF(INDIRECT("C13:"&amp;ADDRESS(13,COLUMN()-4)),"=3")</f>
        <v>0</v>
      </c>
      <c r="H13" s="12">
        <f ca="1">COUNTIF(INDIRECT("C13:"&amp;ADDRESS(13,COLUMN()-5)),"=2")</f>
        <v>0</v>
      </c>
      <c r="I13" s="16">
        <f ca="1">COUNTIF(INDIRECT("C13:"&amp;ADDRESS(13,COLUMN()-6)),"=1")</f>
        <v>0</v>
      </c>
    </row>
    <row r="14" spans="1:9" ht="18.75" customHeight="1" x14ac:dyDescent="0.3">
      <c r="A14" s="95" t="s">
        <v>21</v>
      </c>
      <c r="B14" s="11" t="s">
        <v>0</v>
      </c>
      <c r="C14" s="39"/>
      <c r="D14" s="23">
        <f ca="1">COUNT(INDIRECT("C14:"&amp;ADDRESS(14,COLUMN()-1)))</f>
        <v>0</v>
      </c>
      <c r="E14" s="23">
        <f ca="1">COUNTIF(INDIRECT("C14:"&amp;ADDRESS(14,COLUMN()-2)),"=5")</f>
        <v>0</v>
      </c>
      <c r="F14" s="12">
        <f ca="1">COUNTIF(INDIRECT("C14:"&amp;ADDRESS(14,COLUMN()-3)),"=4")</f>
        <v>0</v>
      </c>
      <c r="G14" s="23">
        <f ca="1">COUNTIF(INDIRECT("C14:"&amp;ADDRESS(14,COLUMN()-4)),"=3")</f>
        <v>0</v>
      </c>
      <c r="H14" s="23">
        <f ca="1">COUNTIF(INDIRECT("C14:"&amp;ADDRESS(14,COLUMN()-5)),"=2")</f>
        <v>0</v>
      </c>
      <c r="I14" s="24">
        <f ca="1">COUNTIF(INDIRECT("C14:"&amp;ADDRESS(14,COLUMN()-6)),"=1")</f>
        <v>0</v>
      </c>
    </row>
    <row r="15" spans="1:9" ht="18.75" customHeight="1" x14ac:dyDescent="0.3">
      <c r="A15" s="95"/>
      <c r="B15" s="11" t="s">
        <v>1</v>
      </c>
      <c r="C15" s="28"/>
      <c r="D15" s="23">
        <f ca="1">COUNT(INDIRECT("C15:"&amp;ADDRESS(15,COLUMN()-1)))</f>
        <v>0</v>
      </c>
      <c r="E15" s="23">
        <f ca="1">COUNTIF(INDIRECT("C15:"&amp;ADDRESS(15,COLUMN()-2)),"=5")</f>
        <v>0</v>
      </c>
      <c r="F15" s="23">
        <f ca="1">COUNTIF(INDIRECT("C15:"&amp;ADDRESS(15,COLUMN()-3)),"=4")</f>
        <v>0</v>
      </c>
      <c r="G15" s="23">
        <f ca="1">COUNTIF(INDIRECT("C15:"&amp;ADDRESS(15,COLUMN()-4)),"=3")</f>
        <v>0</v>
      </c>
      <c r="H15" s="23">
        <f ca="1">COUNTIF(INDIRECT("C15:"&amp;ADDRESS(15,COLUMN()-5)),"=2")</f>
        <v>0</v>
      </c>
      <c r="I15" s="24">
        <f ca="1">COUNTIF(INDIRECT("C15:"&amp;ADDRESS(15,COLUMN()-6)),"=1")</f>
        <v>0</v>
      </c>
    </row>
    <row r="16" spans="1:9" ht="18.75" customHeight="1" thickBot="1" x14ac:dyDescent="0.35">
      <c r="A16" s="95"/>
      <c r="B16" s="11" t="s">
        <v>2</v>
      </c>
      <c r="C16" s="28"/>
      <c r="D16" s="23">
        <f ca="1">COUNT(INDIRECT("C16:"&amp;ADDRESS(16,COLUMN()-1)))</f>
        <v>0</v>
      </c>
      <c r="E16" s="23">
        <f ca="1">COUNTIF(INDIRECT("C16:"&amp;ADDRESS(16,COLUMN()-2)),"=5")</f>
        <v>0</v>
      </c>
      <c r="F16" s="23">
        <f ca="1">COUNTIF(INDIRECT("C16:"&amp;ADDRESS(16,COLUMN()-3)),"=4")</f>
        <v>0</v>
      </c>
      <c r="G16" s="23">
        <f ca="1">COUNTIF(INDIRECT("C16:"&amp;ADDRESS(16,COLUMN()-4)),"=3")</f>
        <v>0</v>
      </c>
      <c r="H16" s="23">
        <f ca="1">COUNTIF(INDIRECT("C16:"&amp;ADDRESS(16,COLUMN()-5)),"=2")</f>
        <v>0</v>
      </c>
      <c r="I16" s="24">
        <f ca="1">COUNTIF(INDIRECT("C16:"&amp;ADDRESS(16,COLUMN()-6)),"=1")</f>
        <v>0</v>
      </c>
    </row>
    <row r="17" spans="1:9" ht="15" thickBot="1" x14ac:dyDescent="0.35">
      <c r="A17" s="78" t="s">
        <v>10</v>
      </c>
      <c r="B17" s="79"/>
      <c r="C17" s="58">
        <f ca="1">SUM(INDIRECT(ADDRESS(10,COLUMN())):INDIRECT(ADDRESS(16,COLUMN())))</f>
        <v>0</v>
      </c>
      <c r="D17" s="17">
        <f t="shared" ref="D17:I17" ca="1" si="0">SUM(D10:D16)</f>
        <v>0</v>
      </c>
      <c r="E17" s="17">
        <f ca="1">SUM(E10:E16)</f>
        <v>0</v>
      </c>
      <c r="F17" s="17">
        <f t="shared" ca="1" si="0"/>
        <v>0</v>
      </c>
      <c r="G17" s="17">
        <f t="shared" ca="1" si="0"/>
        <v>0</v>
      </c>
      <c r="H17" s="17">
        <f t="shared" ca="1" si="0"/>
        <v>0</v>
      </c>
      <c r="I17" s="18">
        <f t="shared" ca="1" si="0"/>
        <v>0</v>
      </c>
    </row>
    <row r="19" spans="1:9" ht="32.25" customHeight="1" x14ac:dyDescent="0.3">
      <c r="A19" s="71" t="s">
        <v>39</v>
      </c>
      <c r="B19" s="72"/>
      <c r="C19" s="72"/>
      <c r="D19" s="72"/>
      <c r="E19" s="72"/>
      <c r="F19" s="72"/>
      <c r="G19" s="72"/>
      <c r="H19" s="72"/>
      <c r="I19" s="72"/>
    </row>
    <row r="21" spans="1:9" x14ac:dyDescent="0.3">
      <c r="A21" s="64" t="s">
        <v>41</v>
      </c>
      <c r="B21" s="64"/>
      <c r="C21" s="64"/>
      <c r="D21" s="64"/>
      <c r="E21" s="64"/>
      <c r="F21" s="64"/>
      <c r="G21" s="64"/>
      <c r="H21" s="64"/>
      <c r="I21" s="64"/>
    </row>
  </sheetData>
  <sheetProtection algorithmName="SHA-512" hashValue="q5XWGrThS7Hw2D6LQhtoKXcT/r6YhQ/So+UB3oaP8h24HMw4HrU+37M3AXHRawC1VK3ZBFBUUeQLR+/eZOULvg==" saltValue="EOk7wYL021SL9+pw9bSfpA==" spinCount="100000" sheet="1" objects="1" scenarios="1" formatCells="0" formatColumns="0" formatRows="0" autoFilter="0"/>
  <mergeCells count="20">
    <mergeCell ref="A1:I1"/>
    <mergeCell ref="A17:B17"/>
    <mergeCell ref="H6:I6"/>
    <mergeCell ref="D8:D9"/>
    <mergeCell ref="I8:I9"/>
    <mergeCell ref="G8:G9"/>
    <mergeCell ref="F8:F9"/>
    <mergeCell ref="E8:E9"/>
    <mergeCell ref="F5:H5"/>
    <mergeCell ref="B3:I3"/>
    <mergeCell ref="C4:I4"/>
    <mergeCell ref="A10:A13"/>
    <mergeCell ref="A14:A16"/>
    <mergeCell ref="B6:C6"/>
    <mergeCell ref="C7:I7"/>
    <mergeCell ref="A21:I21"/>
    <mergeCell ref="A8:B9"/>
    <mergeCell ref="H8:H9"/>
    <mergeCell ref="A19:I19"/>
    <mergeCell ref="B5:C5"/>
  </mergeCells>
  <dataValidations count="1">
    <dataValidation type="list" allowBlank="1" showInputMessage="1" showErrorMessage="1" sqref="B3:I3" xr:uid="{00000000-0002-0000-0000-000000000000}">
      <formula1>"TREINAMENTO,PALESTRA"</formula1>
    </dataValidation>
  </dataValidations>
  <pageMargins left="0.31496062992125984" right="0.31496062992125984" top="0.39370078740157483" bottom="0.39370078740157483" header="0.31496062992125984" footer="0.31496062992125984"/>
  <pageSetup paperSize="9" scale="82" orientation="landscape" r:id="rId1"/>
  <headerFooter>
    <oddFooter>&amp;L&amp;"Arial,Normal"&amp;10FQ-06.57 (anexo a IT-06.02.02) - RA - revisão 01 de 12/05/23 - Página 1/3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Botão19_Clique">
                <anchor moveWithCells="1" sizeWithCells="1">
                  <from>
                    <xdr:col>9</xdr:col>
                    <xdr:colOff>106680</xdr:colOff>
                    <xdr:row>4</xdr:row>
                    <xdr:rowOff>45720</xdr:rowOff>
                  </from>
                  <to>
                    <xdr:col>11</xdr:col>
                    <xdr:colOff>106680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otão20_Clique">
                <anchor moveWithCells="1" sizeWithCells="1">
                  <from>
                    <xdr:col>9</xdr:col>
                    <xdr:colOff>106680</xdr:colOff>
                    <xdr:row>5</xdr:row>
                    <xdr:rowOff>175260</xdr:rowOff>
                  </from>
                  <to>
                    <xdr:col>11</xdr:col>
                    <xdr:colOff>327660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otão21_Clique">
                <anchor moveWithCells="1" sizeWithCells="1">
                  <from>
                    <xdr:col>9</xdr:col>
                    <xdr:colOff>152400</xdr:colOff>
                    <xdr:row>7</xdr:row>
                    <xdr:rowOff>160020</xdr:rowOff>
                  </from>
                  <to>
                    <xdr:col>10</xdr:col>
                    <xdr:colOff>571500</xdr:colOff>
                    <xdr:row>8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R27"/>
  <sheetViews>
    <sheetView zoomScaleNormal="100" workbookViewId="0">
      <selection activeCell="A28" sqref="A28"/>
    </sheetView>
  </sheetViews>
  <sheetFormatPr defaultRowHeight="14.4" x14ac:dyDescent="0.3"/>
  <cols>
    <col min="1" max="1" width="11.44140625" customWidth="1"/>
    <col min="2" max="2" width="39.33203125" customWidth="1"/>
    <col min="3" max="3" width="9.33203125" style="4" bestFit="1" customWidth="1"/>
    <col min="4" max="4" width="10.5546875" style="4" bestFit="1" customWidth="1"/>
    <col min="5" max="5" width="9.88671875" style="4" customWidth="1"/>
    <col min="6" max="6" width="5.6640625" style="4" bestFit="1" customWidth="1"/>
    <col min="7" max="7" width="9.5546875" style="4" bestFit="1" customWidth="1"/>
  </cols>
  <sheetData>
    <row r="1" spans="1:7" ht="15" thickBot="1" x14ac:dyDescent="0.35">
      <c r="A1" s="108">
        <f>'Alimentação de dados '!$B$5</f>
        <v>0</v>
      </c>
      <c r="B1" s="109"/>
      <c r="C1" s="109"/>
      <c r="D1" s="109"/>
      <c r="E1" s="109"/>
      <c r="F1" s="109"/>
      <c r="G1" s="110"/>
    </row>
    <row r="2" spans="1:7" ht="20.25" customHeight="1" thickBot="1" x14ac:dyDescent="0.35">
      <c r="A2" s="111">
        <f>'Alimentação de dados '!$B$6</f>
        <v>0</v>
      </c>
      <c r="B2" s="112"/>
      <c r="C2" s="112"/>
      <c r="D2" s="112"/>
      <c r="E2" s="112"/>
      <c r="F2" s="112"/>
      <c r="G2" s="113"/>
    </row>
    <row r="3" spans="1:7" ht="20.25" customHeight="1" x14ac:dyDescent="0.3">
      <c r="A3" s="98">
        <f>'Alimentação de dados '!$B$4</f>
        <v>0</v>
      </c>
      <c r="B3" s="98"/>
      <c r="C3" s="98"/>
      <c r="D3" s="98"/>
      <c r="E3" s="98"/>
      <c r="F3" s="98"/>
      <c r="G3" s="98"/>
    </row>
    <row r="4" spans="1:7" ht="15" thickBot="1" x14ac:dyDescent="0.35">
      <c r="B4" s="2"/>
      <c r="C4" s="2"/>
      <c r="D4" s="2"/>
      <c r="E4" s="2"/>
      <c r="F4" s="2"/>
      <c r="G4" s="2"/>
    </row>
    <row r="5" spans="1:7" ht="22.5" customHeight="1" thickBot="1" x14ac:dyDescent="0.35">
      <c r="A5" s="114" t="s">
        <v>12</v>
      </c>
      <c r="B5" s="115"/>
      <c r="C5" s="34" t="str">
        <f>'Alimentação de dados '!E8</f>
        <v>ÓTIMO</v>
      </c>
      <c r="D5" s="34" t="str">
        <f>'Alimentação de dados '!F8</f>
        <v>BOM</v>
      </c>
      <c r="E5" s="34" t="str">
        <f>'Alimentação de dados '!G8</f>
        <v>REGULAR</v>
      </c>
      <c r="F5" s="34" t="str">
        <f>'Alimentação de dados '!H8</f>
        <v>RUIM</v>
      </c>
      <c r="G5" s="35" t="str">
        <f>'Alimentação de dados '!I8</f>
        <v>PÉSSIMO</v>
      </c>
    </row>
    <row r="6" spans="1:7" ht="22.5" customHeight="1" x14ac:dyDescent="0.3">
      <c r="A6" s="106" t="s">
        <v>22</v>
      </c>
      <c r="B6" s="13" t="s">
        <v>16</v>
      </c>
      <c r="C6" s="14">
        <f ca="1">'Alimentação de dados '!E10</f>
        <v>0</v>
      </c>
      <c r="D6" s="14">
        <f ca="1">'Alimentação de dados '!F10</f>
        <v>0</v>
      </c>
      <c r="E6" s="14">
        <f ca="1">'Alimentação de dados '!G10</f>
        <v>0</v>
      </c>
      <c r="F6" s="14">
        <f ca="1">'Alimentação de dados '!H10</f>
        <v>0</v>
      </c>
      <c r="G6" s="15">
        <f ca="1">'Alimentação de dados '!I10</f>
        <v>0</v>
      </c>
    </row>
    <row r="7" spans="1:7" ht="22.5" customHeight="1" x14ac:dyDescent="0.3">
      <c r="A7" s="107"/>
      <c r="B7" s="11" t="s">
        <v>13</v>
      </c>
      <c r="C7" s="12">
        <f ca="1">'Alimentação de dados '!E11</f>
        <v>0</v>
      </c>
      <c r="D7" s="12">
        <f ca="1">'Alimentação de dados '!F11</f>
        <v>0</v>
      </c>
      <c r="E7" s="12">
        <f ca="1">'Alimentação de dados '!G11</f>
        <v>0</v>
      </c>
      <c r="F7" s="12">
        <f ca="1">'Alimentação de dados '!H11</f>
        <v>0</v>
      </c>
      <c r="G7" s="16">
        <f ca="1">'Alimentação de dados '!I11</f>
        <v>0</v>
      </c>
    </row>
    <row r="8" spans="1:7" ht="26.4" x14ac:dyDescent="0.3">
      <c r="A8" s="107"/>
      <c r="B8" s="11" t="s">
        <v>20</v>
      </c>
      <c r="C8" s="12">
        <f ca="1">'Alimentação de dados '!E12</f>
        <v>0</v>
      </c>
      <c r="D8" s="12">
        <f ca="1">'Alimentação de dados '!F12</f>
        <v>0</v>
      </c>
      <c r="E8" s="12">
        <f ca="1">'Alimentação de dados '!G12</f>
        <v>0</v>
      </c>
      <c r="F8" s="12">
        <f ca="1">'Alimentação de dados '!H12</f>
        <v>0</v>
      </c>
      <c r="G8" s="16">
        <f ca="1">'Alimentação de dados '!I12</f>
        <v>0</v>
      </c>
    </row>
    <row r="9" spans="1:7" ht="27" thickBot="1" x14ac:dyDescent="0.35">
      <c r="A9" s="107"/>
      <c r="B9" s="11" t="s">
        <v>17</v>
      </c>
      <c r="C9" s="12">
        <f ca="1">'Alimentação de dados '!E13</f>
        <v>0</v>
      </c>
      <c r="D9" s="12">
        <f ca="1">'Alimentação de dados '!F13</f>
        <v>0</v>
      </c>
      <c r="E9" s="12">
        <f ca="1">'Alimentação de dados '!G13</f>
        <v>0</v>
      </c>
      <c r="F9" s="12">
        <f ca="1">'Alimentação de dados '!H13</f>
        <v>0</v>
      </c>
      <c r="G9" s="16">
        <f ca="1">'Alimentação de dados '!I13</f>
        <v>0</v>
      </c>
    </row>
    <row r="10" spans="1:7" ht="22.5" customHeight="1" x14ac:dyDescent="0.3">
      <c r="A10" s="106" t="s">
        <v>21</v>
      </c>
      <c r="B10" s="13" t="s">
        <v>0</v>
      </c>
      <c r="C10" s="14">
        <f ca="1">'Alimentação de dados '!E14</f>
        <v>0</v>
      </c>
      <c r="D10" s="14">
        <f ca="1">'Alimentação de dados '!F14</f>
        <v>0</v>
      </c>
      <c r="E10" s="14">
        <f ca="1">'Alimentação de dados '!G14</f>
        <v>0</v>
      </c>
      <c r="F10" s="14">
        <f ca="1">'Alimentação de dados '!H14</f>
        <v>0</v>
      </c>
      <c r="G10" s="15">
        <f ca="1">'Alimentação de dados '!I14</f>
        <v>0</v>
      </c>
    </row>
    <row r="11" spans="1:7" ht="22.5" customHeight="1" x14ac:dyDescent="0.3">
      <c r="A11" s="107"/>
      <c r="B11" s="11" t="s">
        <v>1</v>
      </c>
      <c r="C11" s="12">
        <f ca="1">'Alimentação de dados '!E15</f>
        <v>0</v>
      </c>
      <c r="D11" s="12">
        <f ca="1">'Alimentação de dados '!F15</f>
        <v>0</v>
      </c>
      <c r="E11" s="12">
        <f ca="1">'Alimentação de dados '!G15</f>
        <v>0</v>
      </c>
      <c r="F11" s="12">
        <f ca="1">'Alimentação de dados '!H15</f>
        <v>0</v>
      </c>
      <c r="G11" s="16">
        <f ca="1">'Alimentação de dados '!I15</f>
        <v>0</v>
      </c>
    </row>
    <row r="12" spans="1:7" ht="22.5" customHeight="1" thickBot="1" x14ac:dyDescent="0.35">
      <c r="A12" s="107"/>
      <c r="B12" s="11" t="s">
        <v>2</v>
      </c>
      <c r="C12" s="12">
        <f ca="1">'Alimentação de dados '!E16</f>
        <v>0</v>
      </c>
      <c r="D12" s="12">
        <f ca="1">'Alimentação de dados '!F16</f>
        <v>0</v>
      </c>
      <c r="E12" s="12">
        <f ca="1">'Alimentação de dados '!G16</f>
        <v>0</v>
      </c>
      <c r="F12" s="12">
        <f ca="1">'Alimentação de dados '!H16</f>
        <v>0</v>
      </c>
      <c r="G12" s="16">
        <f ca="1">'Alimentação de dados '!I16</f>
        <v>0</v>
      </c>
    </row>
    <row r="13" spans="1:7" ht="22.5" customHeight="1" thickBot="1" x14ac:dyDescent="0.35">
      <c r="A13" s="99" t="s">
        <v>10</v>
      </c>
      <c r="B13" s="100"/>
      <c r="C13" s="36">
        <f ca="1">'Alimentação de dados '!E17</f>
        <v>0</v>
      </c>
      <c r="D13" s="36">
        <f ca="1">'Alimentação de dados '!F17</f>
        <v>0</v>
      </c>
      <c r="E13" s="36">
        <f ca="1">'Alimentação de dados '!G17</f>
        <v>0</v>
      </c>
      <c r="F13" s="36">
        <f ca="1">'Alimentação de dados '!H17</f>
        <v>0</v>
      </c>
      <c r="G13" s="37">
        <f ca="1">'Alimentação de dados '!I17</f>
        <v>0</v>
      </c>
    </row>
    <row r="14" spans="1:7" ht="15" thickBot="1" x14ac:dyDescent="0.35">
      <c r="G14" s="4">
        <f ca="1">SUM(C13:G13)</f>
        <v>0</v>
      </c>
    </row>
    <row r="15" spans="1:7" ht="16.2" thickBot="1" x14ac:dyDescent="0.35">
      <c r="A15" s="101" t="s">
        <v>26</v>
      </c>
      <c r="B15" s="102"/>
      <c r="C15" s="102"/>
      <c r="D15" s="102"/>
      <c r="E15" s="102"/>
      <c r="F15" s="102"/>
      <c r="G15" s="103"/>
    </row>
    <row r="16" spans="1:7" x14ac:dyDescent="0.3">
      <c r="A16" s="10"/>
      <c r="B16" s="10"/>
      <c r="C16" s="10"/>
      <c r="D16" s="10"/>
      <c r="E16" s="10"/>
      <c r="F16" s="10"/>
      <c r="G16" s="10"/>
    </row>
    <row r="17" spans="1:18" ht="27.75" customHeight="1" x14ac:dyDescent="0.3">
      <c r="A17" s="10"/>
      <c r="B17" s="32" t="s">
        <v>30</v>
      </c>
      <c r="C17" s="33" t="s">
        <v>27</v>
      </c>
      <c r="D17" s="33" t="s">
        <v>28</v>
      </c>
      <c r="E17" s="10"/>
      <c r="F17" s="10"/>
      <c r="G17" s="10"/>
    </row>
    <row r="18" spans="1:18" ht="27" x14ac:dyDescent="0.3">
      <c r="B18" s="20" t="s">
        <v>29</v>
      </c>
      <c r="C18" s="45" t="str">
        <f ca="1">IFERROR(SUM(C6:D9)/SUM(C6:G9),"")</f>
        <v/>
      </c>
      <c r="D18" s="45" t="str">
        <f ca="1">IFERROR(SUM(F6:G9)/SUM(C6:G9),"")</f>
        <v/>
      </c>
    </row>
    <row r="19" spans="1:18" x14ac:dyDescent="0.3">
      <c r="B19" s="20" t="s">
        <v>40</v>
      </c>
      <c r="C19" s="45" t="str">
        <f ca="1">IFERROR(SUM(C10:D12)/SUM(C10:G12),"")</f>
        <v/>
      </c>
      <c r="D19" s="45" t="str">
        <f ca="1">IFERROR(SUM(F10:G12)/SUM(C10:G12),"")</f>
        <v/>
      </c>
    </row>
    <row r="21" spans="1:18" x14ac:dyDescent="0.3">
      <c r="B21" s="104" t="s">
        <v>31</v>
      </c>
      <c r="C21" s="104"/>
      <c r="D21" s="104"/>
    </row>
    <row r="22" spans="1:18" x14ac:dyDescent="0.3">
      <c r="B22" s="19" t="s">
        <v>14</v>
      </c>
      <c r="C22" s="105" t="str">
        <f ca="1">IFERROR(((C13+D13)/'Alimentação de dados '!D17),"")</f>
        <v/>
      </c>
      <c r="D22" s="105"/>
    </row>
    <row r="23" spans="1:18" x14ac:dyDescent="0.3">
      <c r="B23" s="19" t="s">
        <v>15</v>
      </c>
      <c r="C23" s="116" t="str">
        <f ca="1">IFERROR((F13+G13)/'Alimentação de dados '!D17,"")</f>
        <v/>
      </c>
      <c r="D23" s="117"/>
    </row>
    <row r="24" spans="1:18" x14ac:dyDescent="0.3">
      <c r="B24" s="21" t="s">
        <v>24</v>
      </c>
      <c r="C24" s="118">
        <f>'Alimentação de dados '!E5</f>
        <v>0</v>
      </c>
      <c r="D24" s="119"/>
    </row>
    <row r="25" spans="1:18" x14ac:dyDescent="0.3">
      <c r="B25" s="21" t="s">
        <v>25</v>
      </c>
      <c r="C25" s="118">
        <f>'Alimentação de dados '!I5</f>
        <v>10</v>
      </c>
      <c r="D25" s="119"/>
    </row>
    <row r="27" spans="1:18" x14ac:dyDescent="0.3">
      <c r="A27" s="64" t="s">
        <v>42</v>
      </c>
      <c r="B27" s="64"/>
      <c r="C27" s="64"/>
      <c r="D27" s="64"/>
      <c r="E27" s="64"/>
      <c r="F27" s="64"/>
      <c r="G27" s="64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</row>
  </sheetData>
  <sheetProtection algorithmName="SHA-512" hashValue="TlASDvGAQLDJLsLNM+84pzktnRTw7mhA62UhBZIZsdY5vstC5EHOxjdxOgPONFuYeHi9JSdrnkrsKl7x3Oahyw==" saltValue="N14ZD8pITu01ouZGOlQHAA==" spinCount="100000" sheet="1" objects="1" scenarios="1"/>
  <mergeCells count="14">
    <mergeCell ref="A1:G1"/>
    <mergeCell ref="A2:G2"/>
    <mergeCell ref="A5:B5"/>
    <mergeCell ref="C23:D23"/>
    <mergeCell ref="C25:D25"/>
    <mergeCell ref="C24:D24"/>
    <mergeCell ref="A27:G27"/>
    <mergeCell ref="A3:G3"/>
    <mergeCell ref="A13:B13"/>
    <mergeCell ref="A15:G15"/>
    <mergeCell ref="B21:D21"/>
    <mergeCell ref="C22:D22"/>
    <mergeCell ref="A6:A9"/>
    <mergeCell ref="A10:A12"/>
  </mergeCells>
  <pageMargins left="0.39370078740157483" right="0.39370078740157483" top="0.78740157480314965" bottom="0.78740157480314965" header="0.31496062992125984" footer="0.31496062992125984"/>
  <pageSetup paperSize="9" scale="99" orientation="portrait" horizontalDpi="300" verticalDpi="300" r:id="rId1"/>
  <headerFooter>
    <oddFooter>&amp;L&amp;"Arial,Normal"&amp;10FQ-06.57 (anexo a IT-06.02.02) - RA - revisão 01 de 12/05/23 - Página 2/3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G20"/>
  <sheetViews>
    <sheetView showGridLines="0" zoomScaleNormal="100" workbookViewId="0">
      <selection activeCell="A28" sqref="A28"/>
    </sheetView>
  </sheetViews>
  <sheetFormatPr defaultRowHeight="14.4" x14ac:dyDescent="0.3"/>
  <cols>
    <col min="1" max="1" width="11.44140625" style="1" customWidth="1"/>
    <col min="2" max="2" width="73" customWidth="1"/>
  </cols>
  <sheetData>
    <row r="1" spans="1:6" ht="18.75" customHeight="1" thickBot="1" x14ac:dyDescent="0.35">
      <c r="A1" s="122">
        <f>'Alimentação de dados '!$B$5</f>
        <v>0</v>
      </c>
      <c r="B1" s="123"/>
      <c r="C1" s="9"/>
      <c r="D1" s="9"/>
      <c r="E1" s="9"/>
      <c r="F1" s="9"/>
    </row>
    <row r="2" spans="1:6" ht="24.75" customHeight="1" thickBot="1" x14ac:dyDescent="0.35">
      <c r="A2" s="120">
        <f>'Alimentação de dados '!$B$6</f>
        <v>0</v>
      </c>
      <c r="B2" s="121"/>
      <c r="C2" s="9"/>
      <c r="D2" s="9"/>
      <c r="E2" s="9"/>
      <c r="F2" s="9"/>
    </row>
    <row r="3" spans="1:6" ht="24.75" customHeight="1" thickBot="1" x14ac:dyDescent="0.35">
      <c r="A3" s="124">
        <f>'Alimentação de dados '!$B$4</f>
        <v>0</v>
      </c>
      <c r="B3" s="125"/>
      <c r="C3" s="9"/>
      <c r="D3" s="9"/>
      <c r="E3" s="9"/>
      <c r="F3" s="9"/>
    </row>
    <row r="4" spans="1:6" ht="15" thickBot="1" x14ac:dyDescent="0.35">
      <c r="A4" s="3"/>
      <c r="B4" s="4"/>
    </row>
    <row r="5" spans="1:6" ht="27" customHeight="1" thickBot="1" x14ac:dyDescent="0.35">
      <c r="A5" s="38" t="s">
        <v>11</v>
      </c>
      <c r="B5" s="35" t="s">
        <v>32</v>
      </c>
    </row>
    <row r="6" spans="1:6" s="25" customFormat="1" x14ac:dyDescent="0.3">
      <c r="A6" s="61"/>
      <c r="B6" s="42"/>
    </row>
    <row r="7" spans="1:6" s="25" customFormat="1" x14ac:dyDescent="0.3">
      <c r="A7" s="62"/>
      <c r="B7" s="43"/>
    </row>
    <row r="8" spans="1:6" s="25" customFormat="1" x14ac:dyDescent="0.3">
      <c r="A8" s="62"/>
      <c r="B8" s="43"/>
    </row>
    <row r="9" spans="1:6" s="25" customFormat="1" x14ac:dyDescent="0.3">
      <c r="A9" s="62"/>
      <c r="B9" s="43"/>
    </row>
    <row r="10" spans="1:6" s="25" customFormat="1" x14ac:dyDescent="0.3">
      <c r="A10" s="62"/>
      <c r="B10" s="43"/>
    </row>
    <row r="11" spans="1:6" s="25" customFormat="1" x14ac:dyDescent="0.3">
      <c r="A11" s="62"/>
      <c r="B11" s="43"/>
    </row>
    <row r="12" spans="1:6" s="25" customFormat="1" x14ac:dyDescent="0.3">
      <c r="A12" s="62"/>
      <c r="B12" s="43"/>
    </row>
    <row r="13" spans="1:6" s="25" customFormat="1" x14ac:dyDescent="0.3">
      <c r="A13" s="62"/>
      <c r="B13" s="43"/>
    </row>
    <row r="14" spans="1:6" s="25" customFormat="1" x14ac:dyDescent="0.3">
      <c r="A14" s="62"/>
      <c r="B14" s="43"/>
    </row>
    <row r="15" spans="1:6" s="25" customFormat="1" ht="15" thickBot="1" x14ac:dyDescent="0.35">
      <c r="A15" s="63"/>
      <c r="B15" s="44"/>
    </row>
    <row r="16" spans="1:6" s="25" customFormat="1" x14ac:dyDescent="0.3">
      <c r="A16" s="26"/>
      <c r="B16" s="27"/>
    </row>
    <row r="17" spans="1:7" ht="25.5" customHeight="1" x14ac:dyDescent="0.3">
      <c r="A17" s="7"/>
      <c r="B17" s="8"/>
    </row>
    <row r="18" spans="1:7" ht="18" customHeight="1" x14ac:dyDescent="0.3">
      <c r="A18" s="64" t="s">
        <v>43</v>
      </c>
      <c r="B18" s="64"/>
      <c r="C18" s="22"/>
      <c r="D18" s="22"/>
      <c r="E18" s="22"/>
      <c r="F18" s="22"/>
      <c r="G18" s="22"/>
    </row>
    <row r="19" spans="1:7" x14ac:dyDescent="0.3">
      <c r="A19"/>
    </row>
    <row r="20" spans="1:7" x14ac:dyDescent="0.3">
      <c r="A20"/>
    </row>
  </sheetData>
  <sheetProtection algorithmName="SHA-512" hashValue="lvCEF49W2wyMhhge9hmheH9gAGPS+tZho/zp6bSbsn66aRoUZCf5g3+skKoYBztj3UZ1/VZ3mmVljPMAKi6w7Q==" saltValue="Mbuc594CqNyeFsZTUNAzFA==" spinCount="100000" sheet="1" formatRows="0" insertRows="0" deleteRows="0" autoFilter="0"/>
  <mergeCells count="4">
    <mergeCell ref="A2:B2"/>
    <mergeCell ref="A1:B1"/>
    <mergeCell ref="A18:B18"/>
    <mergeCell ref="A3:B3"/>
  </mergeCells>
  <pageMargins left="0.51181102362204722" right="0.51181102362204722" top="0.78740157480314965" bottom="0.78740157480314965" header="0.31496062992125984" footer="0.31496062992125984"/>
  <pageSetup paperSize="9" orientation="portrait" r:id="rId1"/>
  <headerFooter>
    <oddFooter>&amp;L&amp;"Arial,Normal"&amp;10FQ-06.57 (anexo a IT-06.02.02) - RA - revisão 01 de 12/05/23 - Página 3/3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Alimentação de dados </vt:lpstr>
      <vt:lpstr>Planilha final </vt:lpstr>
      <vt:lpstr>Comentários</vt:lpstr>
      <vt:lpstr>'Alimentação de dados '!Area_de_impressao</vt:lpstr>
      <vt:lpstr>Comentários!Area_de_impressao</vt:lpstr>
      <vt:lpstr>'Planilha final 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Qualidade</dc:creator>
  <cp:lastModifiedBy>Cinthia - RA</cp:lastModifiedBy>
  <cp:lastPrinted>2023-05-05T17:47:25Z</cp:lastPrinted>
  <dcterms:created xsi:type="dcterms:W3CDTF">2010-05-31T16:45:57Z</dcterms:created>
  <dcterms:modified xsi:type="dcterms:W3CDTF">2023-05-11T12:09:51Z</dcterms:modified>
</cp:coreProperties>
</file>