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2\C 18 03 22\"/>
    </mc:Choice>
  </mc:AlternateContent>
  <xr:revisionPtr revIDLastSave="0" documentId="13_ncr:1_{AF154EBD-C76E-4FFA-BCE8-85FF86F46FB9}" xr6:coauthVersionLast="45" xr6:coauthVersionMax="45" xr10:uidLastSave="{00000000-0000-0000-0000-000000000000}"/>
  <bookViews>
    <workbookView xWindow="-120" yWindow="-120" windowWidth="19440" windowHeight="11160" xr2:uid="{00000000-000D-0000-FFFF-FFFF00000000}"/>
  </bookViews>
  <sheets>
    <sheet name="Plan1" sheetId="1" r:id="rId1"/>
  </sheets>
  <definedNames>
    <definedName name="_xlnm.Print_Area" localSheetId="0">Plan1!$A$1:$G$151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4" i="1" l="1"/>
  <c r="D64" i="1"/>
  <c r="B64" i="1"/>
  <c r="D63" i="1"/>
  <c r="D68" i="1" s="1"/>
  <c r="D70" i="1" s="1"/>
  <c r="C63" i="1"/>
  <c r="C68" i="1" s="1"/>
  <c r="C70" i="1" s="1"/>
  <c r="B63" i="1"/>
  <c r="B68" i="1" s="1"/>
  <c r="B70" i="1" s="1"/>
  <c r="C47" i="1"/>
  <c r="D47" i="1"/>
  <c r="E47" i="1"/>
  <c r="F47" i="1"/>
  <c r="G47" i="1"/>
  <c r="B47" i="1"/>
  <c r="C46" i="1"/>
  <c r="C48" i="1" s="1"/>
  <c r="D46" i="1"/>
  <c r="E46" i="1"/>
  <c r="F46" i="1"/>
  <c r="G46" i="1"/>
  <c r="G48" i="1" s="1"/>
  <c r="B46" i="1"/>
  <c r="C23" i="1"/>
  <c r="D23" i="1"/>
  <c r="E23" i="1"/>
  <c r="F23" i="1"/>
  <c r="G23" i="1"/>
  <c r="B23" i="1"/>
  <c r="C22" i="1"/>
  <c r="C24" i="1" s="1"/>
  <c r="D22" i="1"/>
  <c r="E22" i="1"/>
  <c r="F22" i="1"/>
  <c r="G22" i="1"/>
  <c r="G24" i="1" s="1"/>
  <c r="B22" i="1"/>
  <c r="E91" i="1"/>
  <c r="E92" i="1"/>
  <c r="E93" i="1"/>
  <c r="E94" i="1"/>
  <c r="E95" i="1"/>
  <c r="E96" i="1"/>
  <c r="E90" i="1"/>
  <c r="C109" i="1"/>
  <c r="C110" i="1"/>
  <c r="C111" i="1"/>
  <c r="C112" i="1"/>
  <c r="C108" i="1"/>
  <c r="B140" i="1"/>
  <c r="B142" i="1" s="1"/>
  <c r="D24" i="1" l="1"/>
  <c r="E24" i="1"/>
  <c r="E48" i="1"/>
  <c r="F48" i="1"/>
  <c r="D48" i="1"/>
  <c r="C114" i="1"/>
  <c r="F24" i="1"/>
  <c r="B24" i="1"/>
  <c r="B26" i="1" s="1"/>
  <c r="B48" i="1"/>
  <c r="B50" i="1" s="1"/>
  <c r="C113" i="1"/>
  <c r="C118" i="1" s="1"/>
  <c r="C119" i="1" s="1"/>
  <c r="C121" i="1" s="1"/>
  <c r="E97" i="1"/>
  <c r="E99" i="1" s="1"/>
  <c r="B65" i="1"/>
  <c r="C65" i="1"/>
  <c r="C67" i="1" s="1"/>
  <c r="D65" i="1"/>
  <c r="B83" i="1"/>
  <c r="B82" i="1"/>
  <c r="D50" i="1"/>
  <c r="E50" i="1"/>
  <c r="G26" i="1"/>
  <c r="D26" i="1"/>
  <c r="C26" i="1"/>
  <c r="E26" i="1"/>
  <c r="B84" i="1" l="1"/>
  <c r="B86" i="1" s="1"/>
  <c r="C115" i="1"/>
  <c r="C117" i="1" s="1"/>
  <c r="D67" i="1"/>
  <c r="C50" i="1"/>
  <c r="G50" i="1"/>
  <c r="B67" i="1"/>
  <c r="F26" i="1"/>
  <c r="F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Cinthia</author>
  </authors>
  <commentList>
    <comment ref="B10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RA:
</t>
        </r>
        <r>
          <rPr>
            <sz val="9"/>
            <color indexed="81"/>
            <rFont val="Tahoma"/>
            <family val="2"/>
          </rPr>
          <t xml:space="preserve">Lembre-se de transformar o tempo em minutos.
</t>
        </r>
      </text>
    </comment>
  </commentList>
</comments>
</file>

<file path=xl/sharedStrings.xml><?xml version="1.0" encoding="utf-8"?>
<sst xmlns="http://schemas.openxmlformats.org/spreadsheetml/2006/main" count="151" uniqueCount="90">
  <si>
    <t>VERIFICAÇÃO DA PERFORMANCE DE CROMATÓGRAFOS LÍQUIDOS (HPLC)</t>
  </si>
  <si>
    <t>Identificação do equipamento:</t>
  </si>
  <si>
    <t>Bomba:</t>
  </si>
  <si>
    <t>EQ-___._______</t>
  </si>
  <si>
    <t>Detector:</t>
  </si>
  <si>
    <t>Outros acessórios:</t>
  </si>
  <si>
    <t>Condições analíticas:</t>
  </si>
  <si>
    <t>Padrão analítico:  (o padrão escolhido pode conter mais de um analito)</t>
  </si>
  <si>
    <t xml:space="preserve">Responsável pela prática: </t>
  </si>
  <si>
    <t>Data:</t>
  </si>
  <si>
    <t>1. Precisão</t>
  </si>
  <si>
    <t>Analito A</t>
  </si>
  <si>
    <t>Analito B</t>
  </si>
  <si>
    <t>Analito C</t>
  </si>
  <si>
    <t>Injeção</t>
  </si>
  <si>
    <t>Área</t>
  </si>
  <si>
    <t>Tempo de retenção</t>
  </si>
  <si>
    <t>Média</t>
  </si>
  <si>
    <t>DP</t>
  </si>
  <si>
    <t>CV (%)</t>
  </si>
  <si>
    <t>Critério de aceite (CV)</t>
  </si>
  <si>
    <t>Aprovado/Reprovado</t>
  </si>
  <si>
    <t>2. Precisão intermediária</t>
  </si>
  <si>
    <t>Dia 1 - 1</t>
  </si>
  <si>
    <t>Dia 1 - 2</t>
  </si>
  <si>
    <t>Dia 1 - 3</t>
  </si>
  <si>
    <t>Dia 1 - 4</t>
  </si>
  <si>
    <t>Dia 1 - 5</t>
  </si>
  <si>
    <t>Dia 2 - 1</t>
  </si>
  <si>
    <t>Dia 2 - 2</t>
  </si>
  <si>
    <t>Dia 2 - 3</t>
  </si>
  <si>
    <t>Dia 2 - 4</t>
  </si>
  <si>
    <t>Dia 2 - 5</t>
  </si>
  <si>
    <t>Dia 3 - 1</t>
  </si>
  <si>
    <t>Dia 3 - 2</t>
  </si>
  <si>
    <t>Dia 3 - 3</t>
  </si>
  <si>
    <t>Dia 3 - 4</t>
  </si>
  <si>
    <t>Dia 3 - 5</t>
  </si>
  <si>
    <t>3. Precisão e exatidão da temperatura do forno</t>
  </si>
  <si>
    <t>Termômetro utilizado na verificação:</t>
  </si>
  <si>
    <t>Temp. ajustada (°C):</t>
  </si>
  <si>
    <t>Valor medido</t>
  </si>
  <si>
    <t>Erro Absoluto (°C)</t>
  </si>
  <si>
    <t>Critério de aceite (°C)</t>
  </si>
  <si>
    <t>4. Estabilidade da temperatura do forno</t>
  </si>
  <si>
    <t>Tempo 0</t>
  </si>
  <si>
    <t>Tempo 2 min</t>
  </si>
  <si>
    <t>Tempo 4 min</t>
  </si>
  <si>
    <t>Tempo 6 min</t>
  </si>
  <si>
    <t>Tempo 8 min</t>
  </si>
  <si>
    <t>Tempo 10 min</t>
  </si>
  <si>
    <t>Temp. máxima</t>
  </si>
  <si>
    <t>Temp. mínima</t>
  </si>
  <si>
    <t>Diferença (máx-min)</t>
  </si>
  <si>
    <t>5. Linearidade do detector</t>
  </si>
  <si>
    <t>Concentração do padrão</t>
  </si>
  <si>
    <t>Área 1</t>
  </si>
  <si>
    <t>Área 2</t>
  </si>
  <si>
    <t>Área 3</t>
  </si>
  <si>
    <t>Área média</t>
  </si>
  <si>
    <t>Coeficiente de determinação (r2)</t>
  </si>
  <si>
    <t>Critério de aceite</t>
  </si>
  <si>
    <t>6. Exatidão e precisão da vazão da fase móvel</t>
  </si>
  <si>
    <t>Cronômetro utilizado na verificação:</t>
  </si>
  <si>
    <t>Balões volumétricos utilizados na verificação (identificação):</t>
  </si>
  <si>
    <t>Balões volumétricos utilizados na verificação (volume):</t>
  </si>
  <si>
    <t>mL</t>
  </si>
  <si>
    <t>Vazão estabelecida:</t>
  </si>
  <si>
    <t>(mL/min)</t>
  </si>
  <si>
    <t>Replicata</t>
  </si>
  <si>
    <t>Vazão calculada (mL/min)</t>
  </si>
  <si>
    <t>---</t>
  </si>
  <si>
    <t>Erro absoluto (mL/min)</t>
  </si>
  <si>
    <t>Erro relativo (%)</t>
  </si>
  <si>
    <t>Critério de aceite (EA)</t>
  </si>
  <si>
    <t>7. Ruído de detector</t>
  </si>
  <si>
    <t>Segmento</t>
  </si>
  <si>
    <t>Ruído</t>
  </si>
  <si>
    <t>Critério de aceite (conforme manual do equipamento)</t>
  </si>
  <si>
    <t>AVALIAÇÃO FINAL</t>
  </si>
  <si>
    <t xml:space="preserve"> APROVADO                             REPROVADO</t>
  </si>
  <si>
    <t>OBSERVAÇÕES</t>
  </si>
  <si>
    <t xml:space="preserve">Responsável pela verificação dos dados e aprovação do equipamento para uso: </t>
  </si>
  <si>
    <t>---------------</t>
  </si>
  <si>
    <t>Tempo</t>
  </si>
  <si>
    <t>Tempo medido (min)*</t>
  </si>
  <si>
    <t>* O tempo deve ser preenchido em minutos, ou seja, para 5 min e 16 segundos, preencha: 5,26 (Lembre-se: para transformar segundos em minutos divida o valor de segundos por 60.</t>
  </si>
  <si>
    <t>FQ-07.21 (anexo à IT-07.03.05) - RA - revisão 03 de 18/03/22 - Página 1/3</t>
  </si>
  <si>
    <t>FQ-07.21 (anexo à IT-07.03.05) - RA - revisão 03 de 18/03/22 - Página 2/3</t>
  </si>
  <si>
    <t>FQ-07.21 (anexo à IT-07.03.05) - RA - revisão 03 de 18/03/22 - Página 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</si>
</sst>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 applyBorder="1" applyAlignment="1" applyProtection="1">
      <alignment vertical="center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0" fillId="0" borderId="11" xfId="0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5" fillId="0" borderId="12" xfId="0" applyFont="1" applyBorder="1" applyAlignment="1" applyProtection="1">
      <alignment horizontal="center" vertical="top" wrapText="1"/>
      <protection locked="0"/>
    </xf>
    <xf numFmtId="0" fontId="2" fillId="0" borderId="10" xfId="0" applyFont="1" applyBorder="1" applyAlignment="1" applyProtection="1">
      <alignment horizontal="center" vertical="top" wrapText="1"/>
      <protection locked="0"/>
    </xf>
    <xf numFmtId="0" fontId="0" fillId="0" borderId="0" xfId="0" applyAlignment="1">
      <alignment vertical="center"/>
    </xf>
    <xf numFmtId="0" fontId="2" fillId="0" borderId="10" xfId="0" applyFont="1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2" fillId="0" borderId="7" xfId="0" applyFont="1" applyBorder="1" applyAlignment="1" applyProtection="1">
      <alignment vertical="center"/>
    </xf>
    <xf numFmtId="0" fontId="2" fillId="0" borderId="0" xfId="0" applyFont="1" applyProtection="1"/>
    <xf numFmtId="0" fontId="2" fillId="0" borderId="10" xfId="0" applyFont="1" applyBorder="1" applyAlignment="1" applyProtection="1">
      <alignment horizontal="left"/>
    </xf>
    <xf numFmtId="0" fontId="5" fillId="0" borderId="12" xfId="0" applyFont="1" applyBorder="1" applyAlignment="1" applyProtection="1">
      <alignment horizontal="center" vertical="top" wrapText="1"/>
    </xf>
    <xf numFmtId="0" fontId="2" fillId="0" borderId="10" xfId="0" applyFont="1" applyBorder="1" applyAlignment="1" applyProtection="1">
      <alignment horizontal="center" wrapText="1"/>
    </xf>
    <xf numFmtId="0" fontId="5" fillId="0" borderId="10" xfId="0" applyFont="1" applyBorder="1" applyAlignment="1" applyProtection="1">
      <alignment horizontal="center" vertical="top" wrapText="1"/>
    </xf>
    <xf numFmtId="164" fontId="2" fillId="0" borderId="13" xfId="0" applyNumberFormat="1" applyFont="1" applyBorder="1" applyAlignment="1" applyProtection="1">
      <alignment horizontal="center" wrapText="1"/>
    </xf>
    <xf numFmtId="2" fontId="2" fillId="0" borderId="13" xfId="0" applyNumberFormat="1" applyFont="1" applyBorder="1" applyAlignment="1" applyProtection="1">
      <alignment horizontal="center" wrapText="1"/>
    </xf>
    <xf numFmtId="164" fontId="2" fillId="0" borderId="10" xfId="0" applyNumberFormat="1" applyFont="1" applyBorder="1" applyAlignment="1" applyProtection="1">
      <alignment horizontal="center" wrapText="1"/>
    </xf>
    <xf numFmtId="165" fontId="2" fillId="0" borderId="10" xfId="0" applyNumberFormat="1" applyFont="1" applyBorder="1" applyAlignment="1" applyProtection="1">
      <alignment horizontal="center" wrapText="1"/>
    </xf>
    <xf numFmtId="1" fontId="2" fillId="0" borderId="10" xfId="0" applyNumberFormat="1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center" vertical="top" wrapText="1"/>
    </xf>
    <xf numFmtId="1" fontId="2" fillId="0" borderId="0" xfId="0" applyNumberFormat="1" applyFont="1" applyBorder="1" applyAlignment="1" applyProtection="1">
      <alignment horizontal="center" wrapText="1"/>
    </xf>
    <xf numFmtId="0" fontId="6" fillId="0" borderId="0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center" wrapText="1"/>
    </xf>
    <xf numFmtId="0" fontId="2" fillId="0" borderId="0" xfId="0" applyFont="1" applyAlignment="1" applyProtection="1">
      <alignment horizontal="left"/>
    </xf>
    <xf numFmtId="164" fontId="2" fillId="0" borderId="10" xfId="0" applyNumberFormat="1" applyFont="1" applyBorder="1" applyAlignment="1" applyProtection="1">
      <alignment horizontal="center" vertical="top" wrapText="1"/>
    </xf>
    <xf numFmtId="0" fontId="5" fillId="0" borderId="13" xfId="0" applyFont="1" applyBorder="1" applyAlignment="1" applyProtection="1">
      <alignment horizontal="center" vertical="top" wrapText="1"/>
    </xf>
    <xf numFmtId="0" fontId="2" fillId="0" borderId="10" xfId="0" applyFont="1" applyBorder="1" applyAlignment="1" applyProtection="1">
      <alignment horizontal="center" vertical="top" wrapText="1"/>
    </xf>
    <xf numFmtId="0" fontId="2" fillId="0" borderId="16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</xf>
    <xf numFmtId="0" fontId="6" fillId="0" borderId="13" xfId="0" quotePrefix="1" applyFont="1" applyBorder="1" applyAlignment="1" applyProtection="1">
      <alignment horizontal="center" vertical="center" wrapText="1"/>
    </xf>
    <xf numFmtId="165" fontId="2" fillId="0" borderId="10" xfId="0" applyNumberFormat="1" applyFont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</xf>
    <xf numFmtId="0" fontId="2" fillId="0" borderId="10" xfId="0" applyFont="1" applyBorder="1" applyAlignment="1" applyProtection="1">
      <alignment horizontal="center" vertical="center" wrapText="1"/>
    </xf>
    <xf numFmtId="2" fontId="2" fillId="0" borderId="10" xfId="0" applyNumberFormat="1" applyFont="1" applyBorder="1" applyAlignment="1" applyProtection="1">
      <alignment horizontal="center" vertical="top" wrapText="1"/>
    </xf>
    <xf numFmtId="1" fontId="2" fillId="0" borderId="10" xfId="0" applyNumberFormat="1" applyFont="1" applyBorder="1" applyAlignment="1" applyProtection="1">
      <alignment horizontal="center" vertical="top" wrapText="1"/>
    </xf>
    <xf numFmtId="0" fontId="3" fillId="0" borderId="0" xfId="0" applyFont="1" applyAlignment="1" applyProtection="1">
      <alignment horizontal="justify"/>
    </xf>
    <xf numFmtId="0" fontId="6" fillId="0" borderId="0" xfId="0" applyFont="1" applyProtection="1"/>
    <xf numFmtId="2" fontId="2" fillId="0" borderId="10" xfId="0" applyNumberFormat="1" applyFont="1" applyBorder="1" applyAlignment="1" applyProtection="1">
      <alignment horizontal="center" vertical="top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1" xfId="0" applyFont="1" applyFill="1" applyBorder="1" applyAlignment="1" applyProtection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top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top" wrapText="1"/>
    </xf>
    <xf numFmtId="0" fontId="2" fillId="0" borderId="0" xfId="0" applyFont="1" applyBorder="1" applyAlignment="1" applyProtection="1">
      <alignment vertical="center"/>
    </xf>
    <xf numFmtId="0" fontId="3" fillId="0" borderId="20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vertical="center"/>
      <protection locked="0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2" fillId="0" borderId="25" xfId="0" applyFont="1" applyBorder="1" applyAlignment="1" applyProtection="1">
      <alignment horizontal="center" wrapText="1"/>
      <protection locked="0"/>
    </xf>
    <xf numFmtId="0" fontId="2" fillId="0" borderId="26" xfId="0" applyFont="1" applyBorder="1" applyAlignment="1" applyProtection="1">
      <alignment horizontal="center" wrapText="1"/>
      <protection locked="0"/>
    </xf>
    <xf numFmtId="164" fontId="2" fillId="0" borderId="27" xfId="0" applyNumberFormat="1" applyFont="1" applyBorder="1" applyAlignment="1" applyProtection="1">
      <alignment horizontal="center" wrapText="1"/>
    </xf>
    <xf numFmtId="164" fontId="2" fillId="0" borderId="28" xfId="0" applyNumberFormat="1" applyFont="1" applyBorder="1" applyAlignment="1" applyProtection="1">
      <alignment horizontal="center" wrapText="1"/>
    </xf>
    <xf numFmtId="164" fontId="2" fillId="0" borderId="25" xfId="0" applyNumberFormat="1" applyFont="1" applyBorder="1" applyAlignment="1" applyProtection="1">
      <alignment horizontal="center" wrapText="1"/>
    </xf>
    <xf numFmtId="164" fontId="2" fillId="0" borderId="26" xfId="0" applyNumberFormat="1" applyFont="1" applyBorder="1" applyAlignment="1" applyProtection="1">
      <alignment horizontal="center" wrapText="1"/>
    </xf>
    <xf numFmtId="1" fontId="2" fillId="0" borderId="25" xfId="0" applyNumberFormat="1" applyFont="1" applyBorder="1" applyAlignment="1" applyProtection="1">
      <alignment horizontal="center" wrapText="1"/>
    </xf>
    <xf numFmtId="1" fontId="2" fillId="0" borderId="26" xfId="0" applyNumberFormat="1" applyFont="1" applyBorder="1" applyAlignment="1" applyProtection="1">
      <alignment horizontal="center" wrapText="1"/>
    </xf>
    <xf numFmtId="0" fontId="2" fillId="0" borderId="29" xfId="0" applyFont="1" applyBorder="1" applyAlignment="1" applyProtection="1">
      <alignment horizontal="center" wrapText="1"/>
    </xf>
    <xf numFmtId="0" fontId="2" fillId="0" borderId="30" xfId="0" applyFont="1" applyBorder="1" applyAlignment="1" applyProtection="1">
      <alignment horizontal="center" wrapText="1"/>
    </xf>
    <xf numFmtId="0" fontId="5" fillId="0" borderId="22" xfId="0" applyFont="1" applyBorder="1" applyAlignment="1" applyProtection="1">
      <alignment horizontal="center" vertical="top" wrapText="1"/>
    </xf>
    <xf numFmtId="0" fontId="2" fillId="0" borderId="27" xfId="0" applyFont="1" applyBorder="1" applyAlignment="1" applyProtection="1">
      <alignment horizontal="center" wrapText="1"/>
      <protection locked="0"/>
    </xf>
    <xf numFmtId="0" fontId="2" fillId="0" borderId="28" xfId="0" applyFont="1" applyBorder="1" applyAlignment="1" applyProtection="1">
      <alignment horizontal="center" wrapText="1"/>
      <protection locked="0"/>
    </xf>
    <xf numFmtId="0" fontId="4" fillId="2" borderId="29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horizontal="center" vertical="center" wrapText="1"/>
    </xf>
    <xf numFmtId="0" fontId="0" fillId="0" borderId="13" xfId="0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7" fillId="0" borderId="17" xfId="0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top" wrapText="1"/>
    </xf>
    <xf numFmtId="0" fontId="7" fillId="2" borderId="1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7" fillId="2" borderId="3" xfId="0" applyFont="1" applyFill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</xf>
    <xf numFmtId="0" fontId="2" fillId="0" borderId="21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 wrapText="1"/>
    </xf>
    <xf numFmtId="0" fontId="2" fillId="0" borderId="8" xfId="0" applyFont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left" vertical="center"/>
    </xf>
    <xf numFmtId="0" fontId="3" fillId="0" borderId="21" xfId="0" applyFont="1" applyBorder="1" applyAlignment="1" applyProtection="1">
      <alignment horizontal="left" vertical="center"/>
    </xf>
    <xf numFmtId="0" fontId="3" fillId="2" borderId="23" xfId="0" applyFont="1" applyFill="1" applyBorder="1" applyAlignment="1" applyProtection="1">
      <alignment horizontal="center"/>
    </xf>
    <xf numFmtId="0" fontId="3" fillId="2" borderId="24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11" xfId="0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left" vertical="center" wrapText="1"/>
    </xf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1552575</xdr:colOff>
          <xdr:row>145</xdr:row>
          <xdr:rowOff>0</xdr:rowOff>
        </xdr:from>
        <xdr:to>
          <xdr:col>2</xdr:col>
          <xdr:colOff>142875</xdr:colOff>
          <xdr:row>146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144</xdr:row>
          <xdr:rowOff>85725</xdr:rowOff>
        </xdr:from>
        <xdr:to>
          <xdr:col>4</xdr:col>
          <xdr:colOff>47625</xdr:colOff>
          <xdr:row>146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view="pageBreakPreview" topLeftCell="A92" zoomScale="60" zoomScaleNormal="85" workbookViewId="0">
      <selection activeCell="A122" sqref="A122:G122"/>
    </sheetView>
  </sheetViews>
  <sheetFormatPr defaultRowHeight="15" x14ac:dyDescent="0.25"/>
  <cols>
    <col min="1" max="1" width="24.140625" customWidth="1"/>
    <col min="2" max="2" width="14.140625" customWidth="1"/>
    <col min="3" max="3" width="12" customWidth="1"/>
    <col min="4" max="4" width="17.42578125" customWidth="1"/>
    <col min="5" max="5" width="11.5703125" customWidth="1"/>
    <col min="6" max="6" width="10.5703125" customWidth="1"/>
    <col min="7" max="7" width="13" customWidth="1"/>
  </cols>
  <sheetData>
    <row r="1" spans="1:7" ht="16.5" thickBot="1" x14ac:dyDescent="0.3">
      <c r="A1" s="74" t="s">
        <v>0</v>
      </c>
      <c r="B1" s="75"/>
      <c r="C1" s="75"/>
      <c r="D1" s="75"/>
      <c r="E1" s="75"/>
      <c r="F1" s="75"/>
      <c r="G1" s="76"/>
    </row>
    <row r="2" spans="1:7" ht="5.25" customHeight="1" x14ac:dyDescent="0.25">
      <c r="A2" s="85"/>
      <c r="B2" s="85"/>
      <c r="C2" s="85"/>
      <c r="D2" s="85"/>
      <c r="E2" s="85"/>
      <c r="F2" s="85"/>
      <c r="G2" s="85"/>
    </row>
    <row r="3" spans="1:7" ht="5.25" customHeight="1" thickBot="1" x14ac:dyDescent="0.3">
      <c r="A3" s="86"/>
      <c r="B3" s="86"/>
      <c r="C3" s="86"/>
      <c r="D3" s="86"/>
      <c r="E3" s="86"/>
      <c r="F3" s="86"/>
      <c r="G3" s="86"/>
    </row>
    <row r="4" spans="1:7" ht="21" customHeight="1" thickBot="1" x14ac:dyDescent="0.3">
      <c r="A4" s="14" t="s">
        <v>1</v>
      </c>
      <c r="B4" s="1"/>
      <c r="C4" s="50" t="s">
        <v>2</v>
      </c>
      <c r="D4" s="51" t="s">
        <v>3</v>
      </c>
      <c r="E4" s="50" t="s">
        <v>4</v>
      </c>
      <c r="F4" s="80" t="s">
        <v>3</v>
      </c>
      <c r="G4" s="81"/>
    </row>
    <row r="5" spans="1:7" ht="5.25" customHeight="1" thickBot="1" x14ac:dyDescent="0.3">
      <c r="A5" s="82"/>
      <c r="B5" s="83"/>
      <c r="C5" s="83"/>
      <c r="D5" s="83"/>
      <c r="E5" s="83"/>
      <c r="F5" s="83"/>
      <c r="G5" s="84"/>
    </row>
    <row r="6" spans="1:7" ht="24" customHeight="1" thickBot="1" x14ac:dyDescent="0.3">
      <c r="A6" s="14" t="s">
        <v>5</v>
      </c>
      <c r="B6" s="77"/>
      <c r="C6" s="78"/>
      <c r="D6" s="78"/>
      <c r="E6" s="78"/>
      <c r="F6" s="78"/>
      <c r="G6" s="79"/>
    </row>
    <row r="7" spans="1:7" ht="6" customHeight="1" thickBot="1" x14ac:dyDescent="0.3">
      <c r="A7" s="82"/>
      <c r="B7" s="83"/>
      <c r="C7" s="83"/>
      <c r="D7" s="83"/>
      <c r="E7" s="83"/>
      <c r="F7" s="83"/>
      <c r="G7" s="84"/>
    </row>
    <row r="8" spans="1:7" ht="21" customHeight="1" thickBot="1" x14ac:dyDescent="0.3">
      <c r="A8" s="14" t="s">
        <v>6</v>
      </c>
      <c r="B8" s="77"/>
      <c r="C8" s="78"/>
      <c r="D8" s="78"/>
      <c r="E8" s="78"/>
      <c r="F8" s="78"/>
      <c r="G8" s="79"/>
    </row>
    <row r="9" spans="1:7" ht="4.5" customHeight="1" thickBot="1" x14ac:dyDescent="0.3">
      <c r="A9" s="14"/>
      <c r="B9" s="11"/>
      <c r="C9" s="11"/>
      <c r="D9" s="11"/>
      <c r="E9" s="11"/>
      <c r="F9" s="11"/>
      <c r="G9" s="12"/>
    </row>
    <row r="10" spans="1:7" ht="21" customHeight="1" thickBot="1" x14ac:dyDescent="0.3">
      <c r="A10" s="14" t="s">
        <v>7</v>
      </c>
      <c r="B10" s="1"/>
      <c r="C10" s="1"/>
      <c r="D10" s="1"/>
      <c r="E10" s="77"/>
      <c r="F10" s="78"/>
      <c r="G10" s="79"/>
    </row>
    <row r="11" spans="1:7" ht="4.5" customHeight="1" thickBot="1" x14ac:dyDescent="0.3">
      <c r="A11" s="83"/>
      <c r="B11" s="83"/>
      <c r="C11" s="83"/>
      <c r="D11" s="83"/>
      <c r="E11" s="83"/>
      <c r="F11" s="83"/>
      <c r="G11" s="83"/>
    </row>
    <row r="12" spans="1:7" ht="21.75" customHeight="1" thickBot="1" x14ac:dyDescent="0.3">
      <c r="A12" s="50" t="s">
        <v>8</v>
      </c>
      <c r="B12" s="77"/>
      <c r="C12" s="78"/>
      <c r="D12" s="79"/>
      <c r="E12" s="50" t="s">
        <v>9</v>
      </c>
      <c r="F12" s="77"/>
      <c r="G12" s="79"/>
    </row>
    <row r="13" spans="1:7" ht="13.5" customHeight="1" x14ac:dyDescent="0.25">
      <c r="A13" s="15"/>
      <c r="B13" s="15"/>
      <c r="C13" s="15"/>
      <c r="D13" s="15"/>
      <c r="E13" s="15"/>
      <c r="F13" s="15"/>
      <c r="G13" s="15"/>
    </row>
    <row r="14" spans="1:7" ht="15.75" thickBot="1" x14ac:dyDescent="0.3">
      <c r="A14" s="109" t="s">
        <v>10</v>
      </c>
      <c r="B14" s="109"/>
      <c r="C14" s="109"/>
      <c r="D14" s="109"/>
      <c r="E14" s="109"/>
      <c r="F14" s="109"/>
      <c r="G14" s="109"/>
    </row>
    <row r="15" spans="1:7" x14ac:dyDescent="0.25">
      <c r="A15" s="114" t="s">
        <v>14</v>
      </c>
      <c r="B15" s="111" t="s">
        <v>11</v>
      </c>
      <c r="C15" s="112"/>
      <c r="D15" s="111" t="s">
        <v>12</v>
      </c>
      <c r="E15" s="112"/>
      <c r="F15" s="111" t="s">
        <v>13</v>
      </c>
      <c r="G15" s="112"/>
    </row>
    <row r="16" spans="1:7" ht="26.25" thickBot="1" x14ac:dyDescent="0.3">
      <c r="A16" s="115"/>
      <c r="B16" s="71" t="s">
        <v>15</v>
      </c>
      <c r="C16" s="72" t="s">
        <v>16</v>
      </c>
      <c r="D16" s="71" t="s">
        <v>15</v>
      </c>
      <c r="E16" s="72" t="s">
        <v>16</v>
      </c>
      <c r="F16" s="71" t="s">
        <v>15</v>
      </c>
      <c r="G16" s="72" t="s">
        <v>16</v>
      </c>
    </row>
    <row r="17" spans="1:7" x14ac:dyDescent="0.25">
      <c r="A17" s="68">
        <v>1</v>
      </c>
      <c r="B17" s="69"/>
      <c r="C17" s="70"/>
      <c r="D17" s="69"/>
      <c r="E17" s="70"/>
      <c r="F17" s="69"/>
      <c r="G17" s="70"/>
    </row>
    <row r="18" spans="1:7" x14ac:dyDescent="0.25">
      <c r="A18" s="17">
        <v>2</v>
      </c>
      <c r="B18" s="58"/>
      <c r="C18" s="59"/>
      <c r="D18" s="58"/>
      <c r="E18" s="59"/>
      <c r="F18" s="58"/>
      <c r="G18" s="59"/>
    </row>
    <row r="19" spans="1:7" x14ac:dyDescent="0.25">
      <c r="A19" s="17">
        <v>3</v>
      </c>
      <c r="B19" s="58"/>
      <c r="C19" s="59"/>
      <c r="D19" s="58"/>
      <c r="E19" s="59"/>
      <c r="F19" s="58"/>
      <c r="G19" s="59"/>
    </row>
    <row r="20" spans="1:7" x14ac:dyDescent="0.25">
      <c r="A20" s="17">
        <v>4</v>
      </c>
      <c r="B20" s="58"/>
      <c r="C20" s="59"/>
      <c r="D20" s="58"/>
      <c r="E20" s="59"/>
      <c r="F20" s="58"/>
      <c r="G20" s="59"/>
    </row>
    <row r="21" spans="1:7" x14ac:dyDescent="0.25">
      <c r="A21" s="17">
        <v>5</v>
      </c>
      <c r="B21" s="58"/>
      <c r="C21" s="59"/>
      <c r="D21" s="58"/>
      <c r="E21" s="59"/>
      <c r="F21" s="58"/>
      <c r="G21" s="59"/>
    </row>
    <row r="22" spans="1:7" x14ac:dyDescent="0.25">
      <c r="A22" s="17" t="s">
        <v>17</v>
      </c>
      <c r="B22" s="60" t="str">
        <f>IFERROR(AVERAGE(B17:B21),"-")</f>
        <v>-</v>
      </c>
      <c r="C22" s="61" t="str">
        <f t="shared" ref="C22:G22" si="0">IFERROR(AVERAGE(C17:C21),"-")</f>
        <v>-</v>
      </c>
      <c r="D22" s="60" t="str">
        <f t="shared" si="0"/>
        <v>-</v>
      </c>
      <c r="E22" s="61" t="str">
        <f t="shared" si="0"/>
        <v>-</v>
      </c>
      <c r="F22" s="60" t="str">
        <f t="shared" si="0"/>
        <v>-</v>
      </c>
      <c r="G22" s="61" t="str">
        <f t="shared" si="0"/>
        <v>-</v>
      </c>
    </row>
    <row r="23" spans="1:7" x14ac:dyDescent="0.25">
      <c r="A23" s="17" t="s">
        <v>18</v>
      </c>
      <c r="B23" s="62" t="str">
        <f>IFERROR(STDEV(B17:B21),"-")</f>
        <v>-</v>
      </c>
      <c r="C23" s="63" t="str">
        <f t="shared" ref="C23:G23" si="1">IFERROR(STDEV(C17:C21),"-")</f>
        <v>-</v>
      </c>
      <c r="D23" s="62" t="str">
        <f t="shared" si="1"/>
        <v>-</v>
      </c>
      <c r="E23" s="63" t="str">
        <f t="shared" si="1"/>
        <v>-</v>
      </c>
      <c r="F23" s="62" t="str">
        <f t="shared" si="1"/>
        <v>-</v>
      </c>
      <c r="G23" s="63" t="str">
        <f t="shared" si="1"/>
        <v>-</v>
      </c>
    </row>
    <row r="24" spans="1:7" x14ac:dyDescent="0.25">
      <c r="A24" s="17" t="s">
        <v>19</v>
      </c>
      <c r="B24" s="62" t="str">
        <f>IFERROR(B23/B22*100,"-")</f>
        <v>-</v>
      </c>
      <c r="C24" s="63" t="str">
        <f t="shared" ref="C24:G24" si="2">IFERROR(C23/C22*100,"-")</f>
        <v>-</v>
      </c>
      <c r="D24" s="62" t="str">
        <f t="shared" si="2"/>
        <v>-</v>
      </c>
      <c r="E24" s="63" t="str">
        <f t="shared" si="2"/>
        <v>-</v>
      </c>
      <c r="F24" s="62" t="str">
        <f t="shared" si="2"/>
        <v>-</v>
      </c>
      <c r="G24" s="63" t="str">
        <f t="shared" si="2"/>
        <v>-</v>
      </c>
    </row>
    <row r="25" spans="1:7" x14ac:dyDescent="0.25">
      <c r="A25" s="17" t="s">
        <v>20</v>
      </c>
      <c r="B25" s="64">
        <v>5</v>
      </c>
      <c r="C25" s="65">
        <v>5</v>
      </c>
      <c r="D25" s="64">
        <v>5</v>
      </c>
      <c r="E25" s="65">
        <v>5</v>
      </c>
      <c r="F25" s="64">
        <v>5</v>
      </c>
      <c r="G25" s="65">
        <v>5</v>
      </c>
    </row>
    <row r="26" spans="1:7" ht="15.75" thickBot="1" x14ac:dyDescent="0.3">
      <c r="A26" s="17" t="s">
        <v>21</v>
      </c>
      <c r="B26" s="66" t="str">
        <f>IF(B24&gt;B25,"Reprovado","Aprovado")</f>
        <v>Reprovado</v>
      </c>
      <c r="C26" s="67" t="str">
        <f t="shared" ref="C26:G26" si="3">IF(C24&gt;C25,"Reprovado","Aprovado")</f>
        <v>Reprovado</v>
      </c>
      <c r="D26" s="66" t="str">
        <f t="shared" si="3"/>
        <v>Reprovado</v>
      </c>
      <c r="E26" s="67" t="str">
        <f t="shared" si="3"/>
        <v>Reprovado</v>
      </c>
      <c r="F26" s="66" t="str">
        <f t="shared" si="3"/>
        <v>Reprovado</v>
      </c>
      <c r="G26" s="67" t="str">
        <f t="shared" si="3"/>
        <v>Reprovado</v>
      </c>
    </row>
    <row r="27" spans="1:7" ht="9.75" customHeight="1" x14ac:dyDescent="0.25">
      <c r="A27" s="13"/>
      <c r="B27" s="13"/>
      <c r="C27" s="13"/>
      <c r="D27" s="13"/>
      <c r="E27" s="13"/>
      <c r="F27" s="13"/>
      <c r="G27" s="13"/>
    </row>
    <row r="28" spans="1:7" ht="21" customHeight="1" x14ac:dyDescent="0.25">
      <c r="A28" s="110" t="s">
        <v>22</v>
      </c>
      <c r="B28" s="110"/>
      <c r="C28" s="110"/>
      <c r="D28" s="110"/>
      <c r="E28" s="110"/>
      <c r="F28" s="110"/>
      <c r="G28" s="110"/>
    </row>
    <row r="29" spans="1:7" x14ac:dyDescent="0.25">
      <c r="A29" s="116" t="s">
        <v>14</v>
      </c>
      <c r="B29" s="113" t="s">
        <v>11</v>
      </c>
      <c r="C29" s="113"/>
      <c r="D29" s="113" t="s">
        <v>12</v>
      </c>
      <c r="E29" s="113"/>
      <c r="F29" s="113" t="s">
        <v>13</v>
      </c>
      <c r="G29" s="113"/>
    </row>
    <row r="30" spans="1:7" ht="25.5" x14ac:dyDescent="0.25">
      <c r="A30" s="117"/>
      <c r="B30" s="45" t="s">
        <v>15</v>
      </c>
      <c r="C30" s="45" t="s">
        <v>16</v>
      </c>
      <c r="D30" s="45" t="s">
        <v>15</v>
      </c>
      <c r="E30" s="45" t="s">
        <v>16</v>
      </c>
      <c r="F30" s="45" t="s">
        <v>15</v>
      </c>
      <c r="G30" s="45" t="s">
        <v>16</v>
      </c>
    </row>
    <row r="31" spans="1:7" x14ac:dyDescent="0.25">
      <c r="A31" s="17" t="s">
        <v>23</v>
      </c>
      <c r="B31" s="2"/>
      <c r="C31" s="2"/>
      <c r="D31" s="2"/>
      <c r="E31" s="2"/>
      <c r="F31" s="2"/>
      <c r="G31" s="2"/>
    </row>
    <row r="32" spans="1:7" x14ac:dyDescent="0.25">
      <c r="A32" s="17" t="s">
        <v>24</v>
      </c>
      <c r="B32" s="2"/>
      <c r="C32" s="2"/>
      <c r="D32" s="2"/>
      <c r="E32" s="2"/>
      <c r="F32" s="2"/>
      <c r="G32" s="2"/>
    </row>
    <row r="33" spans="1:7" x14ac:dyDescent="0.25">
      <c r="A33" s="17" t="s">
        <v>25</v>
      </c>
      <c r="B33" s="2"/>
      <c r="C33" s="2"/>
      <c r="D33" s="2"/>
      <c r="E33" s="2"/>
      <c r="F33" s="2"/>
      <c r="G33" s="2"/>
    </row>
    <row r="34" spans="1:7" x14ac:dyDescent="0.25">
      <c r="A34" s="17" t="s">
        <v>26</v>
      </c>
      <c r="B34" s="2"/>
      <c r="C34" s="2"/>
      <c r="D34" s="2"/>
      <c r="E34" s="2"/>
      <c r="F34" s="2"/>
      <c r="G34" s="2"/>
    </row>
    <row r="35" spans="1:7" x14ac:dyDescent="0.25">
      <c r="A35" s="17" t="s">
        <v>27</v>
      </c>
      <c r="B35" s="2"/>
      <c r="C35" s="2"/>
      <c r="D35" s="2"/>
      <c r="E35" s="2"/>
      <c r="F35" s="2"/>
      <c r="G35" s="2"/>
    </row>
    <row r="36" spans="1:7" x14ac:dyDescent="0.25">
      <c r="A36" s="17" t="s">
        <v>28</v>
      </c>
      <c r="B36" s="2"/>
      <c r="C36" s="2"/>
      <c r="D36" s="2"/>
      <c r="E36" s="2"/>
      <c r="F36" s="2"/>
      <c r="G36" s="2"/>
    </row>
    <row r="37" spans="1:7" x14ac:dyDescent="0.25">
      <c r="A37" s="17" t="s">
        <v>29</v>
      </c>
      <c r="B37" s="2"/>
      <c r="C37" s="2"/>
      <c r="D37" s="2"/>
      <c r="E37" s="2"/>
      <c r="F37" s="2"/>
      <c r="G37" s="2"/>
    </row>
    <row r="38" spans="1:7" x14ac:dyDescent="0.25">
      <c r="A38" s="17" t="s">
        <v>30</v>
      </c>
      <c r="B38" s="2"/>
      <c r="C38" s="2"/>
      <c r="D38" s="2"/>
      <c r="E38" s="2"/>
      <c r="F38" s="2"/>
      <c r="G38" s="2"/>
    </row>
    <row r="39" spans="1:7" x14ac:dyDescent="0.25">
      <c r="A39" s="17" t="s">
        <v>31</v>
      </c>
      <c r="B39" s="2"/>
      <c r="C39" s="2"/>
      <c r="D39" s="2"/>
      <c r="E39" s="2"/>
      <c r="F39" s="2"/>
      <c r="G39" s="2"/>
    </row>
    <row r="40" spans="1:7" x14ac:dyDescent="0.25">
      <c r="A40" s="17" t="s">
        <v>32</v>
      </c>
      <c r="B40" s="2"/>
      <c r="C40" s="2"/>
      <c r="D40" s="2"/>
      <c r="E40" s="2"/>
      <c r="F40" s="2"/>
      <c r="G40" s="2"/>
    </row>
    <row r="41" spans="1:7" x14ac:dyDescent="0.25">
      <c r="A41" s="17" t="s">
        <v>33</v>
      </c>
      <c r="B41" s="2"/>
      <c r="C41" s="2"/>
      <c r="D41" s="2"/>
      <c r="E41" s="2"/>
      <c r="F41" s="2"/>
      <c r="G41" s="2"/>
    </row>
    <row r="42" spans="1:7" x14ac:dyDescent="0.25">
      <c r="A42" s="17" t="s">
        <v>34</v>
      </c>
      <c r="B42" s="2"/>
      <c r="C42" s="2"/>
      <c r="D42" s="2"/>
      <c r="E42" s="2"/>
      <c r="F42" s="2"/>
      <c r="G42" s="2"/>
    </row>
    <row r="43" spans="1:7" x14ac:dyDescent="0.25">
      <c r="A43" s="17" t="s">
        <v>35</v>
      </c>
      <c r="B43" s="2"/>
      <c r="C43" s="2"/>
      <c r="D43" s="2"/>
      <c r="E43" s="2"/>
      <c r="F43" s="2"/>
      <c r="G43" s="2"/>
    </row>
    <row r="44" spans="1:7" x14ac:dyDescent="0.25">
      <c r="A44" s="17" t="s">
        <v>36</v>
      </c>
      <c r="B44" s="2"/>
      <c r="C44" s="2"/>
      <c r="D44" s="2"/>
      <c r="E44" s="2"/>
      <c r="F44" s="2"/>
      <c r="G44" s="2"/>
    </row>
    <row r="45" spans="1:7" x14ac:dyDescent="0.25">
      <c r="A45" s="17" t="s">
        <v>37</v>
      </c>
      <c r="B45" s="2"/>
      <c r="C45" s="2"/>
      <c r="D45" s="2"/>
      <c r="E45" s="2"/>
      <c r="F45" s="2"/>
      <c r="G45" s="2"/>
    </row>
    <row r="46" spans="1:7" x14ac:dyDescent="0.25">
      <c r="A46" s="19" t="s">
        <v>17</v>
      </c>
      <c r="B46" s="20" t="str">
        <f>IFERROR(AVERAGE(B31:B45),"-")</f>
        <v>-</v>
      </c>
      <c r="C46" s="20" t="str">
        <f t="shared" ref="C46:G46" si="4">IFERROR(AVERAGE(C31:C45),"-")</f>
        <v>-</v>
      </c>
      <c r="D46" s="20" t="str">
        <f t="shared" si="4"/>
        <v>-</v>
      </c>
      <c r="E46" s="20" t="str">
        <f t="shared" si="4"/>
        <v>-</v>
      </c>
      <c r="F46" s="20" t="str">
        <f t="shared" si="4"/>
        <v>-</v>
      </c>
      <c r="G46" s="20" t="str">
        <f t="shared" si="4"/>
        <v>-</v>
      </c>
    </row>
    <row r="47" spans="1:7" x14ac:dyDescent="0.25">
      <c r="A47" s="19" t="s">
        <v>18</v>
      </c>
      <c r="B47" s="22" t="str">
        <f>IFERROR(STDEV(B31:B45),"-")</f>
        <v>-</v>
      </c>
      <c r="C47" s="22" t="str">
        <f t="shared" ref="C47:G47" si="5">IFERROR(STDEV(C31:C45),"-")</f>
        <v>-</v>
      </c>
      <c r="D47" s="22" t="str">
        <f t="shared" si="5"/>
        <v>-</v>
      </c>
      <c r="E47" s="22" t="str">
        <f t="shared" si="5"/>
        <v>-</v>
      </c>
      <c r="F47" s="22" t="str">
        <f t="shared" si="5"/>
        <v>-</v>
      </c>
      <c r="G47" s="22" t="str">
        <f t="shared" si="5"/>
        <v>-</v>
      </c>
    </row>
    <row r="48" spans="1:7" x14ac:dyDescent="0.25">
      <c r="A48" s="19" t="s">
        <v>19</v>
      </c>
      <c r="B48" s="22" t="str">
        <f>IFERROR(B47/B46*100,"-")</f>
        <v>-</v>
      </c>
      <c r="C48" s="22" t="str">
        <f t="shared" ref="C48:G48" si="6">IFERROR(C47/C46*100,"-")</f>
        <v>-</v>
      </c>
      <c r="D48" s="22" t="str">
        <f t="shared" si="6"/>
        <v>-</v>
      </c>
      <c r="E48" s="22" t="str">
        <f t="shared" si="6"/>
        <v>-</v>
      </c>
      <c r="F48" s="22" t="str">
        <f t="shared" si="6"/>
        <v>-</v>
      </c>
      <c r="G48" s="22" t="str">
        <f t="shared" si="6"/>
        <v>-</v>
      </c>
    </row>
    <row r="49" spans="1:7" x14ac:dyDescent="0.25">
      <c r="A49" s="19" t="s">
        <v>20</v>
      </c>
      <c r="B49" s="24">
        <v>7</v>
      </c>
      <c r="C49" s="24">
        <v>7</v>
      </c>
      <c r="D49" s="24">
        <v>7</v>
      </c>
      <c r="E49" s="24">
        <v>7</v>
      </c>
      <c r="F49" s="24">
        <v>7</v>
      </c>
      <c r="G49" s="24">
        <v>7</v>
      </c>
    </row>
    <row r="50" spans="1:7" x14ac:dyDescent="0.25">
      <c r="A50" s="19" t="s">
        <v>21</v>
      </c>
      <c r="B50" s="18" t="str">
        <f>IFERROR(IF(B48&gt;B49,"Reprovado","Aprovado"),"-")</f>
        <v>Reprovado</v>
      </c>
      <c r="C50" s="18" t="str">
        <f t="shared" ref="C50:G50" si="7">IF(C48&gt;C49,"Reprovado","Aprovado")</f>
        <v>Reprovado</v>
      </c>
      <c r="D50" s="18" t="str">
        <f t="shared" si="7"/>
        <v>Reprovado</v>
      </c>
      <c r="E50" s="18" t="str">
        <f t="shared" si="7"/>
        <v>Reprovado</v>
      </c>
      <c r="F50" s="18" t="str">
        <f t="shared" si="7"/>
        <v>Reprovado</v>
      </c>
      <c r="G50" s="18" t="str">
        <f t="shared" si="7"/>
        <v>Reprovado</v>
      </c>
    </row>
    <row r="51" spans="1:7" x14ac:dyDescent="0.25">
      <c r="A51" s="25"/>
      <c r="B51" s="26"/>
      <c r="C51" s="26"/>
      <c r="D51" s="26"/>
      <c r="E51" s="26"/>
      <c r="F51" s="26"/>
      <c r="G51" s="26"/>
    </row>
    <row r="52" spans="1:7" x14ac:dyDescent="0.25">
      <c r="A52" s="91" t="s">
        <v>87</v>
      </c>
      <c r="B52" s="91"/>
      <c r="C52" s="91"/>
      <c r="D52" s="91"/>
      <c r="E52" s="91"/>
      <c r="F52" s="91"/>
      <c r="G52" s="91"/>
    </row>
    <row r="53" spans="1:7" x14ac:dyDescent="0.25">
      <c r="A53" s="25"/>
      <c r="B53" s="28"/>
      <c r="C53" s="28"/>
      <c r="D53" s="28"/>
      <c r="E53" s="28"/>
      <c r="F53" s="28"/>
      <c r="G53" s="28"/>
    </row>
    <row r="54" spans="1:7" ht="15.75" thickBot="1" x14ac:dyDescent="0.3">
      <c r="A54" s="101" t="s">
        <v>38</v>
      </c>
      <c r="B54" s="101"/>
      <c r="C54" s="101"/>
      <c r="D54" s="101"/>
      <c r="E54" s="101"/>
      <c r="F54" s="101"/>
      <c r="G54" s="101"/>
    </row>
    <row r="55" spans="1:7" ht="15.75" thickBot="1" x14ac:dyDescent="0.3">
      <c r="A55" s="29" t="s">
        <v>39</v>
      </c>
      <c r="B55" s="13"/>
      <c r="C55" s="118" t="s">
        <v>3</v>
      </c>
      <c r="D55" s="119"/>
      <c r="E55" s="13"/>
      <c r="F55" s="13"/>
      <c r="G55" s="13"/>
    </row>
    <row r="56" spans="1:7" x14ac:dyDescent="0.25">
      <c r="A56" s="9" t="s">
        <v>40</v>
      </c>
      <c r="B56" s="10"/>
      <c r="C56" s="73"/>
      <c r="D56" s="73"/>
      <c r="E56" s="13"/>
      <c r="F56" s="13"/>
      <c r="G56" s="13"/>
    </row>
    <row r="57" spans="1:7" ht="25.5" x14ac:dyDescent="0.25">
      <c r="A57" s="46"/>
      <c r="B57" s="44" t="s">
        <v>41</v>
      </c>
      <c r="C57" s="44" t="s">
        <v>41</v>
      </c>
      <c r="D57" s="44" t="s">
        <v>41</v>
      </c>
      <c r="E57" s="13"/>
      <c r="F57" s="13"/>
      <c r="G57" s="13"/>
    </row>
    <row r="58" spans="1:7" x14ac:dyDescent="0.25">
      <c r="A58" s="19">
        <v>1</v>
      </c>
      <c r="B58" s="2"/>
      <c r="C58" s="2"/>
      <c r="D58" s="2"/>
      <c r="E58" s="13"/>
      <c r="F58" s="13"/>
      <c r="G58" s="13"/>
    </row>
    <row r="59" spans="1:7" x14ac:dyDescent="0.25">
      <c r="A59" s="19">
        <v>2</v>
      </c>
      <c r="B59" s="2"/>
      <c r="C59" s="2"/>
      <c r="D59" s="2"/>
      <c r="E59" s="13"/>
      <c r="F59" s="13"/>
      <c r="G59" s="13"/>
    </row>
    <row r="60" spans="1:7" x14ac:dyDescent="0.25">
      <c r="A60" s="19">
        <v>3</v>
      </c>
      <c r="B60" s="2"/>
      <c r="C60" s="2"/>
      <c r="D60" s="2"/>
      <c r="E60" s="13"/>
      <c r="F60" s="13"/>
      <c r="G60" s="13"/>
    </row>
    <row r="61" spans="1:7" x14ac:dyDescent="0.25">
      <c r="A61" s="19">
        <v>4</v>
      </c>
      <c r="B61" s="2"/>
      <c r="C61" s="2"/>
      <c r="D61" s="2"/>
      <c r="E61" s="13"/>
      <c r="F61" s="13"/>
      <c r="G61" s="13"/>
    </row>
    <row r="62" spans="1:7" x14ac:dyDescent="0.25">
      <c r="A62" s="19">
        <v>5</v>
      </c>
      <c r="B62" s="2"/>
      <c r="C62" s="2"/>
      <c r="D62" s="2"/>
      <c r="E62" s="13"/>
      <c r="F62" s="13"/>
      <c r="G62" s="13"/>
    </row>
    <row r="63" spans="1:7" x14ac:dyDescent="0.25">
      <c r="A63" s="19" t="s">
        <v>17</v>
      </c>
      <c r="B63" s="20" t="str">
        <f>IFERROR(AVERAGE(B58:B62),"-")</f>
        <v>-</v>
      </c>
      <c r="C63" s="20" t="str">
        <f>IFERROR(AVERAGE(C58:C62),"-")</f>
        <v>-</v>
      </c>
      <c r="D63" s="20" t="str">
        <f>IFERROR(AVERAGE(D58:D62),"-")</f>
        <v>-</v>
      </c>
      <c r="E63" s="13"/>
      <c r="F63" s="13"/>
      <c r="G63" s="13"/>
    </row>
    <row r="64" spans="1:7" x14ac:dyDescent="0.25">
      <c r="A64" s="19" t="s">
        <v>18</v>
      </c>
      <c r="B64" s="22" t="str">
        <f>IFERROR(STDEV(B58:B62),"-")</f>
        <v>-</v>
      </c>
      <c r="C64" s="22" t="str">
        <f t="shared" ref="C64:D64" si="8">IFERROR(STDEV(C58:C62),"-")</f>
        <v>-</v>
      </c>
      <c r="D64" s="22" t="str">
        <f t="shared" si="8"/>
        <v>-</v>
      </c>
      <c r="E64" s="13"/>
      <c r="F64" s="13"/>
      <c r="G64" s="13"/>
    </row>
    <row r="65" spans="1:7" x14ac:dyDescent="0.25">
      <c r="A65" s="19" t="s">
        <v>19</v>
      </c>
      <c r="B65" s="22" t="str">
        <f>IFERROR(B64/B63*100,"-")</f>
        <v>-</v>
      </c>
      <c r="C65" s="22" t="str">
        <f t="shared" ref="C65:D65" si="9">IFERROR(C64/C63*100,"-")</f>
        <v>-</v>
      </c>
      <c r="D65" s="22" t="str">
        <f t="shared" si="9"/>
        <v>-</v>
      </c>
      <c r="E65" s="13"/>
      <c r="F65" s="13"/>
      <c r="G65" s="13"/>
    </row>
    <row r="66" spans="1:7" x14ac:dyDescent="0.25">
      <c r="A66" s="19" t="s">
        <v>20</v>
      </c>
      <c r="B66" s="24">
        <v>2</v>
      </c>
      <c r="C66" s="24">
        <v>2</v>
      </c>
      <c r="D66" s="24">
        <v>2</v>
      </c>
      <c r="E66" s="13"/>
      <c r="F66" s="13"/>
      <c r="G66" s="13"/>
    </row>
    <row r="67" spans="1:7" x14ac:dyDescent="0.25">
      <c r="A67" s="19" t="s">
        <v>21</v>
      </c>
      <c r="B67" s="18" t="str">
        <f>IF(B65&gt;B66,"Reprovado","Aprovado")</f>
        <v>Reprovado</v>
      </c>
      <c r="C67" s="18" t="str">
        <f>IF(C65&gt;C66,"Reprovado","Aprovado")</f>
        <v>Reprovado</v>
      </c>
      <c r="D67" s="18" t="str">
        <f>IF(D65&gt;D66,"Reprovado","Aprovado")</f>
        <v>Reprovado</v>
      </c>
      <c r="E67" s="13"/>
      <c r="F67" s="13"/>
      <c r="G67" s="13"/>
    </row>
    <row r="68" spans="1:7" x14ac:dyDescent="0.25">
      <c r="A68" s="19" t="s">
        <v>42</v>
      </c>
      <c r="B68" s="22" t="str">
        <f>IFERROR(B56-B63,"-")</f>
        <v>-</v>
      </c>
      <c r="C68" s="22" t="str">
        <f t="shared" ref="C68:D68" si="10">IFERROR(C56-C63,"-")</f>
        <v>-</v>
      </c>
      <c r="D68" s="22" t="str">
        <f t="shared" si="10"/>
        <v>-</v>
      </c>
      <c r="E68" s="13"/>
      <c r="F68" s="13"/>
      <c r="G68" s="13"/>
    </row>
    <row r="69" spans="1:7" x14ac:dyDescent="0.25">
      <c r="A69" s="19" t="s">
        <v>43</v>
      </c>
      <c r="B69" s="30">
        <v>2</v>
      </c>
      <c r="C69" s="30">
        <v>2</v>
      </c>
      <c r="D69" s="30">
        <v>2</v>
      </c>
      <c r="E69" s="13"/>
      <c r="F69" s="13"/>
      <c r="G69" s="13"/>
    </row>
    <row r="70" spans="1:7" x14ac:dyDescent="0.25">
      <c r="A70" s="19" t="s">
        <v>21</v>
      </c>
      <c r="B70" s="18" t="str">
        <f>IFERROR(IF(IMABS(B68)&gt;B69,"Reprovado","Aprovado"),"-")</f>
        <v>-</v>
      </c>
      <c r="C70" s="18" t="str">
        <f t="shared" ref="C70:D70" si="11">IFERROR(IF(IMABS(C68)&gt;C69,"Reprovado","Aprovado"),"-")</f>
        <v>-</v>
      </c>
      <c r="D70" s="18" t="str">
        <f t="shared" si="11"/>
        <v>-</v>
      </c>
      <c r="E70" s="13"/>
      <c r="F70" s="13"/>
      <c r="G70" s="13"/>
    </row>
    <row r="71" spans="1:7" ht="10.5" customHeight="1" x14ac:dyDescent="0.25">
      <c r="A71" s="13"/>
      <c r="B71" s="13"/>
      <c r="C71" s="13"/>
      <c r="D71" s="13"/>
      <c r="E71" s="13"/>
      <c r="F71" s="13"/>
      <c r="G71" s="13"/>
    </row>
    <row r="72" spans="1:7" ht="15.75" thickBot="1" x14ac:dyDescent="0.3">
      <c r="A72" s="101" t="s">
        <v>44</v>
      </c>
      <c r="B72" s="101"/>
      <c r="C72" s="101"/>
      <c r="D72" s="101"/>
      <c r="E72" s="101"/>
      <c r="F72" s="101"/>
      <c r="G72" s="101"/>
    </row>
    <row r="73" spans="1:7" ht="19.5" customHeight="1" thickBot="1" x14ac:dyDescent="0.3">
      <c r="A73" s="102" t="s">
        <v>39</v>
      </c>
      <c r="B73" s="102"/>
      <c r="C73" s="80" t="s">
        <v>3</v>
      </c>
      <c r="D73" s="81"/>
      <c r="E73" s="13"/>
      <c r="F73" s="13"/>
      <c r="G73" s="13"/>
    </row>
    <row r="74" spans="1:7" x14ac:dyDescent="0.25">
      <c r="A74" s="16" t="s">
        <v>40</v>
      </c>
      <c r="B74" s="3"/>
      <c r="C74" s="13"/>
      <c r="D74" s="13"/>
      <c r="E74" s="13"/>
      <c r="F74" s="13"/>
      <c r="G74" s="13"/>
    </row>
    <row r="75" spans="1:7" x14ac:dyDescent="0.25">
      <c r="A75" s="47" t="s">
        <v>84</v>
      </c>
      <c r="B75" s="44" t="s">
        <v>41</v>
      </c>
      <c r="C75" s="13"/>
      <c r="D75" s="13"/>
      <c r="E75" s="13"/>
      <c r="F75" s="13"/>
      <c r="G75" s="13"/>
    </row>
    <row r="76" spans="1:7" x14ac:dyDescent="0.25">
      <c r="A76" s="19" t="s">
        <v>45</v>
      </c>
      <c r="B76" s="4"/>
      <c r="C76" s="13"/>
      <c r="D76" s="13"/>
      <c r="E76" s="13"/>
      <c r="F76" s="13"/>
      <c r="G76" s="13"/>
    </row>
    <row r="77" spans="1:7" x14ac:dyDescent="0.25">
      <c r="A77" s="19" t="s">
        <v>46</v>
      </c>
      <c r="B77" s="5"/>
      <c r="C77" s="13"/>
      <c r="D77" s="13"/>
      <c r="E77" s="13"/>
      <c r="F77" s="13"/>
      <c r="G77" s="13"/>
    </row>
    <row r="78" spans="1:7" x14ac:dyDescent="0.25">
      <c r="A78" s="19" t="s">
        <v>47</v>
      </c>
      <c r="B78" s="5"/>
      <c r="C78" s="13"/>
      <c r="D78" s="13"/>
      <c r="E78" s="13"/>
      <c r="F78" s="13"/>
      <c r="G78" s="13"/>
    </row>
    <row r="79" spans="1:7" x14ac:dyDescent="0.25">
      <c r="A79" s="19" t="s">
        <v>48</v>
      </c>
      <c r="B79" s="5"/>
      <c r="C79" s="13"/>
      <c r="D79" s="13"/>
      <c r="E79" s="13"/>
      <c r="F79" s="13"/>
      <c r="G79" s="13"/>
    </row>
    <row r="80" spans="1:7" x14ac:dyDescent="0.25">
      <c r="A80" s="19" t="s">
        <v>49</v>
      </c>
      <c r="B80" s="5"/>
      <c r="C80" s="13"/>
      <c r="D80" s="13"/>
      <c r="E80" s="13"/>
      <c r="F80" s="13"/>
      <c r="G80" s="13"/>
    </row>
    <row r="81" spans="1:7" x14ac:dyDescent="0.25">
      <c r="A81" s="19" t="s">
        <v>50</v>
      </c>
      <c r="B81" s="5"/>
      <c r="C81" s="13"/>
      <c r="D81" s="13"/>
      <c r="E81" s="13"/>
      <c r="F81" s="13"/>
      <c r="G81" s="13"/>
    </row>
    <row r="82" spans="1:7" x14ac:dyDescent="0.25">
      <c r="A82" s="31" t="s">
        <v>51</v>
      </c>
      <c r="B82" s="18">
        <f>MAX(B76:B81)</f>
        <v>0</v>
      </c>
      <c r="C82" s="13"/>
      <c r="D82" s="13"/>
      <c r="E82" s="13"/>
      <c r="F82" s="13"/>
      <c r="G82" s="13"/>
    </row>
    <row r="83" spans="1:7" x14ac:dyDescent="0.25">
      <c r="A83" s="19" t="s">
        <v>52</v>
      </c>
      <c r="B83" s="18">
        <f xml:space="preserve"> MIN(B76:B81)</f>
        <v>0</v>
      </c>
      <c r="C83" s="13"/>
      <c r="D83" s="13"/>
      <c r="E83" s="13"/>
      <c r="F83" s="13"/>
      <c r="G83" s="13"/>
    </row>
    <row r="84" spans="1:7" x14ac:dyDescent="0.25">
      <c r="A84" s="19" t="s">
        <v>53</v>
      </c>
      <c r="B84" s="22">
        <f>B82-B83</f>
        <v>0</v>
      </c>
      <c r="C84" s="13"/>
      <c r="D84" s="13"/>
      <c r="E84" s="13"/>
      <c r="F84" s="13"/>
      <c r="G84" s="13"/>
    </row>
    <row r="85" spans="1:7" x14ac:dyDescent="0.25">
      <c r="A85" s="19" t="s">
        <v>43</v>
      </c>
      <c r="B85" s="30">
        <v>0.5</v>
      </c>
      <c r="C85" s="13"/>
      <c r="D85" s="13"/>
      <c r="E85" s="13"/>
      <c r="F85" s="13"/>
      <c r="G85" s="13"/>
    </row>
    <row r="86" spans="1:7" x14ac:dyDescent="0.25">
      <c r="A86" s="19" t="s">
        <v>21</v>
      </c>
      <c r="B86" s="18" t="str">
        <f>IF(IMABS(B84)&gt;B85,"Reprovado","Aprovado")</f>
        <v>Aprovado</v>
      </c>
      <c r="C86" s="13"/>
      <c r="D86" s="13"/>
      <c r="E86" s="13"/>
      <c r="F86" s="13"/>
      <c r="G86" s="13"/>
    </row>
    <row r="87" spans="1:7" x14ac:dyDescent="0.25">
      <c r="A87" s="13"/>
      <c r="B87" s="13"/>
      <c r="C87" s="13"/>
      <c r="D87" s="13"/>
      <c r="E87" s="13"/>
      <c r="F87" s="13"/>
      <c r="G87" s="13"/>
    </row>
    <row r="88" spans="1:7" x14ac:dyDescent="0.25">
      <c r="A88" s="101" t="s">
        <v>54</v>
      </c>
      <c r="B88" s="101"/>
      <c r="C88" s="101"/>
      <c r="D88" s="101"/>
      <c r="E88" s="101"/>
      <c r="F88" s="101"/>
      <c r="G88" s="101"/>
    </row>
    <row r="89" spans="1:7" x14ac:dyDescent="0.25">
      <c r="A89" s="44" t="s">
        <v>55</v>
      </c>
      <c r="B89" s="45" t="s">
        <v>56</v>
      </c>
      <c r="C89" s="45" t="s">
        <v>57</v>
      </c>
      <c r="D89" s="48" t="s">
        <v>58</v>
      </c>
      <c r="E89" s="44" t="s">
        <v>59</v>
      </c>
      <c r="F89" s="13"/>
      <c r="G89" s="13"/>
    </row>
    <row r="90" spans="1:7" x14ac:dyDescent="0.25">
      <c r="A90" s="6"/>
      <c r="B90" s="2"/>
      <c r="C90" s="7"/>
      <c r="D90" s="7"/>
      <c r="E90" s="33" t="str">
        <f>IFERROR(AVERAGE(B90:D90),"-")</f>
        <v>-</v>
      </c>
      <c r="F90" s="13"/>
      <c r="G90" s="13"/>
    </row>
    <row r="91" spans="1:7" x14ac:dyDescent="0.25">
      <c r="A91" s="6"/>
      <c r="B91" s="2"/>
      <c r="C91" s="7"/>
      <c r="D91" s="7"/>
      <c r="E91" s="33" t="str">
        <f t="shared" ref="E91:E96" si="12">IFERROR(AVERAGE(B91:D91),"-")</f>
        <v>-</v>
      </c>
      <c r="F91" s="13"/>
      <c r="G91" s="13"/>
    </row>
    <row r="92" spans="1:7" x14ac:dyDescent="0.25">
      <c r="A92" s="6"/>
      <c r="B92" s="2"/>
      <c r="C92" s="7"/>
      <c r="D92" s="7"/>
      <c r="E92" s="33" t="str">
        <f t="shared" si="12"/>
        <v>-</v>
      </c>
      <c r="F92" s="13"/>
      <c r="G92" s="13"/>
    </row>
    <row r="93" spans="1:7" x14ac:dyDescent="0.25">
      <c r="A93" s="6"/>
      <c r="B93" s="2"/>
      <c r="C93" s="7"/>
      <c r="D93" s="7"/>
      <c r="E93" s="33" t="str">
        <f t="shared" si="12"/>
        <v>-</v>
      </c>
      <c r="F93" s="13"/>
      <c r="G93" s="13"/>
    </row>
    <row r="94" spans="1:7" x14ac:dyDescent="0.25">
      <c r="A94" s="6"/>
      <c r="B94" s="2"/>
      <c r="C94" s="7"/>
      <c r="D94" s="7"/>
      <c r="E94" s="33" t="str">
        <f t="shared" si="12"/>
        <v>-</v>
      </c>
      <c r="F94" s="13"/>
      <c r="G94" s="13"/>
    </row>
    <row r="95" spans="1:7" x14ac:dyDescent="0.25">
      <c r="A95" s="6"/>
      <c r="B95" s="2"/>
      <c r="C95" s="7"/>
      <c r="D95" s="7"/>
      <c r="E95" s="33" t="str">
        <f t="shared" si="12"/>
        <v>-</v>
      </c>
      <c r="F95" s="13"/>
      <c r="G95" s="13"/>
    </row>
    <row r="96" spans="1:7" x14ac:dyDescent="0.25">
      <c r="A96" s="6"/>
      <c r="B96" s="2"/>
      <c r="C96" s="7"/>
      <c r="D96" s="7"/>
      <c r="E96" s="33" t="str">
        <f t="shared" si="12"/>
        <v>-</v>
      </c>
      <c r="F96" s="13"/>
      <c r="G96" s="13"/>
    </row>
    <row r="97" spans="1:7" s="8" customFormat="1" ht="25.5" x14ac:dyDescent="0.25">
      <c r="A97" s="34" t="s">
        <v>60</v>
      </c>
      <c r="B97" s="35" t="s">
        <v>83</v>
      </c>
      <c r="C97" s="35" t="s">
        <v>83</v>
      </c>
      <c r="D97" s="35" t="s">
        <v>83</v>
      </c>
      <c r="E97" s="36" t="str">
        <f>IFERROR(RSQ(A90:A96,E90:E96),"-")</f>
        <v>-</v>
      </c>
      <c r="F97" s="37"/>
      <c r="G97" s="37"/>
    </row>
    <row r="98" spans="1:7" s="8" customFormat="1" x14ac:dyDescent="0.25">
      <c r="A98" s="34" t="s">
        <v>61</v>
      </c>
      <c r="B98" s="35" t="s">
        <v>83</v>
      </c>
      <c r="C98" s="35" t="s">
        <v>83</v>
      </c>
      <c r="D98" s="35" t="s">
        <v>83</v>
      </c>
      <c r="E98" s="38">
        <v>0.98</v>
      </c>
      <c r="F98" s="37"/>
      <c r="G98" s="37"/>
    </row>
    <row r="99" spans="1:7" s="8" customFormat="1" x14ac:dyDescent="0.25">
      <c r="A99" s="34" t="s">
        <v>21</v>
      </c>
      <c r="B99" s="35" t="s">
        <v>83</v>
      </c>
      <c r="C99" s="35" t="s">
        <v>83</v>
      </c>
      <c r="D99" s="35" t="s">
        <v>83</v>
      </c>
      <c r="E99" s="38" t="str">
        <f>IF(E97&lt;E98,"Reprovado","Aprovado")</f>
        <v>Aprovado</v>
      </c>
      <c r="F99" s="37"/>
      <c r="G99" s="37"/>
    </row>
    <row r="100" spans="1:7" x14ac:dyDescent="0.25">
      <c r="A100" s="91" t="s">
        <v>88</v>
      </c>
      <c r="B100" s="91"/>
      <c r="C100" s="91"/>
      <c r="D100" s="91"/>
      <c r="E100" s="91"/>
      <c r="F100" s="91"/>
      <c r="G100" s="91"/>
    </row>
    <row r="101" spans="1:7" x14ac:dyDescent="0.25">
      <c r="A101" s="27"/>
      <c r="B101" s="27"/>
      <c r="C101" s="27"/>
      <c r="D101" s="27"/>
      <c r="E101" s="27"/>
      <c r="F101" s="27"/>
      <c r="G101" s="27"/>
    </row>
    <row r="102" spans="1:7" ht="21.75" customHeight="1" thickBot="1" x14ac:dyDescent="0.3">
      <c r="A102" s="101" t="s">
        <v>62</v>
      </c>
      <c r="B102" s="101"/>
      <c r="C102" s="101"/>
      <c r="D102" s="101"/>
      <c r="E102" s="101"/>
      <c r="F102" s="101"/>
      <c r="G102" s="101"/>
    </row>
    <row r="103" spans="1:7" s="8" customFormat="1" ht="18.75" customHeight="1" thickBot="1" x14ac:dyDescent="0.3">
      <c r="A103" s="52" t="s">
        <v>63</v>
      </c>
      <c r="B103" s="53"/>
      <c r="C103" s="77" t="s">
        <v>3</v>
      </c>
      <c r="D103" s="108"/>
      <c r="E103" s="53"/>
      <c r="F103" s="53"/>
      <c r="G103" s="53"/>
    </row>
    <row r="104" spans="1:7" s="8" customFormat="1" ht="28.5" customHeight="1" thickBot="1" x14ac:dyDescent="0.3">
      <c r="A104" s="103" t="s">
        <v>64</v>
      </c>
      <c r="B104" s="103"/>
      <c r="C104" s="104"/>
      <c r="D104" s="105"/>
      <c r="E104" s="106"/>
      <c r="F104" s="106"/>
      <c r="G104" s="107"/>
    </row>
    <row r="105" spans="1:7" s="8" customFormat="1" ht="22.5" customHeight="1" thickBot="1" x14ac:dyDescent="0.3">
      <c r="A105" s="52" t="s">
        <v>65</v>
      </c>
      <c r="B105" s="53"/>
      <c r="C105" s="53"/>
      <c r="D105" s="54">
        <v>5</v>
      </c>
      <c r="E105" s="53" t="s">
        <v>66</v>
      </c>
      <c r="F105" s="53"/>
      <c r="G105" s="53"/>
    </row>
    <row r="106" spans="1:7" s="8" customFormat="1" ht="15.75" thickBot="1" x14ac:dyDescent="0.3">
      <c r="A106" s="53" t="s">
        <v>67</v>
      </c>
      <c r="B106" s="55"/>
      <c r="C106" s="53" t="s">
        <v>68</v>
      </c>
      <c r="D106" s="53"/>
      <c r="E106" s="53"/>
      <c r="F106" s="53"/>
      <c r="G106" s="53"/>
    </row>
    <row r="107" spans="1:7" ht="38.25" x14ac:dyDescent="0.25">
      <c r="A107" s="56" t="s">
        <v>69</v>
      </c>
      <c r="B107" s="57" t="s">
        <v>85</v>
      </c>
      <c r="C107" s="56" t="s">
        <v>70</v>
      </c>
      <c r="D107" s="15"/>
      <c r="E107" s="15"/>
      <c r="F107" s="15"/>
      <c r="G107" s="15"/>
    </row>
    <row r="108" spans="1:7" x14ac:dyDescent="0.25">
      <c r="A108" s="32">
        <v>1</v>
      </c>
      <c r="B108" s="43"/>
      <c r="C108" s="39" t="str">
        <f>IFERROR($D$105/B108,"-")</f>
        <v>-</v>
      </c>
      <c r="D108" s="15"/>
      <c r="E108" s="15"/>
      <c r="F108" s="15"/>
      <c r="G108" s="15"/>
    </row>
    <row r="109" spans="1:7" x14ac:dyDescent="0.25">
      <c r="A109" s="32">
        <v>2</v>
      </c>
      <c r="B109" s="43"/>
      <c r="C109" s="39" t="str">
        <f t="shared" ref="C109:C112" si="13">IFERROR($D$105/B109,"-")</f>
        <v>-</v>
      </c>
      <c r="D109" s="15"/>
      <c r="E109" s="15"/>
      <c r="F109" s="15"/>
      <c r="G109" s="15"/>
    </row>
    <row r="110" spans="1:7" x14ac:dyDescent="0.25">
      <c r="A110" s="32">
        <v>3</v>
      </c>
      <c r="B110" s="43"/>
      <c r="C110" s="39" t="str">
        <f t="shared" si="13"/>
        <v>-</v>
      </c>
      <c r="D110" s="15"/>
      <c r="E110" s="15"/>
      <c r="F110" s="15"/>
      <c r="G110" s="15"/>
    </row>
    <row r="111" spans="1:7" x14ac:dyDescent="0.25">
      <c r="A111" s="32">
        <v>4</v>
      </c>
      <c r="B111" s="43"/>
      <c r="C111" s="39" t="str">
        <f t="shared" si="13"/>
        <v>-</v>
      </c>
      <c r="D111" s="15"/>
      <c r="E111" s="15"/>
      <c r="F111" s="15"/>
      <c r="G111" s="15"/>
    </row>
    <row r="112" spans="1:7" x14ac:dyDescent="0.25">
      <c r="A112" s="32">
        <v>5</v>
      </c>
      <c r="B112" s="43"/>
      <c r="C112" s="39" t="str">
        <f t="shared" si="13"/>
        <v>-</v>
      </c>
      <c r="D112" s="15"/>
      <c r="E112" s="15"/>
      <c r="F112" s="15"/>
      <c r="G112" s="15"/>
    </row>
    <row r="113" spans="1:7" x14ac:dyDescent="0.25">
      <c r="A113" s="19" t="s">
        <v>17</v>
      </c>
      <c r="B113" s="18" t="s">
        <v>71</v>
      </c>
      <c r="C113" s="21" t="str">
        <f>IFERROR(AVERAGE(C108:C112),"-")</f>
        <v>-</v>
      </c>
      <c r="D113" s="15"/>
      <c r="E113" s="15"/>
      <c r="F113" s="15"/>
      <c r="G113" s="15"/>
    </row>
    <row r="114" spans="1:7" x14ac:dyDescent="0.25">
      <c r="A114" s="19" t="s">
        <v>18</v>
      </c>
      <c r="B114" s="18" t="s">
        <v>71</v>
      </c>
      <c r="C114" s="23" t="str">
        <f>IFERROR(STDEV(C108:C112),"-")</f>
        <v>-</v>
      </c>
      <c r="D114" s="15"/>
      <c r="E114" s="15"/>
      <c r="F114" s="15"/>
      <c r="G114" s="15"/>
    </row>
    <row r="115" spans="1:7" x14ac:dyDescent="0.25">
      <c r="A115" s="19" t="s">
        <v>19</v>
      </c>
      <c r="B115" s="18" t="s">
        <v>71</v>
      </c>
      <c r="C115" s="22" t="str">
        <f>IFERROR(C114/C113*100,"-")</f>
        <v>-</v>
      </c>
      <c r="D115" s="15"/>
      <c r="E115" s="15"/>
      <c r="F115" s="15"/>
      <c r="G115" s="15"/>
    </row>
    <row r="116" spans="1:7" x14ac:dyDescent="0.25">
      <c r="A116" s="32" t="s">
        <v>20</v>
      </c>
      <c r="B116" s="18" t="s">
        <v>71</v>
      </c>
      <c r="C116" s="40">
        <v>1</v>
      </c>
      <c r="D116" s="15"/>
      <c r="E116" s="15"/>
      <c r="F116" s="15"/>
      <c r="G116" s="15"/>
    </row>
    <row r="117" spans="1:7" x14ac:dyDescent="0.25">
      <c r="A117" s="19" t="s">
        <v>21</v>
      </c>
      <c r="B117" s="18" t="s">
        <v>71</v>
      </c>
      <c r="C117" s="18" t="str">
        <f>IF(C115&gt;C116,"Reprovado","Aprovado")</f>
        <v>Reprovado</v>
      </c>
      <c r="D117" s="15"/>
      <c r="E117" s="15"/>
      <c r="F117" s="15"/>
      <c r="G117" s="15"/>
    </row>
    <row r="118" spans="1:7" x14ac:dyDescent="0.25">
      <c r="A118" s="32" t="s">
        <v>72</v>
      </c>
      <c r="B118" s="18" t="s">
        <v>71</v>
      </c>
      <c r="C118" s="39" t="str">
        <f>IFERROR(B106-C113,"-")</f>
        <v>-</v>
      </c>
      <c r="D118" s="15"/>
      <c r="E118" s="15"/>
      <c r="F118" s="15"/>
      <c r="G118" s="15"/>
    </row>
    <row r="119" spans="1:7" x14ac:dyDescent="0.25">
      <c r="A119" s="32" t="s">
        <v>73</v>
      </c>
      <c r="B119" s="18" t="s">
        <v>71</v>
      </c>
      <c r="C119" s="30" t="str">
        <f>IFERROR(C118/B106*100,"-")</f>
        <v>-</v>
      </c>
      <c r="D119" s="15"/>
      <c r="E119" s="15"/>
      <c r="F119" s="15"/>
      <c r="G119" s="15"/>
    </row>
    <row r="120" spans="1:7" x14ac:dyDescent="0.25">
      <c r="A120" s="32" t="s">
        <v>74</v>
      </c>
      <c r="B120" s="18" t="s">
        <v>71</v>
      </c>
      <c r="C120" s="40">
        <v>3</v>
      </c>
      <c r="D120" s="15"/>
      <c r="E120" s="15"/>
      <c r="F120" s="15"/>
      <c r="G120" s="15"/>
    </row>
    <row r="121" spans="1:7" x14ac:dyDescent="0.25">
      <c r="A121" s="19" t="s">
        <v>21</v>
      </c>
      <c r="B121" s="18" t="s">
        <v>71</v>
      </c>
      <c r="C121" s="18" t="str">
        <f>IFERROR(IF(IMABS(C119)&gt;C120,"Reprovado","Aprovado"),"-")</f>
        <v>-</v>
      </c>
      <c r="D121" s="15"/>
      <c r="E121" s="15"/>
      <c r="F121" s="15"/>
      <c r="G121" s="15"/>
    </row>
    <row r="122" spans="1:7" ht="36" customHeight="1" x14ac:dyDescent="0.25">
      <c r="A122" s="120" t="s">
        <v>86</v>
      </c>
      <c r="B122" s="120"/>
      <c r="C122" s="120"/>
      <c r="D122" s="120"/>
      <c r="E122" s="120"/>
      <c r="F122" s="120"/>
      <c r="G122" s="120"/>
    </row>
    <row r="123" spans="1:7" x14ac:dyDescent="0.25">
      <c r="A123" s="41" t="s">
        <v>75</v>
      </c>
      <c r="B123" s="15"/>
      <c r="C123" s="15"/>
      <c r="D123" s="15"/>
      <c r="E123" s="15"/>
      <c r="F123" s="15"/>
      <c r="G123" s="15"/>
    </row>
    <row r="124" spans="1:7" ht="14.25" customHeight="1" x14ac:dyDescent="0.25">
      <c r="A124" s="49" t="s">
        <v>76</v>
      </c>
      <c r="B124" s="49" t="s">
        <v>77</v>
      </c>
      <c r="C124" s="15"/>
      <c r="D124" s="15"/>
      <c r="E124" s="15"/>
      <c r="F124" s="15"/>
      <c r="G124" s="15"/>
    </row>
    <row r="125" spans="1:7" x14ac:dyDescent="0.25">
      <c r="A125" s="32">
        <v>1</v>
      </c>
      <c r="B125" s="7"/>
      <c r="C125" s="15"/>
      <c r="D125" s="15"/>
      <c r="E125" s="15"/>
      <c r="F125" s="15"/>
      <c r="G125" s="15"/>
    </row>
    <row r="126" spans="1:7" x14ac:dyDescent="0.25">
      <c r="A126" s="32">
        <v>2</v>
      </c>
      <c r="B126" s="7"/>
      <c r="C126" s="15"/>
      <c r="D126" s="15"/>
      <c r="E126" s="15"/>
      <c r="F126" s="15"/>
      <c r="G126" s="15"/>
    </row>
    <row r="127" spans="1:7" x14ac:dyDescent="0.25">
      <c r="A127" s="32">
        <v>3</v>
      </c>
      <c r="B127" s="7"/>
      <c r="C127" s="15"/>
      <c r="D127" s="15"/>
      <c r="E127" s="15"/>
      <c r="F127" s="15"/>
      <c r="G127" s="15"/>
    </row>
    <row r="128" spans="1:7" x14ac:dyDescent="0.25">
      <c r="A128" s="32">
        <v>4</v>
      </c>
      <c r="B128" s="7"/>
      <c r="C128" s="15"/>
      <c r="D128" s="15"/>
      <c r="E128" s="15"/>
      <c r="F128" s="15"/>
      <c r="G128" s="15"/>
    </row>
    <row r="129" spans="1:7" x14ac:dyDescent="0.25">
      <c r="A129" s="32">
        <v>5</v>
      </c>
      <c r="B129" s="7"/>
      <c r="C129" s="15"/>
      <c r="D129" s="15"/>
      <c r="E129" s="15"/>
      <c r="F129" s="15"/>
      <c r="G129" s="15"/>
    </row>
    <row r="130" spans="1:7" x14ac:dyDescent="0.25">
      <c r="A130" s="32">
        <v>6</v>
      </c>
      <c r="B130" s="7"/>
      <c r="C130" s="15"/>
      <c r="D130" s="15"/>
      <c r="E130" s="15"/>
      <c r="F130" s="15"/>
      <c r="G130" s="15"/>
    </row>
    <row r="131" spans="1:7" x14ac:dyDescent="0.25">
      <c r="A131" s="32">
        <v>7</v>
      </c>
      <c r="B131" s="7"/>
      <c r="C131" s="15"/>
      <c r="D131" s="15"/>
      <c r="E131" s="15"/>
      <c r="F131" s="15"/>
      <c r="G131" s="15"/>
    </row>
    <row r="132" spans="1:7" x14ac:dyDescent="0.25">
      <c r="A132" s="32">
        <v>8</v>
      </c>
      <c r="B132" s="7"/>
      <c r="C132" s="15"/>
      <c r="D132" s="15"/>
      <c r="E132" s="15"/>
      <c r="F132" s="15"/>
      <c r="G132" s="15"/>
    </row>
    <row r="133" spans="1:7" x14ac:dyDescent="0.25">
      <c r="A133" s="32">
        <v>9</v>
      </c>
      <c r="B133" s="7"/>
      <c r="C133" s="15"/>
      <c r="D133" s="15"/>
      <c r="E133" s="15"/>
      <c r="F133" s="15"/>
      <c r="G133" s="15"/>
    </row>
    <row r="134" spans="1:7" x14ac:dyDescent="0.25">
      <c r="A134" s="32">
        <v>10</v>
      </c>
      <c r="B134" s="7"/>
      <c r="C134" s="15"/>
      <c r="D134" s="15"/>
      <c r="E134" s="15"/>
      <c r="F134" s="15"/>
      <c r="G134" s="15"/>
    </row>
    <row r="135" spans="1:7" x14ac:dyDescent="0.25">
      <c r="A135" s="32">
        <v>11</v>
      </c>
      <c r="B135" s="7"/>
      <c r="C135" s="15"/>
      <c r="D135" s="15"/>
      <c r="E135" s="15"/>
      <c r="F135" s="15"/>
      <c r="G135" s="15"/>
    </row>
    <row r="136" spans="1:7" x14ac:dyDescent="0.25">
      <c r="A136" s="32">
        <v>12</v>
      </c>
      <c r="B136" s="7"/>
      <c r="C136" s="15"/>
      <c r="D136" s="15"/>
      <c r="E136" s="15"/>
      <c r="F136" s="15"/>
      <c r="G136" s="15"/>
    </row>
    <row r="137" spans="1:7" x14ac:dyDescent="0.25">
      <c r="A137" s="32">
        <v>13</v>
      </c>
      <c r="B137" s="7"/>
      <c r="C137" s="15"/>
      <c r="D137" s="15"/>
      <c r="E137" s="15"/>
      <c r="F137" s="15"/>
      <c r="G137" s="15"/>
    </row>
    <row r="138" spans="1:7" x14ac:dyDescent="0.25">
      <c r="A138" s="32">
        <v>14</v>
      </c>
      <c r="B138" s="7"/>
      <c r="C138" s="15"/>
      <c r="D138" s="15"/>
      <c r="E138" s="15"/>
      <c r="F138" s="15"/>
      <c r="G138" s="15"/>
    </row>
    <row r="139" spans="1:7" x14ac:dyDescent="0.25">
      <c r="A139" s="32">
        <v>15</v>
      </c>
      <c r="B139" s="7"/>
      <c r="C139" s="15"/>
      <c r="D139" s="15"/>
      <c r="E139" s="15"/>
      <c r="F139" s="15"/>
      <c r="G139" s="15"/>
    </row>
    <row r="140" spans="1:7" x14ac:dyDescent="0.25">
      <c r="A140" s="32" t="s">
        <v>17</v>
      </c>
      <c r="B140" s="32" t="str">
        <f>IFERROR(AVERAGE(B125:B139),"-")</f>
        <v>-</v>
      </c>
      <c r="C140" s="15"/>
      <c r="D140" s="15"/>
      <c r="E140" s="15"/>
      <c r="F140" s="15"/>
      <c r="G140" s="15"/>
    </row>
    <row r="141" spans="1:7" ht="25.5" x14ac:dyDescent="0.25">
      <c r="A141" s="32" t="s">
        <v>78</v>
      </c>
      <c r="B141" s="7"/>
      <c r="C141" s="15"/>
      <c r="D141" s="15"/>
      <c r="E141" s="15"/>
      <c r="F141" s="15"/>
      <c r="G141" s="15"/>
    </row>
    <row r="142" spans="1:7" x14ac:dyDescent="0.25">
      <c r="A142" s="19" t="s">
        <v>21</v>
      </c>
      <c r="B142" s="18" t="str">
        <f>IFERROR(IF(IMABS(B140)&gt;B141,"Reprovado","Aprovado"),"-")</f>
        <v>-</v>
      </c>
      <c r="C142" s="15"/>
      <c r="D142" s="15"/>
      <c r="E142" s="15"/>
      <c r="F142" s="15"/>
      <c r="G142" s="15"/>
    </row>
    <row r="143" spans="1:7" ht="15.75" thickBot="1" x14ac:dyDescent="0.3">
      <c r="A143" s="15"/>
      <c r="B143" s="15"/>
      <c r="C143" s="15"/>
      <c r="D143" s="15"/>
      <c r="E143" s="15"/>
      <c r="F143" s="15"/>
      <c r="G143" s="15"/>
    </row>
    <row r="144" spans="1:7" ht="15.75" thickBot="1" x14ac:dyDescent="0.3">
      <c r="A144" s="92" t="s">
        <v>79</v>
      </c>
      <c r="B144" s="93"/>
      <c r="C144" s="93"/>
      <c r="D144" s="93"/>
      <c r="E144" s="93"/>
      <c r="F144" s="93"/>
      <c r="G144" s="94"/>
    </row>
    <row r="145" spans="1:7" ht="6.75" customHeight="1" thickBot="1" x14ac:dyDescent="0.3">
      <c r="A145" s="42"/>
      <c r="B145" s="42"/>
      <c r="C145" s="42"/>
      <c r="D145" s="42"/>
      <c r="E145" s="42"/>
      <c r="F145" s="42"/>
      <c r="G145" s="42"/>
    </row>
    <row r="146" spans="1:7" ht="15.75" thickBot="1" x14ac:dyDescent="0.3">
      <c r="A146" s="95" t="s">
        <v>80</v>
      </c>
      <c r="B146" s="96"/>
      <c r="C146" s="96"/>
      <c r="D146" s="96"/>
      <c r="E146" s="96"/>
      <c r="F146" s="96"/>
      <c r="G146" s="97"/>
    </row>
    <row r="147" spans="1:7" ht="9" customHeight="1" thickBot="1" x14ac:dyDescent="0.3">
      <c r="A147" s="42"/>
      <c r="B147" s="42"/>
      <c r="C147" s="42"/>
      <c r="D147" s="42"/>
      <c r="E147" s="42"/>
      <c r="F147" s="42"/>
      <c r="G147" s="42"/>
    </row>
    <row r="148" spans="1:7" ht="15.75" thickBot="1" x14ac:dyDescent="0.3">
      <c r="A148" s="92" t="s">
        <v>81</v>
      </c>
      <c r="B148" s="93"/>
      <c r="C148" s="93"/>
      <c r="D148" s="93"/>
      <c r="E148" s="93"/>
      <c r="F148" s="93"/>
      <c r="G148" s="94"/>
    </row>
    <row r="149" spans="1:7" ht="35.25" customHeight="1" thickBot="1" x14ac:dyDescent="0.3">
      <c r="A149" s="98"/>
      <c r="B149" s="99"/>
      <c r="C149" s="99"/>
      <c r="D149" s="99"/>
      <c r="E149" s="99"/>
      <c r="F149" s="99"/>
      <c r="G149" s="100"/>
    </row>
    <row r="150" spans="1:7" ht="31.5" customHeight="1" thickBot="1" x14ac:dyDescent="0.3">
      <c r="A150" s="87" t="s">
        <v>82</v>
      </c>
      <c r="B150" s="88"/>
      <c r="C150" s="88"/>
      <c r="D150" s="89"/>
      <c r="E150" s="89"/>
      <c r="F150" s="89"/>
      <c r="G150" s="90"/>
    </row>
    <row r="151" spans="1:7" x14ac:dyDescent="0.25">
      <c r="A151" s="91" t="s">
        <v>89</v>
      </c>
      <c r="B151" s="91"/>
      <c r="C151" s="91"/>
      <c r="D151" s="91"/>
      <c r="E151" s="91"/>
      <c r="F151" s="91"/>
      <c r="G151" s="91"/>
    </row>
  </sheetData>
  <sheetProtection algorithmName="SHA-512" hashValue="YwZAz+7jI1zrKHJI1b6OfEq86Ex8SfPzAIc5q3xUW1xgYJ3xnXHoyVQZ05xvaxcmiRHANGV9hQot7/SHbhLc7Q==" saltValue="g0MtTw9qmfrxr/lUnnhiKQ==" spinCount="100000" sheet="1" objects="1" scenarios="1"/>
  <mergeCells count="41">
    <mergeCell ref="A102:G102"/>
    <mergeCell ref="C103:D103"/>
    <mergeCell ref="A122:G122"/>
    <mergeCell ref="A14:G14"/>
    <mergeCell ref="A28:G28"/>
    <mergeCell ref="F15:G15"/>
    <mergeCell ref="B29:C29"/>
    <mergeCell ref="D29:E29"/>
    <mergeCell ref="F29:G29"/>
    <mergeCell ref="A15:A16"/>
    <mergeCell ref="A29:A30"/>
    <mergeCell ref="C55:D55"/>
    <mergeCell ref="B15:C15"/>
    <mergeCell ref="D15:E15"/>
    <mergeCell ref="A150:C150"/>
    <mergeCell ref="D150:G150"/>
    <mergeCell ref="A151:G151"/>
    <mergeCell ref="A52:G52"/>
    <mergeCell ref="A100:G100"/>
    <mergeCell ref="A144:G144"/>
    <mergeCell ref="A146:G146"/>
    <mergeCell ref="A148:G148"/>
    <mergeCell ref="A149:G149"/>
    <mergeCell ref="A54:G54"/>
    <mergeCell ref="A72:G72"/>
    <mergeCell ref="C73:D73"/>
    <mergeCell ref="A73:B73"/>
    <mergeCell ref="A88:G88"/>
    <mergeCell ref="A104:C104"/>
    <mergeCell ref="D104:G104"/>
    <mergeCell ref="A1:G1"/>
    <mergeCell ref="B6:G6"/>
    <mergeCell ref="B8:G8"/>
    <mergeCell ref="B12:D12"/>
    <mergeCell ref="F12:G12"/>
    <mergeCell ref="F4:G4"/>
    <mergeCell ref="A7:G7"/>
    <mergeCell ref="A5:G5"/>
    <mergeCell ref="A11:G11"/>
    <mergeCell ref="E10:G10"/>
    <mergeCell ref="A2:G3"/>
  </mergeCells>
  <conditionalFormatting sqref="C117 C121 B142 B86 B67:D67 B26:G26 B53:G53 E99 B70:D70">
    <cfRule type="cellIs" dxfId="3" priority="3" operator="equal">
      <formula>"Reprovado"</formula>
    </cfRule>
    <cfRule type="cellIs" dxfId="2" priority="4" operator="equal">
      <formula>"Aprovado"</formula>
    </cfRule>
  </conditionalFormatting>
  <conditionalFormatting sqref="B50:G50">
    <cfRule type="cellIs" dxfId="1" priority="1" operator="equal">
      <formula>"Reprovado"</formula>
    </cfRule>
    <cfRule type="cellIs" dxfId="0" priority="2" operator="equal">
      <formula>"Aprovado"</formula>
    </cfRule>
  </conditionalFormatting>
  <pageMargins left="0.51181102362204722" right="0.51181102362204722" top="0.78740157480314965" bottom="0.78740157480314965" header="0.31496062992125984" footer="0.31496062992125984"/>
  <pageSetup paperSize="9" scale="87" orientation="portrait" r:id="rId1"/>
  <rowBreaks count="2" manualBreakCount="2">
    <brk id="52" max="6" man="1"/>
    <brk id="101" max="6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1552575</xdr:colOff>
                    <xdr:row>145</xdr:row>
                    <xdr:rowOff>0</xdr:rowOff>
                  </from>
                  <to>
                    <xdr:col>2</xdr:col>
                    <xdr:colOff>142875</xdr:colOff>
                    <xdr:row>146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76200</xdr:colOff>
                    <xdr:row>144</xdr:row>
                    <xdr:rowOff>85725</xdr:rowOff>
                  </from>
                  <to>
                    <xdr:col>4</xdr:col>
                    <xdr:colOff>47625</xdr:colOff>
                    <xdr:row>146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Daiana</cp:lastModifiedBy>
  <cp:lastPrinted>2022-03-17T13:58:04Z</cp:lastPrinted>
  <dcterms:created xsi:type="dcterms:W3CDTF">2017-09-20T14:11:46Z</dcterms:created>
  <dcterms:modified xsi:type="dcterms:W3CDTF">2022-03-17T13:58:09Z</dcterms:modified>
</cp:coreProperties>
</file>