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0115" windowHeight="7995"/>
  </bookViews>
  <sheets>
    <sheet name="Plan1" sheetId="1" r:id="rId1"/>
  </sheets>
  <calcPr calcId="145621"/>
</workbook>
</file>

<file path=xl/calcChain.xml><?xml version="1.0" encoding="utf-8"?>
<calcChain xmlns="http://schemas.openxmlformats.org/spreadsheetml/2006/main">
  <c r="E97" i="1" l="1"/>
  <c r="E96" i="1"/>
  <c r="E95" i="1"/>
  <c r="C58" i="1"/>
  <c r="C59" i="1"/>
  <c r="C60" i="1" s="1"/>
  <c r="B87" i="1" l="1"/>
  <c r="C86" i="1"/>
  <c r="G42" i="1"/>
  <c r="F42" i="1"/>
  <c r="E42" i="1"/>
  <c r="D42" i="1"/>
  <c r="C42" i="1"/>
  <c r="B42" i="1"/>
  <c r="C41" i="1"/>
  <c r="D41" i="1"/>
  <c r="E41" i="1"/>
  <c r="F41" i="1"/>
  <c r="G41" i="1"/>
  <c r="B41" i="1"/>
  <c r="C18" i="1"/>
  <c r="D18" i="1"/>
  <c r="E18" i="1"/>
  <c r="F18" i="1"/>
  <c r="G18" i="1"/>
  <c r="B18" i="1"/>
  <c r="C17" i="1"/>
  <c r="D17" i="1"/>
  <c r="E17" i="1"/>
  <c r="F17" i="1"/>
  <c r="G17" i="1"/>
  <c r="B17" i="1"/>
  <c r="E59" i="1"/>
  <c r="E58" i="1"/>
  <c r="B71" i="1" s="1"/>
  <c r="D59" i="1"/>
  <c r="D58" i="1"/>
  <c r="B70" i="1" s="1"/>
  <c r="B69" i="1"/>
  <c r="A71" i="1"/>
  <c r="A70" i="1"/>
  <c r="B72" i="1" s="1"/>
  <c r="A69" i="1"/>
  <c r="C62" i="1" l="1"/>
  <c r="B19" i="1"/>
  <c r="B21" i="1" s="1"/>
  <c r="D63" i="1"/>
  <c r="D65" i="1" s="1"/>
  <c r="C63" i="1"/>
  <c r="E63" i="1"/>
  <c r="E65" i="1" s="1"/>
  <c r="C87" i="1"/>
  <c r="C88" i="1" s="1"/>
  <c r="C90" i="1" s="1"/>
  <c r="E101" i="1"/>
  <c r="E100" i="1"/>
  <c r="E99" i="1"/>
  <c r="E98" i="1"/>
  <c r="E102" i="1" s="1"/>
  <c r="B86" i="1"/>
  <c r="B88" i="1" s="1"/>
  <c r="B90" i="1" s="1"/>
  <c r="E64" i="1"/>
  <c r="D64" i="1"/>
  <c r="C64" i="1"/>
  <c r="E60" i="1"/>
  <c r="E62" i="1" s="1"/>
  <c r="E43" i="1"/>
  <c r="E45" i="1" s="1"/>
  <c r="D43" i="1"/>
  <c r="D45" i="1" s="1"/>
  <c r="G43" i="1"/>
  <c r="G45" i="1" s="1"/>
  <c r="F43" i="1"/>
  <c r="F45" i="1" s="1"/>
  <c r="C43" i="1"/>
  <c r="C45" i="1" s="1"/>
  <c r="B43" i="1"/>
  <c r="B45" i="1" s="1"/>
  <c r="E19" i="1"/>
  <c r="E21" i="1" s="1"/>
  <c r="D19" i="1"/>
  <c r="D21" i="1" s="1"/>
  <c r="F19" i="1"/>
  <c r="F21" i="1" s="1"/>
  <c r="E104" i="1" l="1"/>
  <c r="C65" i="1"/>
  <c r="C19" i="1"/>
  <c r="C21" i="1" s="1"/>
  <c r="G19" i="1"/>
  <c r="G21" i="1" s="1"/>
  <c r="D60" i="1"/>
  <c r="D62" i="1" s="1"/>
  <c r="B74" i="1"/>
</calcChain>
</file>

<file path=xl/sharedStrings.xml><?xml version="1.0" encoding="utf-8"?>
<sst xmlns="http://schemas.openxmlformats.org/spreadsheetml/2006/main" count="124" uniqueCount="76">
  <si>
    <t>VERIFICAÇÃO DA PERFORMANCE DE CROMATÓGRAFOS GASOSOS (CG)</t>
  </si>
  <si>
    <t>Identificação do equipamento:</t>
  </si>
  <si>
    <t>Outros acessórios:</t>
  </si>
  <si>
    <t>Condições analíticas:</t>
  </si>
  <si>
    <t>Padrão analítico:  (o padrão escolhido pode conter mais de um analito)</t>
  </si>
  <si>
    <t xml:space="preserve">Responsável pela prática: </t>
  </si>
  <si>
    <t>Data:</t>
  </si>
  <si>
    <r>
      <t>1.</t>
    </r>
    <r>
      <rPr>
        <b/>
        <sz val="7"/>
        <color indexed="8"/>
        <rFont val="Arial"/>
        <family val="2"/>
      </rPr>
      <t xml:space="preserve"> </t>
    </r>
    <r>
      <rPr>
        <b/>
        <sz val="10"/>
        <color indexed="8"/>
        <rFont val="Arial"/>
        <family val="2"/>
      </rPr>
      <t>Precisão</t>
    </r>
  </si>
  <si>
    <t>Analito A</t>
  </si>
  <si>
    <t>Analito B</t>
  </si>
  <si>
    <t>Analito C</t>
  </si>
  <si>
    <t>Injeção</t>
  </si>
  <si>
    <t>Área</t>
  </si>
  <si>
    <t>Tempo de retenção</t>
  </si>
  <si>
    <t>Média</t>
  </si>
  <si>
    <t>DP</t>
  </si>
  <si>
    <t>CV (%)</t>
  </si>
  <si>
    <t>Critério de aceite (CV)</t>
  </si>
  <si>
    <t>Aprovado/Reprovado</t>
  </si>
  <si>
    <r>
      <t>2.</t>
    </r>
    <r>
      <rPr>
        <b/>
        <sz val="7"/>
        <color indexed="8"/>
        <rFont val="Arial"/>
        <family val="2"/>
      </rPr>
      <t> </t>
    </r>
    <r>
      <rPr>
        <b/>
        <sz val="10"/>
        <color indexed="8"/>
        <rFont val="Arial"/>
        <family val="2"/>
      </rPr>
      <t>Precisão intermediária</t>
    </r>
  </si>
  <si>
    <t>Dia 1 - 1</t>
  </si>
  <si>
    <t>Dia 1 - 2</t>
  </si>
  <si>
    <t>Dia 1 - 3</t>
  </si>
  <si>
    <t>Dia 1 - 4</t>
  </si>
  <si>
    <t>Dia 1 - 5</t>
  </si>
  <si>
    <t>Dia 2 - 1</t>
  </si>
  <si>
    <t>Dia 2 - 2</t>
  </si>
  <si>
    <t>Dia 2 - 3</t>
  </si>
  <si>
    <t>Dia 2 - 4</t>
  </si>
  <si>
    <t>Dia 2 - 5</t>
  </si>
  <si>
    <t>Dia 3 - 1</t>
  </si>
  <si>
    <t>Dia 3 - 2</t>
  </si>
  <si>
    <t>Dia 3 - 3</t>
  </si>
  <si>
    <t>Dia 3 - 4</t>
  </si>
  <si>
    <t>Dia 3 - 5</t>
  </si>
  <si>
    <t>3. Precisão e exatidão da temperatura do forno</t>
  </si>
  <si>
    <t>Termômetro utilizado na verificação:</t>
  </si>
  <si>
    <t>Temp. ajustada (°C):</t>
  </si>
  <si>
    <t>Valor medido</t>
  </si>
  <si>
    <t>Erro Absoluto (°C)</t>
  </si>
  <si>
    <t>Critério de aceite (°C)</t>
  </si>
  <si>
    <r>
      <t>4.</t>
    </r>
    <r>
      <rPr>
        <b/>
        <sz val="7"/>
        <color indexed="8"/>
        <rFont val="Arial"/>
        <family val="2"/>
      </rPr>
      <t> </t>
    </r>
    <r>
      <rPr>
        <b/>
        <sz val="10"/>
        <color indexed="8"/>
        <rFont val="Arial"/>
        <family val="2"/>
      </rPr>
      <t>Linearidade da temperatura do forno</t>
    </r>
  </si>
  <si>
    <t>Temp. média</t>
  </si>
  <si>
    <r>
      <t>Coeficiente de determinação (r</t>
    </r>
    <r>
      <rPr>
        <vertAlign val="superscript"/>
        <sz val="10"/>
        <color indexed="8"/>
        <rFont val="Arial"/>
        <family val="2"/>
      </rPr>
      <t>2</t>
    </r>
    <r>
      <rPr>
        <sz val="10"/>
        <color indexed="8"/>
        <rFont val="Arial"/>
        <family val="2"/>
      </rPr>
      <t>)</t>
    </r>
  </si>
  <si>
    <t>Critério de aceite</t>
  </si>
  <si>
    <t>5. Estabilidade da temperatura do forno</t>
  </si>
  <si>
    <t>Tempo 0</t>
  </si>
  <si>
    <t>Tempo 5 min</t>
  </si>
  <si>
    <t>Tempo 10 min</t>
  </si>
  <si>
    <t>Tempo 15 min</t>
  </si>
  <si>
    <t>Tempo 20 min</t>
  </si>
  <si>
    <t>Temp. máxima</t>
  </si>
  <si>
    <t>Temp. mínima</t>
  </si>
  <si>
    <t>Diferença (máx-min)</t>
  </si>
  <si>
    <r>
      <t>6.</t>
    </r>
    <r>
      <rPr>
        <b/>
        <sz val="7"/>
        <color indexed="8"/>
        <rFont val="Arial"/>
        <family val="2"/>
      </rPr>
      <t> </t>
    </r>
    <r>
      <rPr>
        <b/>
        <sz val="10"/>
        <color indexed="8"/>
        <rFont val="Arial"/>
        <family val="2"/>
      </rPr>
      <t>Linearidade do detector</t>
    </r>
  </si>
  <si>
    <t>Concentração do padrão</t>
  </si>
  <si>
    <t>Área 1</t>
  </si>
  <si>
    <t>Área 2</t>
  </si>
  <si>
    <t>Área 3</t>
  </si>
  <si>
    <t>Área média</t>
  </si>
  <si>
    <r>
      <t>Coeficiente de determinação (r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>)</t>
    </r>
  </si>
  <si>
    <t>---------------------</t>
  </si>
  <si>
    <t>AVALIAÇÃO FINAL</t>
  </si>
  <si>
    <t>OBSERVAÇÕES</t>
  </si>
  <si>
    <t xml:space="preserve">Responsável pela verificação dos dados e aprovação do equipamento para uso: </t>
  </si>
  <si>
    <t xml:space="preserve">                            APROVADO                             REPROVADO</t>
  </si>
  <si>
    <t>EQ-</t>
  </si>
  <si>
    <t>Tempo 2 min</t>
  </si>
  <si>
    <t>Tempo 4 min</t>
  </si>
  <si>
    <t>Tempo 6 min</t>
  </si>
  <si>
    <t>Tempo 8 min</t>
  </si>
  <si>
    <t>Repetições (Tempo)</t>
  </si>
  <si>
    <t>FQ-07.22 (anexo à IT-07.03.05) - RA - revisão 03 de 23/03/18 - Página 1/3</t>
  </si>
  <si>
    <t>FQ-07.22 (anexo à IT-07.03.05) - RA - revisão 03 de 23/03/18 - Página 2/3</t>
  </si>
  <si>
    <t>FQ-07.22 (anexo à IT-07.03.05) - RA - revisão 03 de 23/03/18 - Página 3/3</t>
  </si>
  <si>
    <t>Termômetro
(utilizado na verificação):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</si>
</sst>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7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vertAlign val="superscript"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vertAlign val="superscript"/>
      <sz val="10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0" borderId="10" xfId="0" applyFont="1" applyBorder="1" applyAlignment="1" applyProtection="1">
      <alignment horizontal="left"/>
      <protection locked="0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top" wrapText="1"/>
    </xf>
    <xf numFmtId="0" fontId="3" fillId="0" borderId="10" xfId="0" applyFont="1" applyBorder="1" applyAlignment="1" applyProtection="1">
      <alignment horizontal="center" wrapText="1"/>
      <protection locked="0"/>
    </xf>
    <xf numFmtId="0" fontId="3" fillId="0" borderId="13" xfId="0" applyFont="1" applyBorder="1" applyAlignment="1" applyProtection="1">
      <alignment horizontal="center" wrapText="1"/>
      <protection locked="0"/>
    </xf>
    <xf numFmtId="0" fontId="8" fillId="0" borderId="10" xfId="0" applyFont="1" applyBorder="1" applyAlignment="1">
      <alignment horizontal="center" vertical="top" wrapText="1"/>
    </xf>
    <xf numFmtId="164" fontId="3" fillId="0" borderId="14" xfId="0" applyNumberFormat="1" applyFont="1" applyBorder="1" applyAlignment="1">
      <alignment horizontal="center" wrapText="1"/>
    </xf>
    <xf numFmtId="164" fontId="3" fillId="0" borderId="10" xfId="0" applyNumberFormat="1" applyFont="1" applyBorder="1" applyAlignment="1">
      <alignment horizontal="center" wrapText="1"/>
    </xf>
    <xf numFmtId="165" fontId="3" fillId="0" borderId="10" xfId="0" applyNumberFormat="1" applyFont="1" applyBorder="1" applyAlignment="1">
      <alignment horizontal="center" wrapText="1"/>
    </xf>
    <xf numFmtId="2" fontId="3" fillId="0" borderId="10" xfId="0" applyNumberFormat="1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2" fillId="0" borderId="0" xfId="0" applyFont="1"/>
    <xf numFmtId="0" fontId="2" fillId="0" borderId="10" xfId="0" applyFont="1" applyBorder="1" applyProtection="1">
      <protection locked="0"/>
    </xf>
    <xf numFmtId="0" fontId="8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7" fillId="2" borderId="13" xfId="0" applyFont="1" applyFill="1" applyBorder="1" applyAlignment="1">
      <alignment horizontal="center" vertical="top" wrapText="1"/>
    </xf>
    <xf numFmtId="164" fontId="3" fillId="0" borderId="13" xfId="0" applyNumberFormat="1" applyFont="1" applyBorder="1" applyAlignment="1">
      <alignment horizontal="center" vertical="center" wrapText="1"/>
    </xf>
    <xf numFmtId="165" fontId="3" fillId="0" borderId="10" xfId="0" applyNumberFormat="1" applyFont="1" applyBorder="1" applyAlignment="1">
      <alignment horizontal="center" vertical="center" wrapText="1"/>
    </xf>
    <xf numFmtId="0" fontId="2" fillId="0" borderId="0" xfId="0" applyFont="1" applyBorder="1"/>
    <xf numFmtId="0" fontId="8" fillId="0" borderId="14" xfId="0" applyFont="1" applyBorder="1" applyAlignment="1">
      <alignment horizontal="center" vertical="top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9" fillId="0" borderId="12" xfId="0" applyFont="1" applyBorder="1" applyAlignment="1" applyProtection="1">
      <alignment horizontal="center" vertical="top" wrapText="1"/>
      <protection locked="0"/>
    </xf>
    <xf numFmtId="0" fontId="9" fillId="0" borderId="10" xfId="0" applyFont="1" applyBorder="1" applyAlignment="1" applyProtection="1">
      <alignment horizontal="center" wrapText="1"/>
      <protection locked="0"/>
    </xf>
    <xf numFmtId="0" fontId="9" fillId="0" borderId="10" xfId="0" applyFont="1" applyBorder="1" applyAlignment="1">
      <alignment horizontal="center" vertical="top" wrapText="1"/>
    </xf>
    <xf numFmtId="0" fontId="9" fillId="0" borderId="14" xfId="0" quotePrefix="1" applyFont="1" applyBorder="1" applyAlignment="1">
      <alignment horizontal="center" vertical="center" wrapText="1"/>
    </xf>
    <xf numFmtId="165" fontId="9" fillId="0" borderId="10" xfId="0" applyNumberFormat="1" applyFont="1" applyBorder="1" applyAlignment="1">
      <alignment horizontal="center" vertical="center" wrapText="1"/>
    </xf>
    <xf numFmtId="0" fontId="16" fillId="0" borderId="10" xfId="0" applyFont="1" applyBorder="1" applyProtection="1">
      <protection locked="0"/>
    </xf>
    <xf numFmtId="0" fontId="0" fillId="0" borderId="0" xfId="0" applyAlignment="1">
      <alignment vertical="center"/>
    </xf>
    <xf numFmtId="0" fontId="4" fillId="2" borderId="10" xfId="0" applyFont="1" applyFill="1" applyBorder="1" applyAlignment="1">
      <alignment horizontal="left" vertical="center"/>
    </xf>
    <xf numFmtId="0" fontId="3" fillId="0" borderId="4" xfId="0" applyFont="1" applyBorder="1" applyAlignment="1" applyProtection="1">
      <alignment vertical="center"/>
      <protection locked="0"/>
    </xf>
    <xf numFmtId="0" fontId="13" fillId="0" borderId="11" xfId="0" applyFont="1" applyBorder="1" applyAlignment="1" applyProtection="1">
      <alignment horizontal="center" vertical="top" wrapText="1"/>
      <protection locked="0"/>
    </xf>
    <xf numFmtId="0" fontId="9" fillId="0" borderId="10" xfId="0" applyFont="1" applyBorder="1" applyAlignment="1">
      <alignment horizontal="center" wrapText="1"/>
    </xf>
    <xf numFmtId="164" fontId="9" fillId="0" borderId="10" xfId="0" applyNumberFormat="1" applyFont="1" applyBorder="1" applyAlignment="1">
      <alignment horizontal="center" wrapText="1"/>
    </xf>
    <xf numFmtId="0" fontId="9" fillId="0" borderId="13" xfId="0" applyFont="1" applyBorder="1" applyAlignment="1" applyProtection="1">
      <alignment horizontal="center" vertical="center" wrapText="1"/>
    </xf>
    <xf numFmtId="0" fontId="2" fillId="0" borderId="14" xfId="0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vertical="center"/>
      <protection locked="0"/>
    </xf>
    <xf numFmtId="0" fontId="8" fillId="0" borderId="11" xfId="0" applyFont="1" applyBorder="1" applyAlignment="1">
      <alignment horizontal="center" vertical="top" wrapText="1"/>
    </xf>
    <xf numFmtId="1" fontId="3" fillId="0" borderId="11" xfId="0" applyNumberFormat="1" applyFont="1" applyBorder="1" applyAlignment="1">
      <alignment horizontal="center" wrapText="1"/>
    </xf>
    <xf numFmtId="0" fontId="7" fillId="0" borderId="16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164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164" fontId="9" fillId="0" borderId="11" xfId="0" applyNumberFormat="1" applyFont="1" applyBorder="1" applyAlignment="1">
      <alignment horizontal="center" vertical="top" wrapText="1"/>
    </xf>
    <xf numFmtId="0" fontId="13" fillId="0" borderId="18" xfId="0" applyFont="1" applyBorder="1" applyAlignment="1">
      <alignment horizont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6" xfId="0" quotePrefix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17" xfId="0" quotePrefix="1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protection locked="0"/>
    </xf>
    <xf numFmtId="0" fontId="9" fillId="0" borderId="13" xfId="0" applyFont="1" applyBorder="1" applyAlignment="1" applyProtection="1">
      <alignment horizontal="center" wrapText="1"/>
      <protection locked="0"/>
    </xf>
    <xf numFmtId="0" fontId="9" fillId="0" borderId="12" xfId="0" applyFont="1" applyBorder="1" applyAlignment="1">
      <alignment horizontal="center" wrapText="1"/>
    </xf>
    <xf numFmtId="0" fontId="9" fillId="0" borderId="13" xfId="0" applyFont="1" applyBorder="1" applyAlignment="1">
      <alignment horizontal="center" wrapText="1"/>
    </xf>
    <xf numFmtId="0" fontId="9" fillId="0" borderId="12" xfId="0" applyFont="1" applyBorder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3" fillId="0" borderId="20" xfId="0" applyFont="1" applyBorder="1" applyAlignment="1" applyProtection="1">
      <alignment horizontal="left" vertical="top"/>
      <protection locked="0"/>
    </xf>
    <xf numFmtId="0" fontId="3" fillId="0" borderId="19" xfId="0" applyFont="1" applyBorder="1" applyAlignment="1" applyProtection="1">
      <alignment horizontal="left" vertical="top"/>
      <protection locked="0"/>
    </xf>
    <xf numFmtId="0" fontId="3" fillId="0" borderId="21" xfId="0" applyFont="1" applyBorder="1" applyAlignment="1" applyProtection="1">
      <alignment horizontal="left" vertical="top"/>
      <protection locked="0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25" xfId="0" applyFont="1" applyBorder="1" applyAlignment="1" applyProtection="1">
      <alignment horizontal="center" vertical="center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left" vertical="center"/>
      <protection locked="0"/>
    </xf>
    <xf numFmtId="0" fontId="13" fillId="0" borderId="2" xfId="0" applyFont="1" applyBorder="1" applyAlignment="1" applyProtection="1">
      <alignment horizontal="left" vertical="center"/>
      <protection locked="0"/>
    </xf>
    <xf numFmtId="0" fontId="13" fillId="0" borderId="3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3" fillId="0" borderId="22" xfId="0" applyFont="1" applyBorder="1" applyAlignment="1" applyProtection="1">
      <alignment horizontal="left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0" fontId="3" fillId="0" borderId="24" xfId="0" applyFont="1" applyBorder="1" applyAlignment="1" applyProtection="1">
      <alignment horizontal="left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4" fillId="0" borderId="15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8" fillId="0" borderId="10" xfId="0" applyFont="1" applyBorder="1" applyAlignment="1">
      <alignment horizontal="center" vertical="top" wrapText="1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13" fillId="0" borderId="16" xfId="0" applyFont="1" applyBorder="1" applyAlignment="1" applyProtection="1">
      <alignment horizontal="center" vertical="center" wrapText="1"/>
      <protection locked="0"/>
    </xf>
    <xf numFmtId="0" fontId="13" fillId="0" borderId="17" xfId="0" applyFont="1" applyBorder="1" applyAlignment="1" applyProtection="1">
      <alignment horizontal="center" vertical="center" wrapText="1"/>
      <protection locked="0"/>
    </xf>
    <xf numFmtId="0" fontId="13" fillId="0" borderId="17" xfId="0" applyFont="1" applyBorder="1" applyAlignment="1" applyProtection="1">
      <alignment horizontal="center" vertical="center"/>
      <protection locked="0"/>
    </xf>
    <xf numFmtId="0" fontId="13" fillId="0" borderId="18" xfId="0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left"/>
    </xf>
    <xf numFmtId="0" fontId="7" fillId="0" borderId="16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13" fillId="2" borderId="1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 wrapText="1"/>
      <protection locked="0"/>
    </xf>
    <xf numFmtId="0" fontId="9" fillId="0" borderId="5" xfId="0" applyFont="1" applyBorder="1" applyAlignment="1" applyProtection="1">
      <alignment horizontal="center" wrapText="1"/>
      <protection locked="0"/>
    </xf>
    <xf numFmtId="0" fontId="9" fillId="0" borderId="6" xfId="0" applyFont="1" applyBorder="1" applyAlignment="1" applyProtection="1">
      <alignment horizontal="center" wrapText="1"/>
      <protection locked="0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400050</xdr:colOff>
          <xdr:row>106</xdr:row>
          <xdr:rowOff>104775</xdr:rowOff>
        </xdr:from>
        <xdr:to>
          <xdr:col>2</xdr:col>
          <xdr:colOff>190500</xdr:colOff>
          <xdr:row>108</xdr:row>
          <xdr:rowOff>104775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476250</xdr:colOff>
          <xdr:row>106</xdr:row>
          <xdr:rowOff>85725</xdr:rowOff>
        </xdr:from>
        <xdr:to>
          <xdr:col>4</xdr:col>
          <xdr:colOff>304800</xdr:colOff>
          <xdr:row>108</xdr:row>
          <xdr:rowOff>85725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15"/>
  <sheetViews>
    <sheetView tabSelected="1" topLeftCell="A103" zoomScaleNormal="100" workbookViewId="0">
      <selection activeCell="D118" sqref="D118"/>
    </sheetView>
  </sheetViews>
  <sheetFormatPr defaultRowHeight="15" x14ac:dyDescent="0.25"/>
  <cols>
    <col min="1" max="1" width="26" customWidth="1"/>
    <col min="2" max="7" width="12.140625" customWidth="1"/>
  </cols>
  <sheetData>
    <row r="1" spans="1:7" ht="16.5" thickBot="1" x14ac:dyDescent="0.3">
      <c r="A1" s="68" t="s">
        <v>0</v>
      </c>
      <c r="B1" s="69"/>
      <c r="C1" s="69"/>
      <c r="D1" s="69"/>
      <c r="E1" s="69"/>
      <c r="F1" s="69"/>
      <c r="G1" s="70"/>
    </row>
    <row r="2" spans="1:7" ht="15.75" thickBot="1" x14ac:dyDescent="0.3">
      <c r="A2" s="71"/>
      <c r="B2" s="71"/>
      <c r="C2" s="71"/>
      <c r="D2" s="71"/>
      <c r="E2" s="71"/>
      <c r="F2" s="71"/>
      <c r="G2" s="71"/>
    </row>
    <row r="3" spans="1:7" ht="19.5" customHeight="1" thickBot="1" x14ac:dyDescent="0.3">
      <c r="A3" s="35" t="s">
        <v>1</v>
      </c>
      <c r="B3" s="76" t="s">
        <v>66</v>
      </c>
      <c r="C3" s="77"/>
      <c r="D3" s="77"/>
      <c r="E3" s="77"/>
      <c r="F3" s="77"/>
      <c r="G3" s="78"/>
    </row>
    <row r="4" spans="1:7" ht="27.75" customHeight="1" x14ac:dyDescent="0.25">
      <c r="A4" s="41" t="s">
        <v>2</v>
      </c>
      <c r="B4" s="72"/>
      <c r="C4" s="72"/>
      <c r="D4" s="72"/>
      <c r="E4" s="72"/>
      <c r="F4" s="72"/>
      <c r="G4" s="73"/>
    </row>
    <row r="5" spans="1:7" ht="29.25" customHeight="1" x14ac:dyDescent="0.25">
      <c r="A5" s="41" t="s">
        <v>3</v>
      </c>
      <c r="B5" s="74"/>
      <c r="C5" s="74"/>
      <c r="D5" s="74"/>
      <c r="E5" s="74"/>
      <c r="F5" s="74"/>
      <c r="G5" s="75"/>
    </row>
    <row r="6" spans="1:7" ht="39.75" customHeight="1" x14ac:dyDescent="0.25">
      <c r="A6" s="65" t="s">
        <v>4</v>
      </c>
      <c r="B6" s="66"/>
      <c r="C6" s="66"/>
      <c r="D6" s="66"/>
      <c r="E6" s="66"/>
      <c r="F6" s="66"/>
      <c r="G6" s="67"/>
    </row>
    <row r="7" spans="1:7" ht="22.5" customHeight="1" thickBot="1" x14ac:dyDescent="0.3">
      <c r="A7" s="81" t="s">
        <v>5</v>
      </c>
      <c r="B7" s="82"/>
      <c r="C7" s="82"/>
      <c r="D7" s="83"/>
      <c r="E7" s="84" t="s">
        <v>6</v>
      </c>
      <c r="F7" s="84"/>
      <c r="G7" s="85"/>
    </row>
    <row r="8" spans="1:7" x14ac:dyDescent="0.25">
      <c r="A8" s="86"/>
      <c r="B8" s="86"/>
      <c r="C8" s="86"/>
      <c r="D8" s="86"/>
      <c r="E8" s="86"/>
      <c r="F8" s="86"/>
      <c r="G8" s="86"/>
    </row>
    <row r="9" spans="1:7" x14ac:dyDescent="0.25">
      <c r="A9" s="87" t="s">
        <v>7</v>
      </c>
      <c r="B9" s="87"/>
      <c r="C9" s="87"/>
      <c r="D9" s="87"/>
      <c r="E9" s="87"/>
      <c r="F9" s="87"/>
      <c r="G9" s="87"/>
    </row>
    <row r="10" spans="1:7" x14ac:dyDescent="0.25">
      <c r="A10" s="1"/>
      <c r="B10" s="88" t="s">
        <v>8</v>
      </c>
      <c r="C10" s="88"/>
      <c r="D10" s="88" t="s">
        <v>9</v>
      </c>
      <c r="E10" s="88"/>
      <c r="F10" s="88" t="s">
        <v>10</v>
      </c>
      <c r="G10" s="88"/>
    </row>
    <row r="11" spans="1:7" ht="25.5" x14ac:dyDescent="0.25">
      <c r="A11" s="2" t="s">
        <v>11</v>
      </c>
      <c r="B11" s="3" t="s">
        <v>12</v>
      </c>
      <c r="C11" s="3" t="s">
        <v>13</v>
      </c>
      <c r="D11" s="3" t="s">
        <v>12</v>
      </c>
      <c r="E11" s="3" t="s">
        <v>13</v>
      </c>
      <c r="F11" s="3" t="s">
        <v>12</v>
      </c>
      <c r="G11" s="3" t="s">
        <v>13</v>
      </c>
    </row>
    <row r="12" spans="1:7" x14ac:dyDescent="0.25">
      <c r="A12" s="4">
        <v>1</v>
      </c>
      <c r="B12" s="5"/>
      <c r="C12" s="5"/>
      <c r="D12" s="6"/>
      <c r="E12" s="5"/>
      <c r="F12" s="5"/>
      <c r="G12" s="5"/>
    </row>
    <row r="13" spans="1:7" x14ac:dyDescent="0.25">
      <c r="A13" s="4">
        <v>2</v>
      </c>
      <c r="B13" s="5"/>
      <c r="C13" s="5"/>
      <c r="D13" s="6"/>
      <c r="E13" s="5"/>
      <c r="F13" s="5"/>
      <c r="G13" s="5"/>
    </row>
    <row r="14" spans="1:7" x14ac:dyDescent="0.25">
      <c r="A14" s="4">
        <v>3</v>
      </c>
      <c r="B14" s="5"/>
      <c r="C14" s="5"/>
      <c r="D14" s="6"/>
      <c r="E14" s="5"/>
      <c r="F14" s="5"/>
      <c r="G14" s="5"/>
    </row>
    <row r="15" spans="1:7" x14ac:dyDescent="0.25">
      <c r="A15" s="4">
        <v>4</v>
      </c>
      <c r="B15" s="5"/>
      <c r="C15" s="5"/>
      <c r="D15" s="6"/>
      <c r="E15" s="5"/>
      <c r="F15" s="5"/>
      <c r="G15" s="5"/>
    </row>
    <row r="16" spans="1:7" x14ac:dyDescent="0.25">
      <c r="A16" s="4">
        <v>5</v>
      </c>
      <c r="B16" s="5"/>
      <c r="C16" s="5"/>
      <c r="D16" s="6"/>
      <c r="E16" s="5"/>
      <c r="F16" s="5"/>
      <c r="G16" s="5"/>
    </row>
    <row r="17" spans="1:7" x14ac:dyDescent="0.25">
      <c r="A17" s="7" t="s">
        <v>14</v>
      </c>
      <c r="B17" s="8" t="str">
        <f>IFERROR(AVERAGE(B12:B16),"")</f>
        <v/>
      </c>
      <c r="C17" s="8" t="str">
        <f t="shared" ref="C17:G17" si="0">IFERROR(AVERAGE(C12:C16),"")</f>
        <v/>
      </c>
      <c r="D17" s="8" t="str">
        <f t="shared" si="0"/>
        <v/>
      </c>
      <c r="E17" s="8" t="str">
        <f t="shared" si="0"/>
        <v/>
      </c>
      <c r="F17" s="8" t="str">
        <f t="shared" si="0"/>
        <v/>
      </c>
      <c r="G17" s="8" t="str">
        <f t="shared" si="0"/>
        <v/>
      </c>
    </row>
    <row r="18" spans="1:7" x14ac:dyDescent="0.25">
      <c r="A18" s="7" t="s">
        <v>15</v>
      </c>
      <c r="B18" s="9" t="str">
        <f>IFERROR(STDEV(B12:B16),"")</f>
        <v/>
      </c>
      <c r="C18" s="9" t="str">
        <f t="shared" ref="C18:G18" si="1">IFERROR(STDEV(C12:C16),"")</f>
        <v/>
      </c>
      <c r="D18" s="9" t="str">
        <f t="shared" si="1"/>
        <v/>
      </c>
      <c r="E18" s="9" t="str">
        <f t="shared" si="1"/>
        <v/>
      </c>
      <c r="F18" s="9" t="str">
        <f t="shared" si="1"/>
        <v/>
      </c>
      <c r="G18" s="9" t="str">
        <f t="shared" si="1"/>
        <v/>
      </c>
    </row>
    <row r="19" spans="1:7" x14ac:dyDescent="0.25">
      <c r="A19" s="7" t="s">
        <v>16</v>
      </c>
      <c r="B19" s="9" t="e">
        <f t="shared" ref="B19:G19" si="2">B18/B17*100</f>
        <v>#VALUE!</v>
      </c>
      <c r="C19" s="11" t="e">
        <f t="shared" si="2"/>
        <v>#VALUE!</v>
      </c>
      <c r="D19" s="9" t="e">
        <f t="shared" si="2"/>
        <v>#VALUE!</v>
      </c>
      <c r="E19" s="11" t="e">
        <f t="shared" si="2"/>
        <v>#VALUE!</v>
      </c>
      <c r="F19" s="9" t="e">
        <f t="shared" si="2"/>
        <v>#VALUE!</v>
      </c>
      <c r="G19" s="11" t="e">
        <f t="shared" si="2"/>
        <v>#VALUE!</v>
      </c>
    </row>
    <row r="20" spans="1:7" ht="15.75" thickBot="1" x14ac:dyDescent="0.3">
      <c r="A20" s="42" t="s">
        <v>17</v>
      </c>
      <c r="B20" s="43">
        <v>5</v>
      </c>
      <c r="C20" s="43">
        <v>5</v>
      </c>
      <c r="D20" s="43">
        <v>5</v>
      </c>
      <c r="E20" s="43">
        <v>5</v>
      </c>
      <c r="F20" s="43">
        <v>5</v>
      </c>
      <c r="G20" s="43">
        <v>5</v>
      </c>
    </row>
    <row r="21" spans="1:7" ht="15.75" thickBot="1" x14ac:dyDescent="0.3">
      <c r="A21" s="44" t="s">
        <v>18</v>
      </c>
      <c r="B21" s="45" t="str">
        <f t="shared" ref="B21:G21" si="3">IFERROR(IF(B19&gt;B20,"Reprovado","Aprovado"),"")</f>
        <v/>
      </c>
      <c r="C21" s="45" t="str">
        <f t="shared" si="3"/>
        <v/>
      </c>
      <c r="D21" s="45" t="str">
        <f t="shared" si="3"/>
        <v/>
      </c>
      <c r="E21" s="45" t="str">
        <f t="shared" si="3"/>
        <v/>
      </c>
      <c r="F21" s="45" t="str">
        <f t="shared" si="3"/>
        <v/>
      </c>
      <c r="G21" s="46" t="str">
        <f t="shared" si="3"/>
        <v/>
      </c>
    </row>
    <row r="22" spans="1:7" x14ac:dyDescent="0.25">
      <c r="A22" s="13"/>
      <c r="B22" s="13"/>
      <c r="C22" s="13"/>
      <c r="D22" s="13"/>
      <c r="E22" s="13"/>
      <c r="F22" s="13"/>
      <c r="G22" s="13"/>
    </row>
    <row r="23" spans="1:7" x14ac:dyDescent="0.25">
      <c r="A23" s="87" t="s">
        <v>19</v>
      </c>
      <c r="B23" s="87"/>
      <c r="C23" s="87"/>
      <c r="D23" s="87"/>
      <c r="E23" s="87"/>
      <c r="F23" s="87"/>
      <c r="G23" s="87"/>
    </row>
    <row r="24" spans="1:7" x14ac:dyDescent="0.25">
      <c r="A24" s="14"/>
      <c r="B24" s="93" t="s">
        <v>8</v>
      </c>
      <c r="C24" s="93"/>
      <c r="D24" s="93" t="s">
        <v>9</v>
      </c>
      <c r="E24" s="93"/>
      <c r="F24" s="93" t="s">
        <v>10</v>
      </c>
      <c r="G24" s="93"/>
    </row>
    <row r="25" spans="1:7" ht="25.5" x14ac:dyDescent="0.25">
      <c r="A25" s="2" t="s">
        <v>11</v>
      </c>
      <c r="B25" s="3" t="s">
        <v>12</v>
      </c>
      <c r="C25" s="3" t="s">
        <v>13</v>
      </c>
      <c r="D25" s="3" t="s">
        <v>12</v>
      </c>
      <c r="E25" s="3" t="s">
        <v>13</v>
      </c>
      <c r="F25" s="3" t="s">
        <v>12</v>
      </c>
      <c r="G25" s="3" t="s">
        <v>13</v>
      </c>
    </row>
    <row r="26" spans="1:7" x14ac:dyDescent="0.25">
      <c r="A26" s="4" t="s">
        <v>20</v>
      </c>
      <c r="B26" s="5"/>
      <c r="C26" s="5"/>
      <c r="D26" s="6"/>
      <c r="E26" s="5"/>
      <c r="F26" s="5"/>
      <c r="G26" s="5"/>
    </row>
    <row r="27" spans="1:7" x14ac:dyDescent="0.25">
      <c r="A27" s="4" t="s">
        <v>21</v>
      </c>
      <c r="B27" s="5"/>
      <c r="C27" s="5"/>
      <c r="D27" s="6"/>
      <c r="E27" s="5"/>
      <c r="F27" s="5"/>
      <c r="G27" s="5"/>
    </row>
    <row r="28" spans="1:7" x14ac:dyDescent="0.25">
      <c r="A28" s="4" t="s">
        <v>22</v>
      </c>
      <c r="B28" s="5"/>
      <c r="C28" s="5"/>
      <c r="D28" s="6"/>
      <c r="E28" s="5"/>
      <c r="F28" s="5"/>
      <c r="G28" s="5"/>
    </row>
    <row r="29" spans="1:7" x14ac:dyDescent="0.25">
      <c r="A29" s="4" t="s">
        <v>23</v>
      </c>
      <c r="B29" s="5"/>
      <c r="C29" s="5"/>
      <c r="D29" s="6"/>
      <c r="E29" s="5"/>
      <c r="F29" s="5"/>
      <c r="G29" s="5"/>
    </row>
    <row r="30" spans="1:7" x14ac:dyDescent="0.25">
      <c r="A30" s="4" t="s">
        <v>24</v>
      </c>
      <c r="B30" s="5"/>
      <c r="C30" s="5"/>
      <c r="D30" s="6"/>
      <c r="E30" s="5"/>
      <c r="F30" s="5"/>
      <c r="G30" s="5"/>
    </row>
    <row r="31" spans="1:7" x14ac:dyDescent="0.25">
      <c r="A31" s="4" t="s">
        <v>25</v>
      </c>
      <c r="B31" s="5"/>
      <c r="C31" s="5"/>
      <c r="D31" s="6"/>
      <c r="E31" s="5"/>
      <c r="F31" s="5"/>
      <c r="G31" s="5"/>
    </row>
    <row r="32" spans="1:7" x14ac:dyDescent="0.25">
      <c r="A32" s="4" t="s">
        <v>26</v>
      </c>
      <c r="B32" s="5"/>
      <c r="C32" s="5"/>
      <c r="D32" s="6"/>
      <c r="E32" s="5"/>
      <c r="F32" s="5"/>
      <c r="G32" s="5"/>
    </row>
    <row r="33" spans="1:7" x14ac:dyDescent="0.25">
      <c r="A33" s="4" t="s">
        <v>27</v>
      </c>
      <c r="B33" s="5"/>
      <c r="C33" s="5"/>
      <c r="D33" s="6"/>
      <c r="E33" s="5"/>
      <c r="F33" s="5"/>
      <c r="G33" s="5"/>
    </row>
    <row r="34" spans="1:7" x14ac:dyDescent="0.25">
      <c r="A34" s="4" t="s">
        <v>28</v>
      </c>
      <c r="B34" s="5"/>
      <c r="C34" s="5"/>
      <c r="D34" s="6"/>
      <c r="E34" s="5"/>
      <c r="F34" s="5"/>
      <c r="G34" s="5"/>
    </row>
    <row r="35" spans="1:7" x14ac:dyDescent="0.25">
      <c r="A35" s="4" t="s">
        <v>29</v>
      </c>
      <c r="B35" s="5"/>
      <c r="C35" s="5"/>
      <c r="D35" s="6"/>
      <c r="E35" s="5"/>
      <c r="F35" s="5"/>
      <c r="G35" s="5"/>
    </row>
    <row r="36" spans="1:7" x14ac:dyDescent="0.25">
      <c r="A36" s="4" t="s">
        <v>30</v>
      </c>
      <c r="B36" s="5"/>
      <c r="C36" s="5"/>
      <c r="D36" s="6"/>
      <c r="E36" s="5"/>
      <c r="F36" s="5"/>
      <c r="G36" s="5"/>
    </row>
    <row r="37" spans="1:7" x14ac:dyDescent="0.25">
      <c r="A37" s="4" t="s">
        <v>31</v>
      </c>
      <c r="B37" s="5"/>
      <c r="C37" s="5"/>
      <c r="D37" s="6"/>
      <c r="E37" s="5"/>
      <c r="F37" s="5"/>
      <c r="G37" s="5"/>
    </row>
    <row r="38" spans="1:7" x14ac:dyDescent="0.25">
      <c r="A38" s="4" t="s">
        <v>32</v>
      </c>
      <c r="B38" s="5"/>
      <c r="C38" s="5"/>
      <c r="D38" s="6"/>
      <c r="E38" s="5"/>
      <c r="F38" s="5"/>
      <c r="G38" s="5"/>
    </row>
    <row r="39" spans="1:7" x14ac:dyDescent="0.25">
      <c r="A39" s="4" t="s">
        <v>33</v>
      </c>
      <c r="B39" s="5"/>
      <c r="C39" s="5"/>
      <c r="D39" s="6"/>
      <c r="E39" s="5"/>
      <c r="F39" s="5"/>
      <c r="G39" s="5"/>
    </row>
    <row r="40" spans="1:7" x14ac:dyDescent="0.25">
      <c r="A40" s="4" t="s">
        <v>34</v>
      </c>
      <c r="B40" s="5"/>
      <c r="C40" s="5"/>
      <c r="D40" s="6"/>
      <c r="E40" s="5"/>
      <c r="F40" s="5"/>
      <c r="G40" s="5"/>
    </row>
    <row r="41" spans="1:7" x14ac:dyDescent="0.25">
      <c r="A41" s="7" t="s">
        <v>14</v>
      </c>
      <c r="B41" s="8" t="str">
        <f>IFERROR(AVERAGE(B26:B40),"")</f>
        <v/>
      </c>
      <c r="C41" s="8" t="str">
        <f t="shared" ref="C41:G41" si="4">IFERROR(AVERAGE(C26:C40),"")</f>
        <v/>
      </c>
      <c r="D41" s="8" t="str">
        <f t="shared" si="4"/>
        <v/>
      </c>
      <c r="E41" s="8" t="str">
        <f t="shared" si="4"/>
        <v/>
      </c>
      <c r="F41" s="8" t="str">
        <f t="shared" si="4"/>
        <v/>
      </c>
      <c r="G41" s="8" t="str">
        <f t="shared" si="4"/>
        <v/>
      </c>
    </row>
    <row r="42" spans="1:7" x14ac:dyDescent="0.25">
      <c r="A42" s="7" t="s">
        <v>15</v>
      </c>
      <c r="B42" s="9" t="str">
        <f t="shared" ref="B42:G42" si="5">IFERROR(STDEV(B26:B40),"")</f>
        <v/>
      </c>
      <c r="C42" s="10" t="str">
        <f t="shared" si="5"/>
        <v/>
      </c>
      <c r="D42" s="9" t="str">
        <f t="shared" si="5"/>
        <v/>
      </c>
      <c r="E42" s="10" t="str">
        <f t="shared" si="5"/>
        <v/>
      </c>
      <c r="F42" s="9" t="str">
        <f t="shared" si="5"/>
        <v/>
      </c>
      <c r="G42" s="10" t="str">
        <f t="shared" si="5"/>
        <v/>
      </c>
    </row>
    <row r="43" spans="1:7" x14ac:dyDescent="0.25">
      <c r="A43" s="7" t="s">
        <v>16</v>
      </c>
      <c r="B43" s="9" t="e">
        <f t="shared" ref="B43:G43" si="6">B42/B41*100</f>
        <v>#VALUE!</v>
      </c>
      <c r="C43" s="11" t="e">
        <f t="shared" si="6"/>
        <v>#VALUE!</v>
      </c>
      <c r="D43" s="9" t="e">
        <f t="shared" si="6"/>
        <v>#VALUE!</v>
      </c>
      <c r="E43" s="11" t="e">
        <f t="shared" si="6"/>
        <v>#VALUE!</v>
      </c>
      <c r="F43" s="9" t="e">
        <f t="shared" si="6"/>
        <v>#VALUE!</v>
      </c>
      <c r="G43" s="11" t="e">
        <f t="shared" si="6"/>
        <v>#VALUE!</v>
      </c>
    </row>
    <row r="44" spans="1:7" ht="15.75" thickBot="1" x14ac:dyDescent="0.3">
      <c r="A44" s="42" t="s">
        <v>17</v>
      </c>
      <c r="B44" s="43">
        <v>7</v>
      </c>
      <c r="C44" s="43">
        <v>7</v>
      </c>
      <c r="D44" s="43">
        <v>7</v>
      </c>
      <c r="E44" s="43">
        <v>7</v>
      </c>
      <c r="F44" s="43">
        <v>7</v>
      </c>
      <c r="G44" s="43">
        <v>7</v>
      </c>
    </row>
    <row r="45" spans="1:7" ht="15.75" thickBot="1" x14ac:dyDescent="0.3">
      <c r="A45" s="44" t="s">
        <v>18</v>
      </c>
      <c r="B45" s="45" t="str">
        <f t="shared" ref="B45:G45" si="7">IFERROR(IF(B43&gt;B44,"Reprovado","Aprovado"),"")</f>
        <v/>
      </c>
      <c r="C45" s="45" t="str">
        <f t="shared" si="7"/>
        <v/>
      </c>
      <c r="D45" s="45" t="str">
        <f t="shared" si="7"/>
        <v/>
      </c>
      <c r="E45" s="45" t="str">
        <f t="shared" si="7"/>
        <v/>
      </c>
      <c r="F45" s="45" t="str">
        <f t="shared" si="7"/>
        <v/>
      </c>
      <c r="G45" s="46" t="str">
        <f t="shared" si="7"/>
        <v/>
      </c>
    </row>
    <row r="46" spans="1:7" x14ac:dyDescent="0.25">
      <c r="A46" s="15"/>
      <c r="B46" s="16"/>
      <c r="C46" s="16"/>
      <c r="D46" s="16"/>
      <c r="E46" s="16"/>
      <c r="F46" s="16"/>
      <c r="G46" s="16"/>
    </row>
    <row r="47" spans="1:7" x14ac:dyDescent="0.25">
      <c r="A47" s="94" t="s">
        <v>72</v>
      </c>
      <c r="B47" s="94"/>
      <c r="C47" s="94"/>
      <c r="D47" s="94"/>
      <c r="E47" s="94"/>
      <c r="F47" s="94"/>
      <c r="G47" s="94"/>
    </row>
    <row r="48" spans="1:7" x14ac:dyDescent="0.25">
      <c r="A48" s="17"/>
      <c r="B48" s="17"/>
      <c r="C48" s="17"/>
      <c r="D48" s="17"/>
      <c r="E48" s="17"/>
      <c r="F48" s="17"/>
      <c r="G48" s="17"/>
    </row>
    <row r="49" spans="1:7" ht="15.75" thickBot="1" x14ac:dyDescent="0.3">
      <c r="A49" s="95" t="s">
        <v>35</v>
      </c>
      <c r="B49" s="95"/>
      <c r="C49" s="95"/>
      <c r="D49" s="95"/>
      <c r="E49" s="95"/>
      <c r="F49" s="95"/>
      <c r="G49" s="95"/>
    </row>
    <row r="50" spans="1:7" ht="15.75" thickBot="1" x14ac:dyDescent="0.3">
      <c r="A50" s="18" t="s">
        <v>36</v>
      </c>
      <c r="B50" s="13"/>
      <c r="C50" s="99" t="s">
        <v>66</v>
      </c>
      <c r="D50" s="100"/>
      <c r="E50" s="101"/>
      <c r="F50" s="13"/>
      <c r="G50" s="13"/>
    </row>
    <row r="51" spans="1:7" x14ac:dyDescent="0.25">
      <c r="A51" s="96" t="s">
        <v>37</v>
      </c>
      <c r="B51" s="97"/>
      <c r="C51" s="40"/>
      <c r="D51" s="40"/>
      <c r="E51" s="40"/>
      <c r="F51" s="13"/>
      <c r="G51" s="13"/>
    </row>
    <row r="52" spans="1:7" ht="25.5" x14ac:dyDescent="0.25">
      <c r="A52" s="79" t="s">
        <v>71</v>
      </c>
      <c r="B52" s="80"/>
      <c r="C52" s="2" t="s">
        <v>38</v>
      </c>
      <c r="D52" s="2" t="s">
        <v>38</v>
      </c>
      <c r="E52" s="2" t="s">
        <v>38</v>
      </c>
      <c r="F52" s="13"/>
      <c r="G52" s="13"/>
    </row>
    <row r="53" spans="1:7" x14ac:dyDescent="0.25">
      <c r="A53" s="61" t="s">
        <v>46</v>
      </c>
      <c r="B53" s="62"/>
      <c r="C53" s="5"/>
      <c r="D53" s="5"/>
      <c r="E53" s="5"/>
      <c r="F53" s="13"/>
      <c r="G53" s="13"/>
    </row>
    <row r="54" spans="1:7" x14ac:dyDescent="0.25">
      <c r="A54" s="63" t="s">
        <v>67</v>
      </c>
      <c r="B54" s="64"/>
      <c r="C54" s="5"/>
      <c r="D54" s="5"/>
      <c r="E54" s="5"/>
      <c r="F54" s="13"/>
      <c r="G54" s="13"/>
    </row>
    <row r="55" spans="1:7" x14ac:dyDescent="0.25">
      <c r="A55" s="63" t="s">
        <v>68</v>
      </c>
      <c r="B55" s="64"/>
      <c r="C55" s="5"/>
      <c r="D55" s="5"/>
      <c r="E55" s="5"/>
      <c r="F55" s="13"/>
      <c r="G55" s="13"/>
    </row>
    <row r="56" spans="1:7" x14ac:dyDescent="0.25">
      <c r="A56" s="63" t="s">
        <v>69</v>
      </c>
      <c r="B56" s="64"/>
      <c r="C56" s="5"/>
      <c r="D56" s="5"/>
      <c r="E56" s="5"/>
      <c r="F56" s="13"/>
      <c r="G56" s="13"/>
    </row>
    <row r="57" spans="1:7" x14ac:dyDescent="0.25">
      <c r="A57" s="63" t="s">
        <v>70</v>
      </c>
      <c r="B57" s="64"/>
      <c r="C57" s="5"/>
      <c r="D57" s="5"/>
      <c r="E57" s="5"/>
      <c r="F57" s="13"/>
      <c r="G57" s="13"/>
    </row>
    <row r="58" spans="1:7" x14ac:dyDescent="0.25">
      <c r="A58" s="98" t="s">
        <v>14</v>
      </c>
      <c r="B58" s="98"/>
      <c r="C58" s="8" t="str">
        <f>IFERROR(AVERAGE(C53:C57),"")</f>
        <v/>
      </c>
      <c r="D58" s="8" t="str">
        <f>IFERROR(AVERAGE(D53:D57),"")</f>
        <v/>
      </c>
      <c r="E58" s="8" t="str">
        <f>IFERROR(AVERAGE(E53:E57),"")</f>
        <v/>
      </c>
      <c r="F58" s="13"/>
      <c r="G58" s="13"/>
    </row>
    <row r="59" spans="1:7" x14ac:dyDescent="0.25">
      <c r="A59" s="98" t="s">
        <v>15</v>
      </c>
      <c r="B59" s="98"/>
      <c r="C59" s="9" t="str">
        <f>IFERROR(STDEV(C53:C57),"")</f>
        <v/>
      </c>
      <c r="D59" s="9" t="str">
        <f>IFERROR(STDEV(D53:D57),"")</f>
        <v/>
      </c>
      <c r="E59" s="9" t="str">
        <f>IFERROR(STDEV(E53:E57),"")</f>
        <v/>
      </c>
      <c r="F59" s="13"/>
      <c r="G59" s="13"/>
    </row>
    <row r="60" spans="1:7" x14ac:dyDescent="0.25">
      <c r="A60" s="98" t="s">
        <v>16</v>
      </c>
      <c r="B60" s="98"/>
      <c r="C60" s="9" t="e">
        <f>C59/C58*100</f>
        <v>#VALUE!</v>
      </c>
      <c r="D60" s="9" t="e">
        <f>D59/D58*100</f>
        <v>#VALUE!</v>
      </c>
      <c r="E60" s="9" t="e">
        <f>E59/E58*100</f>
        <v>#VALUE!</v>
      </c>
      <c r="F60" s="13"/>
      <c r="G60" s="13"/>
    </row>
    <row r="61" spans="1:7" x14ac:dyDescent="0.25">
      <c r="A61" s="98" t="s">
        <v>17</v>
      </c>
      <c r="B61" s="98"/>
      <c r="C61" s="9">
        <v>3</v>
      </c>
      <c r="D61" s="9">
        <v>3</v>
      </c>
      <c r="E61" s="9">
        <v>3</v>
      </c>
      <c r="F61" s="13"/>
      <c r="G61" s="13"/>
    </row>
    <row r="62" spans="1:7" x14ac:dyDescent="0.25">
      <c r="A62" s="98" t="s">
        <v>18</v>
      </c>
      <c r="B62" s="98"/>
      <c r="C62" s="12" t="str">
        <f>IFERROR(IF(C60&gt;C61,"Reprovado","Aprovado"),"")</f>
        <v/>
      </c>
      <c r="D62" s="12" t="str">
        <f>IFERROR(IF(D60&gt;D61,"Reprovado","Aprovado"),"")</f>
        <v/>
      </c>
      <c r="E62" s="12" t="str">
        <f>IFERROR(IF(E60&gt;E61,"Reprovado","Aprovado"),"")</f>
        <v/>
      </c>
      <c r="F62" s="13"/>
      <c r="G62" s="13"/>
    </row>
    <row r="63" spans="1:7" x14ac:dyDescent="0.25">
      <c r="A63" s="98" t="s">
        <v>39</v>
      </c>
      <c r="B63" s="98"/>
      <c r="C63" s="9" t="str">
        <f>IFERROR(C51-C58,"")</f>
        <v/>
      </c>
      <c r="D63" s="9" t="str">
        <f>IFERROR(D51-D58,"")</f>
        <v/>
      </c>
      <c r="E63" s="9" t="str">
        <f>IFERROR(E51-E58,"")</f>
        <v/>
      </c>
      <c r="F63" s="13"/>
      <c r="G63" s="13"/>
    </row>
    <row r="64" spans="1:7" ht="15.75" thickBot="1" x14ac:dyDescent="0.3">
      <c r="A64" s="111" t="s">
        <v>40</v>
      </c>
      <c r="B64" s="111"/>
      <c r="C64" s="47">
        <f>IF(C51&gt;100, 5, 3)</f>
        <v>3</v>
      </c>
      <c r="D64" s="47">
        <f>IF(D51&gt;100, 5, 3)</f>
        <v>3</v>
      </c>
      <c r="E64" s="47">
        <f>IF(E51&gt;100, 5, 3)</f>
        <v>3</v>
      </c>
      <c r="F64" s="13"/>
      <c r="G64" s="13"/>
    </row>
    <row r="65" spans="1:7" ht="15.75" thickBot="1" x14ac:dyDescent="0.3">
      <c r="A65" s="109" t="s">
        <v>18</v>
      </c>
      <c r="B65" s="110"/>
      <c r="C65" s="45" t="str">
        <f>IFERROR(IF(IMABS(C63)&gt;C64,"Reprovado","Aprovado"),"")</f>
        <v/>
      </c>
      <c r="D65" s="45" t="str">
        <f>IFERROR(IF(IMABS(D63)&gt;D64,"Reprovado","Aprovado"),"")</f>
        <v/>
      </c>
      <c r="E65" s="46" t="str">
        <f>IFERROR(IF(IMABS(E63)&gt;E64,"Reprovado","Aprovado"),"")</f>
        <v/>
      </c>
      <c r="F65" s="13"/>
      <c r="G65" s="13"/>
    </row>
    <row r="66" spans="1:7" x14ac:dyDescent="0.25">
      <c r="A66" s="13"/>
      <c r="B66" s="13"/>
      <c r="C66" s="13"/>
      <c r="D66" s="13"/>
      <c r="E66" s="13"/>
      <c r="F66" s="13"/>
      <c r="G66" s="13"/>
    </row>
    <row r="67" spans="1:7" x14ac:dyDescent="0.25">
      <c r="A67" s="95" t="s">
        <v>41</v>
      </c>
      <c r="B67" s="95"/>
      <c r="C67" s="95"/>
      <c r="D67" s="95"/>
      <c r="E67" s="95"/>
      <c r="F67" s="95"/>
      <c r="G67" s="95"/>
    </row>
    <row r="68" spans="1:7" ht="25.5" x14ac:dyDescent="0.25">
      <c r="A68" s="34" t="s">
        <v>37</v>
      </c>
      <c r="B68" s="20" t="s">
        <v>42</v>
      </c>
      <c r="C68" s="13"/>
      <c r="D68" s="13"/>
      <c r="E68" s="13"/>
      <c r="F68" s="13"/>
      <c r="G68" s="13"/>
    </row>
    <row r="69" spans="1:7" x14ac:dyDescent="0.25">
      <c r="A69" s="7">
        <f>C51</f>
        <v>0</v>
      </c>
      <c r="B69" s="21" t="str">
        <f>IFERROR(C58,"")</f>
        <v/>
      </c>
      <c r="C69" s="13"/>
      <c r="D69" s="13"/>
      <c r="E69" s="13"/>
      <c r="F69" s="13"/>
      <c r="G69" s="13"/>
    </row>
    <row r="70" spans="1:7" x14ac:dyDescent="0.25">
      <c r="A70" s="7">
        <f>D51</f>
        <v>0</v>
      </c>
      <c r="B70" s="21" t="str">
        <f>IFERROR(D58,"")</f>
        <v/>
      </c>
      <c r="C70" s="13"/>
      <c r="D70" s="13"/>
      <c r="E70" s="13"/>
      <c r="F70" s="13"/>
      <c r="G70" s="13"/>
    </row>
    <row r="71" spans="1:7" x14ac:dyDescent="0.25">
      <c r="A71" s="7">
        <f>E51</f>
        <v>0</v>
      </c>
      <c r="B71" s="21" t="str">
        <f>IFERROR(E58,"")</f>
        <v/>
      </c>
      <c r="C71" s="13"/>
      <c r="D71" s="13"/>
      <c r="E71" s="13"/>
      <c r="F71" s="13"/>
      <c r="G71" s="13"/>
    </row>
    <row r="72" spans="1:7" ht="27" x14ac:dyDescent="0.25">
      <c r="A72" s="7" t="s">
        <v>43</v>
      </c>
      <c r="B72" s="22" t="e">
        <f>RSQ(A69:A71,B69:B71)</f>
        <v>#DIV/0!</v>
      </c>
      <c r="C72" s="13"/>
      <c r="D72" s="13"/>
      <c r="E72" s="13"/>
      <c r="F72" s="13"/>
      <c r="G72" s="13"/>
    </row>
    <row r="73" spans="1:7" ht="15.75" thickBot="1" x14ac:dyDescent="0.3">
      <c r="A73" s="42" t="s">
        <v>44</v>
      </c>
      <c r="B73" s="48">
        <v>0.98</v>
      </c>
      <c r="C73" s="13"/>
      <c r="D73" s="13"/>
      <c r="E73" s="13"/>
      <c r="F73" s="13"/>
      <c r="G73" s="13"/>
    </row>
    <row r="74" spans="1:7" ht="15.75" thickBot="1" x14ac:dyDescent="0.3">
      <c r="A74" s="44" t="s">
        <v>18</v>
      </c>
      <c r="B74" s="49" t="e">
        <f>IF(B72&lt;B73,"Reprovado","Aprovado")</f>
        <v>#DIV/0!</v>
      </c>
      <c r="C74" s="13"/>
      <c r="D74" s="13"/>
      <c r="E74" s="13"/>
      <c r="F74" s="13"/>
      <c r="G74" s="13"/>
    </row>
    <row r="75" spans="1:7" x14ac:dyDescent="0.25">
      <c r="A75" s="13"/>
      <c r="B75" s="13"/>
      <c r="C75" s="13"/>
      <c r="D75" s="13"/>
      <c r="E75" s="13"/>
      <c r="F75" s="13"/>
      <c r="G75" s="13"/>
    </row>
    <row r="76" spans="1:7" ht="18.75" customHeight="1" thickBot="1" x14ac:dyDescent="0.3">
      <c r="A76" s="95" t="s">
        <v>45</v>
      </c>
      <c r="B76" s="95"/>
      <c r="C76" s="95"/>
      <c r="D76" s="95"/>
      <c r="E76" s="95"/>
      <c r="F76" s="95"/>
      <c r="G76" s="95"/>
    </row>
    <row r="77" spans="1:7" ht="30.75" customHeight="1" thickBot="1" x14ac:dyDescent="0.3">
      <c r="A77" s="57" t="s">
        <v>75</v>
      </c>
      <c r="B77" s="102" t="s">
        <v>66</v>
      </c>
      <c r="C77" s="103"/>
      <c r="D77" s="59"/>
      <c r="E77" s="13"/>
      <c r="F77" s="13"/>
      <c r="G77" s="13"/>
    </row>
    <row r="78" spans="1:7" ht="9" customHeight="1" x14ac:dyDescent="0.25">
      <c r="A78" s="57"/>
      <c r="B78" s="13"/>
      <c r="C78" s="58"/>
      <c r="D78" s="58"/>
      <c r="E78" s="13"/>
      <c r="F78" s="13"/>
      <c r="G78" s="13"/>
    </row>
    <row r="79" spans="1:7" x14ac:dyDescent="0.25">
      <c r="A79" s="19" t="s">
        <v>37</v>
      </c>
      <c r="B79" s="14"/>
      <c r="C79" s="32"/>
      <c r="D79" s="13"/>
      <c r="E79" s="13"/>
      <c r="F79" s="13"/>
      <c r="G79" s="13"/>
    </row>
    <row r="80" spans="1:7" x14ac:dyDescent="0.25">
      <c r="A80" s="36" t="s">
        <v>71</v>
      </c>
      <c r="B80" s="29" t="s">
        <v>38</v>
      </c>
      <c r="C80" s="29" t="s">
        <v>38</v>
      </c>
      <c r="D80" s="13"/>
      <c r="E80" s="13"/>
      <c r="F80" s="13"/>
      <c r="G80" s="13"/>
    </row>
    <row r="81" spans="1:7" x14ac:dyDescent="0.25">
      <c r="A81" s="7" t="s">
        <v>46</v>
      </c>
      <c r="B81" s="6"/>
      <c r="C81" s="60"/>
      <c r="D81" s="13"/>
      <c r="E81" s="13"/>
      <c r="F81" s="13"/>
      <c r="G81" s="13"/>
    </row>
    <row r="82" spans="1:7" x14ac:dyDescent="0.25">
      <c r="A82" s="7" t="s">
        <v>47</v>
      </c>
      <c r="B82" s="6"/>
      <c r="C82" s="60"/>
      <c r="D82" s="13"/>
      <c r="E82" s="13"/>
      <c r="F82" s="13"/>
      <c r="G82" s="13"/>
    </row>
    <row r="83" spans="1:7" x14ac:dyDescent="0.25">
      <c r="A83" s="7" t="s">
        <v>48</v>
      </c>
      <c r="B83" s="6"/>
      <c r="C83" s="60"/>
      <c r="D83" s="23"/>
      <c r="E83" s="13"/>
      <c r="F83" s="13"/>
      <c r="G83" s="13"/>
    </row>
    <row r="84" spans="1:7" x14ac:dyDescent="0.25">
      <c r="A84" s="7" t="s">
        <v>49</v>
      </c>
      <c r="B84" s="6"/>
      <c r="C84" s="60"/>
      <c r="D84" s="23"/>
      <c r="E84" s="13"/>
      <c r="F84" s="13"/>
      <c r="G84" s="13"/>
    </row>
    <row r="85" spans="1:7" x14ac:dyDescent="0.25">
      <c r="A85" s="7" t="s">
        <v>50</v>
      </c>
      <c r="B85" s="6"/>
      <c r="C85" s="60"/>
      <c r="D85" s="23"/>
      <c r="E85" s="13"/>
      <c r="F85" s="13"/>
      <c r="G85" s="13"/>
    </row>
    <row r="86" spans="1:7" x14ac:dyDescent="0.25">
      <c r="A86" s="24" t="s">
        <v>51</v>
      </c>
      <c r="B86" s="12">
        <f>MAX(B81:B85)</f>
        <v>0</v>
      </c>
      <c r="C86" s="37">
        <f>MAX(C81:C85)</f>
        <v>0</v>
      </c>
      <c r="D86" s="23"/>
      <c r="E86" s="13"/>
      <c r="F86" s="13"/>
      <c r="G86" s="13"/>
    </row>
    <row r="87" spans="1:7" x14ac:dyDescent="0.25">
      <c r="A87" s="7" t="s">
        <v>52</v>
      </c>
      <c r="B87" s="12">
        <f xml:space="preserve"> MIN(B81:B85)</f>
        <v>0</v>
      </c>
      <c r="C87" s="37">
        <f xml:space="preserve"> MIN(C81:C85)</f>
        <v>0</v>
      </c>
      <c r="D87" s="23"/>
      <c r="E87" s="13"/>
      <c r="F87" s="13"/>
      <c r="G87" s="13"/>
    </row>
    <row r="88" spans="1:7" x14ac:dyDescent="0.25">
      <c r="A88" s="7" t="s">
        <v>53</v>
      </c>
      <c r="B88" s="9">
        <f>B86-B87</f>
        <v>0</v>
      </c>
      <c r="C88" s="38">
        <f>C86-C87</f>
        <v>0</v>
      </c>
      <c r="D88" s="23"/>
      <c r="E88" s="13"/>
      <c r="F88" s="13"/>
      <c r="G88" s="13"/>
    </row>
    <row r="89" spans="1:7" ht="15.75" thickBot="1" x14ac:dyDescent="0.3">
      <c r="A89" s="42" t="s">
        <v>40</v>
      </c>
      <c r="B89" s="47">
        <v>5</v>
      </c>
      <c r="C89" s="50">
        <v>5</v>
      </c>
      <c r="D89" s="23"/>
      <c r="E89" s="13"/>
      <c r="F89" s="13"/>
      <c r="G89" s="13"/>
    </row>
    <row r="90" spans="1:7" ht="15.75" thickBot="1" x14ac:dyDescent="0.3">
      <c r="A90" s="44" t="s">
        <v>18</v>
      </c>
      <c r="B90" s="45" t="str">
        <f>IF(IMABS(B88)&gt;B89,"Reprovado","Aprovado")</f>
        <v>Aprovado</v>
      </c>
      <c r="C90" s="51" t="str">
        <f>IF(IMABS(C88)&gt;C89,"Reprovado","Aprovado")</f>
        <v>Aprovado</v>
      </c>
      <c r="D90" s="23"/>
      <c r="E90" s="13"/>
      <c r="F90" s="13"/>
      <c r="G90" s="13"/>
    </row>
    <row r="91" spans="1:7" x14ac:dyDescent="0.25">
      <c r="A91" s="15"/>
      <c r="B91" s="16"/>
      <c r="C91" s="13"/>
      <c r="D91" s="23"/>
      <c r="E91" s="13"/>
      <c r="F91" s="13"/>
      <c r="G91" s="13"/>
    </row>
    <row r="92" spans="1:7" x14ac:dyDescent="0.25">
      <c r="A92" s="94" t="s">
        <v>73</v>
      </c>
      <c r="B92" s="94"/>
      <c r="C92" s="94"/>
      <c r="D92" s="94"/>
      <c r="E92" s="94"/>
      <c r="F92" s="94"/>
      <c r="G92" s="94"/>
    </row>
    <row r="93" spans="1:7" x14ac:dyDescent="0.25">
      <c r="A93" s="89" t="s">
        <v>54</v>
      </c>
      <c r="B93" s="89"/>
      <c r="C93" s="89"/>
      <c r="D93" s="89"/>
      <c r="E93" s="89"/>
      <c r="F93" s="89"/>
      <c r="G93" s="89"/>
    </row>
    <row r="94" spans="1:7" ht="22.5" customHeight="1" x14ac:dyDescent="0.25">
      <c r="A94" s="25" t="s">
        <v>55</v>
      </c>
      <c r="B94" s="26" t="s">
        <v>56</v>
      </c>
      <c r="C94" s="26" t="s">
        <v>57</v>
      </c>
      <c r="D94" s="26" t="s">
        <v>58</v>
      </c>
      <c r="E94" s="25" t="s">
        <v>59</v>
      </c>
      <c r="F94" s="90"/>
      <c r="G94" s="91"/>
    </row>
    <row r="95" spans="1:7" x14ac:dyDescent="0.25">
      <c r="A95" s="27"/>
      <c r="B95" s="28"/>
      <c r="C95" s="28"/>
      <c r="D95" s="28"/>
      <c r="E95" s="39" t="str">
        <f>IFERROR(AVERAGE(B95:D95),"")</f>
        <v/>
      </c>
      <c r="F95" s="90"/>
      <c r="G95" s="91"/>
    </row>
    <row r="96" spans="1:7" x14ac:dyDescent="0.25">
      <c r="A96" s="27"/>
      <c r="B96" s="28"/>
      <c r="C96" s="28"/>
      <c r="D96" s="28"/>
      <c r="E96" s="39" t="str">
        <f>IFERROR(AVERAGE(B96:D96),"")</f>
        <v/>
      </c>
      <c r="F96" s="90"/>
      <c r="G96" s="91"/>
    </row>
    <row r="97" spans="1:7" x14ac:dyDescent="0.25">
      <c r="A97" s="27"/>
      <c r="B97" s="28"/>
      <c r="C97" s="28"/>
      <c r="D97" s="28"/>
      <c r="E97" s="39" t="str">
        <f>IFERROR(AVERAGE(B97:D97),"")</f>
        <v/>
      </c>
      <c r="F97" s="90"/>
      <c r="G97" s="91"/>
    </row>
    <row r="98" spans="1:7" x14ac:dyDescent="0.25">
      <c r="A98" s="27"/>
      <c r="B98" s="28"/>
      <c r="C98" s="28"/>
      <c r="D98" s="28"/>
      <c r="E98" s="39" t="str">
        <f t="shared" ref="E98:E101" si="8">IFERROR(AVERAGE(B98:D98),"")</f>
        <v/>
      </c>
      <c r="F98" s="90"/>
      <c r="G98" s="91"/>
    </row>
    <row r="99" spans="1:7" x14ac:dyDescent="0.25">
      <c r="A99" s="27"/>
      <c r="B99" s="28"/>
      <c r="C99" s="28"/>
      <c r="D99" s="28"/>
      <c r="E99" s="39" t="str">
        <f t="shared" si="8"/>
        <v/>
      </c>
      <c r="F99" s="90"/>
      <c r="G99" s="91"/>
    </row>
    <row r="100" spans="1:7" x14ac:dyDescent="0.25">
      <c r="A100" s="27"/>
      <c r="B100" s="28"/>
      <c r="C100" s="28"/>
      <c r="D100" s="28"/>
      <c r="E100" s="39" t="str">
        <f t="shared" si="8"/>
        <v/>
      </c>
      <c r="F100" s="90"/>
      <c r="G100" s="91"/>
    </row>
    <row r="101" spans="1:7" x14ac:dyDescent="0.25">
      <c r="A101" s="27"/>
      <c r="B101" s="28"/>
      <c r="C101" s="28"/>
      <c r="D101" s="28"/>
      <c r="E101" s="39" t="str">
        <f t="shared" si="8"/>
        <v/>
      </c>
      <c r="F101" s="90"/>
      <c r="G101" s="91"/>
    </row>
    <row r="102" spans="1:7" ht="27" x14ac:dyDescent="0.25">
      <c r="A102" s="29" t="s">
        <v>60</v>
      </c>
      <c r="B102" s="30" t="s">
        <v>61</v>
      </c>
      <c r="C102" s="30" t="s">
        <v>61</v>
      </c>
      <c r="D102" s="30" t="s">
        <v>61</v>
      </c>
      <c r="E102" s="31" t="e">
        <f>RSQ(A95:A101,E95:E101)</f>
        <v>#DIV/0!</v>
      </c>
      <c r="F102" s="90"/>
      <c r="G102" s="91"/>
    </row>
    <row r="103" spans="1:7" s="33" customFormat="1" ht="26.25" thickBot="1" x14ac:dyDescent="0.3">
      <c r="A103" s="52" t="s">
        <v>44</v>
      </c>
      <c r="B103" s="53" t="s">
        <v>61</v>
      </c>
      <c r="C103" s="53" t="s">
        <v>61</v>
      </c>
      <c r="D103" s="53" t="s">
        <v>61</v>
      </c>
      <c r="E103" s="52">
        <v>0.98</v>
      </c>
      <c r="F103" s="90"/>
      <c r="G103" s="91"/>
    </row>
    <row r="104" spans="1:7" s="33" customFormat="1" ht="26.25" thickBot="1" x14ac:dyDescent="0.3">
      <c r="A104" s="54" t="s">
        <v>18</v>
      </c>
      <c r="B104" s="55" t="s">
        <v>61</v>
      </c>
      <c r="C104" s="55" t="s">
        <v>61</v>
      </c>
      <c r="D104" s="55" t="s">
        <v>61</v>
      </c>
      <c r="E104" s="56" t="e">
        <f>IF(E102&lt;E103,"Reprovado","Aprovado")</f>
        <v>#DIV/0!</v>
      </c>
      <c r="F104" s="91"/>
      <c r="G104" s="91"/>
    </row>
    <row r="105" spans="1:7" ht="15.75" thickBot="1" x14ac:dyDescent="0.3">
      <c r="A105" s="92"/>
      <c r="B105" s="92"/>
      <c r="C105" s="92"/>
      <c r="D105" s="92"/>
      <c r="E105" s="92"/>
      <c r="F105" s="92"/>
      <c r="G105" s="92"/>
    </row>
    <row r="106" spans="1:7" ht="15.75" thickBot="1" x14ac:dyDescent="0.3">
      <c r="A106" s="112" t="s">
        <v>62</v>
      </c>
      <c r="B106" s="113"/>
      <c r="C106" s="113"/>
      <c r="D106" s="113"/>
      <c r="E106" s="113"/>
      <c r="F106" s="113"/>
      <c r="G106" s="114"/>
    </row>
    <row r="107" spans="1:7" ht="15.75" thickBot="1" x14ac:dyDescent="0.3">
      <c r="A107" s="115"/>
      <c r="B107" s="115"/>
      <c r="C107" s="115"/>
      <c r="D107" s="115"/>
      <c r="E107" s="115"/>
      <c r="F107" s="115"/>
      <c r="G107" s="115"/>
    </row>
    <row r="108" spans="1:7" ht="15.75" thickBot="1" x14ac:dyDescent="0.3">
      <c r="A108" s="116" t="s">
        <v>65</v>
      </c>
      <c r="B108" s="117"/>
      <c r="C108" s="117"/>
      <c r="D108" s="117"/>
      <c r="E108" s="117"/>
      <c r="F108" s="117"/>
      <c r="G108" s="118"/>
    </row>
    <row r="109" spans="1:7" ht="15.75" thickBot="1" x14ac:dyDescent="0.3">
      <c r="A109" s="119"/>
      <c r="B109" s="119"/>
      <c r="C109" s="119"/>
      <c r="D109" s="119"/>
      <c r="E109" s="119"/>
      <c r="F109" s="119"/>
      <c r="G109" s="119"/>
    </row>
    <row r="110" spans="1:7" ht="15.75" thickBot="1" x14ac:dyDescent="0.3">
      <c r="A110" s="116" t="s">
        <v>63</v>
      </c>
      <c r="B110" s="117"/>
      <c r="C110" s="117"/>
      <c r="D110" s="117"/>
      <c r="E110" s="117"/>
      <c r="F110" s="117"/>
      <c r="G110" s="118"/>
    </row>
    <row r="111" spans="1:7" s="123" customFormat="1" ht="15.75" customHeight="1" thickBot="1" x14ac:dyDescent="0.3">
      <c r="A111" s="120"/>
      <c r="B111" s="121"/>
      <c r="C111" s="121"/>
      <c r="D111" s="121"/>
      <c r="E111" s="121"/>
      <c r="F111" s="121"/>
      <c r="G111" s="122"/>
    </row>
    <row r="112" spans="1:7" ht="39" customHeight="1" thickBot="1" x14ac:dyDescent="0.3">
      <c r="A112" s="104" t="s">
        <v>64</v>
      </c>
      <c r="B112" s="105"/>
      <c r="C112" s="105"/>
      <c r="D112" s="106"/>
      <c r="E112" s="106"/>
      <c r="F112" s="106"/>
      <c r="G112" s="107"/>
    </row>
    <row r="113" spans="1:7" x14ac:dyDescent="0.25">
      <c r="A113" s="13"/>
      <c r="B113" s="13"/>
      <c r="C113" s="13"/>
      <c r="D113" s="13"/>
      <c r="E113" s="13"/>
      <c r="F113" s="13"/>
      <c r="G113" s="13"/>
    </row>
    <row r="114" spans="1:7" x14ac:dyDescent="0.25">
      <c r="A114" s="13"/>
      <c r="B114" s="13"/>
      <c r="C114" s="13"/>
      <c r="D114" s="13"/>
      <c r="E114" s="13"/>
      <c r="F114" s="13"/>
      <c r="G114" s="13"/>
    </row>
    <row r="115" spans="1:7" x14ac:dyDescent="0.25">
      <c r="A115" s="108" t="s">
        <v>74</v>
      </c>
      <c r="B115" s="108"/>
      <c r="C115" s="108"/>
      <c r="D115" s="108"/>
      <c r="E115" s="108"/>
      <c r="F115" s="108"/>
      <c r="G115" s="108"/>
    </row>
  </sheetData>
  <sheetProtection password="BD8C" sheet="1" objects="1" scenarios="1" formatRows="0"/>
  <mergeCells count="51">
    <mergeCell ref="A64:B64"/>
    <mergeCell ref="A106:G106"/>
    <mergeCell ref="A107:G107"/>
    <mergeCell ref="A108:G108"/>
    <mergeCell ref="A109:G109"/>
    <mergeCell ref="A67:G67"/>
    <mergeCell ref="A76:G76"/>
    <mergeCell ref="A92:G92"/>
    <mergeCell ref="B77:C77"/>
    <mergeCell ref="A112:C112"/>
    <mergeCell ref="D112:G112"/>
    <mergeCell ref="A115:G115"/>
    <mergeCell ref="A65:B65"/>
    <mergeCell ref="A110:G110"/>
    <mergeCell ref="A111:G111"/>
    <mergeCell ref="A93:G93"/>
    <mergeCell ref="F94:G104"/>
    <mergeCell ref="A105:G105"/>
    <mergeCell ref="A23:G23"/>
    <mergeCell ref="B24:C24"/>
    <mergeCell ref="D24:E24"/>
    <mergeCell ref="F24:G24"/>
    <mergeCell ref="A47:G47"/>
    <mergeCell ref="A49:G49"/>
    <mergeCell ref="A51:B51"/>
    <mergeCell ref="A63:B63"/>
    <mergeCell ref="A62:B62"/>
    <mergeCell ref="A61:B61"/>
    <mergeCell ref="A60:B60"/>
    <mergeCell ref="A59:B59"/>
    <mergeCell ref="A58:B58"/>
    <mergeCell ref="A52:B52"/>
    <mergeCell ref="A7:D7"/>
    <mergeCell ref="E7:G7"/>
    <mergeCell ref="A8:G8"/>
    <mergeCell ref="A9:G9"/>
    <mergeCell ref="B10:C10"/>
    <mergeCell ref="D10:E10"/>
    <mergeCell ref="F10:G10"/>
    <mergeCell ref="C50:E50"/>
    <mergeCell ref="A6:G6"/>
    <mergeCell ref="A1:G1"/>
    <mergeCell ref="A2:G2"/>
    <mergeCell ref="B4:G4"/>
    <mergeCell ref="B5:G5"/>
    <mergeCell ref="B3:G3"/>
    <mergeCell ref="A53:B53"/>
    <mergeCell ref="A54:B54"/>
    <mergeCell ref="A55:B55"/>
    <mergeCell ref="A56:B56"/>
    <mergeCell ref="A57:B57"/>
  </mergeCells>
  <conditionalFormatting sqref="E104 B90:B91 B74 C62:E62 C65:E65 B21:G21 B45:G46">
    <cfRule type="cellIs" dxfId="3" priority="3" operator="equal">
      <formula>"Reprovado"</formula>
    </cfRule>
    <cfRule type="cellIs" dxfId="2" priority="4" operator="equal">
      <formula>"Aprovado"</formula>
    </cfRule>
  </conditionalFormatting>
  <conditionalFormatting sqref="C90">
    <cfRule type="cellIs" dxfId="1" priority="1" operator="equal">
      <formula>"Reprovado"</formula>
    </cfRule>
    <cfRule type="cellIs" dxfId="0" priority="2" operator="equal">
      <formula>"Aprovado"</formula>
    </cfRule>
  </conditionalFormatting>
  <pageMargins left="0.511811024" right="0.511811024" top="0.78740157499999996" bottom="0.78740157499999996" header="0.31496062000000002" footer="0.31496062000000002"/>
  <pageSetup paperSize="9" scale="93" orientation="portrait" r:id="rId1"/>
  <rowBreaks count="1" manualBreakCount="1">
    <brk id="92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400050</xdr:colOff>
                    <xdr:row>106</xdr:row>
                    <xdr:rowOff>104775</xdr:rowOff>
                  </from>
                  <to>
                    <xdr:col>2</xdr:col>
                    <xdr:colOff>190500</xdr:colOff>
                    <xdr:row>108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3</xdr:col>
                    <xdr:colOff>476250</xdr:colOff>
                    <xdr:row>106</xdr:row>
                    <xdr:rowOff>85725</xdr:rowOff>
                  </from>
                  <to>
                    <xdr:col>4</xdr:col>
                    <xdr:colOff>304800</xdr:colOff>
                    <xdr:row>108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</dc:creator>
  <cp:lastModifiedBy>Cinthia</cp:lastModifiedBy>
  <cp:lastPrinted>2018-03-22T12:16:08Z</cp:lastPrinted>
  <dcterms:created xsi:type="dcterms:W3CDTF">2018-03-16T17:31:28Z</dcterms:created>
  <dcterms:modified xsi:type="dcterms:W3CDTF">2022-05-09T12:58:32Z</dcterms:modified>
</cp:coreProperties>
</file>