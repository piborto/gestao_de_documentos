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GQ\Desktop\"/>
    </mc:Choice>
  </mc:AlternateContent>
  <xr:revisionPtr revIDLastSave="0" documentId="13_ncr:1_{251E567B-BF2A-4389-A8C2-CE816A936A0F}" xr6:coauthVersionLast="47" xr6:coauthVersionMax="47" xr10:uidLastSave="{00000000-0000-0000-0000-000000000000}"/>
  <bookViews>
    <workbookView xWindow="-120" yWindow="-120" windowWidth="29040" windowHeight="15720" tabRatio="533" firstSheet="4" xr2:uid="{00000000-000D-0000-FFFF-FFFF00000000}"/>
  </bookViews>
  <sheets>
    <sheet name="Página 01_Cadastro" sheetId="6" r:id="rId1"/>
    <sheet name="Página 02_Retorno" sheetId="7" r:id="rId2"/>
    <sheet name="Página 03_Envio_Modalidade" sheetId="8" r:id="rId3"/>
    <sheet name="Página 04_Envio_Tipo Bolsa" sheetId="9" r:id="rId4"/>
    <sheet name="Pag 05_Modalidade_APROVADO" sheetId="12" r:id="rId5"/>
    <sheet name="Pag 06_Bolsas_APROVADO" sheetId="13" r:id="rId6"/>
    <sheet name="Pag 07_Relatórios" sheetId="15" r:id="rId7"/>
    <sheet name="Pag 08_Legendas" sheetId="11" r:id="rId8"/>
  </sheets>
  <definedNames>
    <definedName name="_xlnm._FilterDatabase" localSheetId="0" hidden="1">'Página 01_Cadastro'!$A$5:$V$121</definedName>
    <definedName name="_xlnm._FilterDatabase" localSheetId="1" hidden="1">'Página 02_Retorno'!$A$6:$Y$109</definedName>
    <definedName name="_xlnm.Print_Area" localSheetId="4">'Pag 05_Modalidade_APROVADO'!$A$1:$K$158</definedName>
    <definedName name="_xlnm.Print_Area" localSheetId="5">'Pag 06_Bolsas_APROVADO'!$A$1:$K$136</definedName>
    <definedName name="_xlnm.Print_Area" localSheetId="6">'Pag 07_Relatórios'!$A$1:$G$67</definedName>
    <definedName name="_xlnm.Print_Area" localSheetId="0">'Página 01_Cadastro'!$A$1:$V$120</definedName>
    <definedName name="_xlnm.Print_Area" localSheetId="1">'Página 02_Retorno'!$A$1:$Y$108</definedName>
    <definedName name="_xlnm.Print_Area" localSheetId="2">'Página 03_Envio_Modalidade'!$A$1:$I$158</definedName>
    <definedName name="_xlnm.Print_Area" localSheetId="3">'Página 04_Envio_Tipo Bolsa'!$A$1:$I$135</definedName>
    <definedName name="_xlnm.Print_Titles" localSheetId="0">'Página 01_Cadastro'!$1:$5</definedName>
    <definedName name="_xlnm.Print_Titles" localSheetId="1">'Página 02_Retorno'!$1:$6</definedName>
    <definedName name="Z_2901D317_5E92_401A_86B1_97347976552B_.wvu.PrintArea" localSheetId="0" hidden="1">'Página 01_Cadastro'!$A$1:$AM$122</definedName>
    <definedName name="Z_2901D317_5E92_401A_86B1_97347976552B_.wvu.PrintArea" localSheetId="1" hidden="1">'Página 02_Retorno'!$A$1:$AR$121</definedName>
  </definedNames>
  <calcPr calcId="191029"/>
  <customWorkbookViews>
    <customWorkbookView name="Yone - Modo de exibição pessoal" guid="{2901D317-5E92-401A-86B1-97347976552B}" mergeInterval="0" personalView="1" maximized="1" windowWidth="796" windowHeight="411" activeSheetId="1"/>
  </customWorkbookViews>
</workbook>
</file>

<file path=xl/calcChain.xml><?xml version="1.0" encoding="utf-8"?>
<calcChain xmlns="http://schemas.openxmlformats.org/spreadsheetml/2006/main">
  <c r="K4" i="7" l="1"/>
  <c r="L4" i="7" s="1"/>
  <c r="W26" i="6" l="1"/>
  <c r="X26" i="6"/>
  <c r="Y26" i="6"/>
  <c r="Z26" i="6"/>
  <c r="W27" i="6"/>
  <c r="X27" i="6"/>
  <c r="Y27" i="6"/>
  <c r="Z27" i="6"/>
  <c r="S26" i="6"/>
  <c r="S27" i="6"/>
  <c r="S49" i="6" l="1"/>
  <c r="K145" i="12" l="1"/>
  <c r="J145" i="12"/>
  <c r="H145" i="12"/>
  <c r="G145" i="12"/>
  <c r="F145" i="12"/>
  <c r="E145" i="12"/>
  <c r="D145" i="12"/>
  <c r="C145" i="12"/>
  <c r="B145" i="12"/>
  <c r="K144" i="12"/>
  <c r="H144" i="12"/>
  <c r="G144" i="12"/>
  <c r="F144" i="12"/>
  <c r="E144" i="12"/>
  <c r="D144" i="12"/>
  <c r="C144" i="12"/>
  <c r="B144" i="12"/>
  <c r="K143" i="12"/>
  <c r="J143" i="12"/>
  <c r="H143" i="12"/>
  <c r="G143" i="12"/>
  <c r="F143" i="12"/>
  <c r="E143" i="12"/>
  <c r="D143" i="12"/>
  <c r="C143" i="12"/>
  <c r="B143" i="12"/>
  <c r="K142" i="12"/>
  <c r="J142" i="12"/>
  <c r="H142" i="12"/>
  <c r="G142" i="12"/>
  <c r="F142" i="12"/>
  <c r="E142" i="12"/>
  <c r="D142" i="12"/>
  <c r="C142" i="12"/>
  <c r="B142" i="12"/>
  <c r="K141" i="12"/>
  <c r="J141" i="12"/>
  <c r="H141" i="12"/>
  <c r="G141" i="12"/>
  <c r="F141" i="12"/>
  <c r="E141" i="12"/>
  <c r="D141" i="12"/>
  <c r="C141" i="12"/>
  <c r="B141" i="12"/>
  <c r="K140" i="12"/>
  <c r="J140" i="12"/>
  <c r="H140" i="12"/>
  <c r="G140" i="12"/>
  <c r="F140" i="12"/>
  <c r="E140" i="12"/>
  <c r="D140" i="12"/>
  <c r="C140" i="12"/>
  <c r="B140" i="12"/>
  <c r="K139" i="12"/>
  <c r="J139" i="12"/>
  <c r="H139" i="12"/>
  <c r="G139" i="12"/>
  <c r="F139" i="12"/>
  <c r="E139" i="12"/>
  <c r="D139" i="12"/>
  <c r="C139" i="12"/>
  <c r="B139" i="12"/>
  <c r="H145" i="8"/>
  <c r="F145" i="8"/>
  <c r="E145" i="8"/>
  <c r="D145" i="8"/>
  <c r="C145" i="8"/>
  <c r="B145" i="8"/>
  <c r="H144" i="8"/>
  <c r="F144" i="8"/>
  <c r="E144" i="8"/>
  <c r="D144" i="8"/>
  <c r="C144" i="8"/>
  <c r="B144" i="8"/>
  <c r="H143" i="8"/>
  <c r="F143" i="8"/>
  <c r="E143" i="8"/>
  <c r="D143" i="8"/>
  <c r="C143" i="8"/>
  <c r="B143" i="8"/>
  <c r="H142" i="8"/>
  <c r="F142" i="8"/>
  <c r="E142" i="8"/>
  <c r="D142" i="8"/>
  <c r="C142" i="8"/>
  <c r="B142" i="8"/>
  <c r="H141" i="8"/>
  <c r="F141" i="8"/>
  <c r="E141" i="8"/>
  <c r="D141" i="8"/>
  <c r="C141" i="8"/>
  <c r="B141" i="8"/>
  <c r="H140" i="8"/>
  <c r="F140" i="8"/>
  <c r="E140" i="8"/>
  <c r="D140" i="8"/>
  <c r="C140" i="8"/>
  <c r="B140" i="8"/>
  <c r="H139" i="8"/>
  <c r="F139" i="8"/>
  <c r="E139" i="8"/>
  <c r="D139" i="8"/>
  <c r="C139" i="8"/>
  <c r="B139" i="8"/>
  <c r="G145" i="8"/>
  <c r="G144" i="8"/>
  <c r="G143" i="8"/>
  <c r="G142" i="8"/>
  <c r="G141" i="8"/>
  <c r="G140" i="8"/>
  <c r="G139" i="8"/>
  <c r="H146" i="8" l="1"/>
  <c r="D146" i="8"/>
  <c r="E146" i="8"/>
  <c r="I144" i="8"/>
  <c r="F146" i="8"/>
  <c r="I140" i="8"/>
  <c r="I139" i="8"/>
  <c r="G146" i="12"/>
  <c r="D146" i="12"/>
  <c r="C146" i="12"/>
  <c r="H146" i="12"/>
  <c r="I142" i="12"/>
  <c r="E146" i="12"/>
  <c r="I141" i="12"/>
  <c r="I145" i="12"/>
  <c r="I140" i="12"/>
  <c r="I143" i="12"/>
  <c r="I144" i="12"/>
  <c r="F146" i="12"/>
  <c r="B146" i="12"/>
  <c r="I143" i="8"/>
  <c r="K146" i="12"/>
  <c r="I141" i="8"/>
  <c r="I145" i="8"/>
  <c r="I142" i="8"/>
  <c r="B146" i="8"/>
  <c r="G146" i="8"/>
  <c r="I139" i="12"/>
  <c r="C146" i="8"/>
  <c r="D46" i="15"/>
  <c r="D59" i="15"/>
  <c r="I146" i="12" l="1"/>
  <c r="I146" i="8"/>
  <c r="J117" i="13"/>
  <c r="K117" i="13"/>
  <c r="J118" i="13"/>
  <c r="K118" i="13"/>
  <c r="K119" i="13"/>
  <c r="J120" i="13"/>
  <c r="K120" i="13"/>
  <c r="J121" i="13"/>
  <c r="K121" i="13"/>
  <c r="J122" i="13"/>
  <c r="K122" i="13"/>
  <c r="B117" i="13"/>
  <c r="C117" i="13"/>
  <c r="D117" i="13"/>
  <c r="E117" i="13"/>
  <c r="F117" i="13"/>
  <c r="G117" i="13"/>
  <c r="H117" i="13"/>
  <c r="B118" i="13"/>
  <c r="C118" i="13"/>
  <c r="D118" i="13"/>
  <c r="E118" i="13"/>
  <c r="F118" i="13"/>
  <c r="G118" i="13"/>
  <c r="H118" i="13"/>
  <c r="B119" i="13"/>
  <c r="C119" i="13"/>
  <c r="D119" i="13"/>
  <c r="E119" i="13"/>
  <c r="F119" i="13"/>
  <c r="G119" i="13"/>
  <c r="H119" i="13"/>
  <c r="B120" i="13"/>
  <c r="C120" i="13"/>
  <c r="D120" i="13"/>
  <c r="E120" i="13"/>
  <c r="F120" i="13"/>
  <c r="G120" i="13"/>
  <c r="H120" i="13"/>
  <c r="B121" i="13"/>
  <c r="C121" i="13"/>
  <c r="D121" i="13"/>
  <c r="E121" i="13"/>
  <c r="F121" i="13"/>
  <c r="G121" i="13"/>
  <c r="H121" i="13"/>
  <c r="B122" i="13"/>
  <c r="C122" i="13"/>
  <c r="D122" i="13"/>
  <c r="E122" i="13"/>
  <c r="F122" i="13"/>
  <c r="G122" i="13"/>
  <c r="H122" i="13"/>
  <c r="K116" i="13"/>
  <c r="H116" i="13"/>
  <c r="G116" i="13"/>
  <c r="F116" i="13"/>
  <c r="E116" i="13"/>
  <c r="D116" i="13"/>
  <c r="C116" i="13"/>
  <c r="B116" i="13"/>
  <c r="J105" i="13"/>
  <c r="K105" i="13"/>
  <c r="J106" i="13"/>
  <c r="K106" i="13"/>
  <c r="J107" i="13"/>
  <c r="K107" i="13"/>
  <c r="J108" i="13"/>
  <c r="K108" i="13"/>
  <c r="J109" i="13"/>
  <c r="K109" i="13"/>
  <c r="J110" i="13"/>
  <c r="K110" i="13"/>
  <c r="K104" i="13"/>
  <c r="J104" i="13"/>
  <c r="B105" i="13"/>
  <c r="C105" i="13"/>
  <c r="D105" i="13"/>
  <c r="E105" i="13"/>
  <c r="F105" i="13"/>
  <c r="G105" i="13"/>
  <c r="H105" i="13"/>
  <c r="B106" i="13"/>
  <c r="C106" i="13"/>
  <c r="D106" i="13"/>
  <c r="E106" i="13"/>
  <c r="F106" i="13"/>
  <c r="G106" i="13"/>
  <c r="H106" i="13"/>
  <c r="B107" i="13"/>
  <c r="C107" i="13"/>
  <c r="D107" i="13"/>
  <c r="E107" i="13"/>
  <c r="F107" i="13"/>
  <c r="G107" i="13"/>
  <c r="H107" i="13"/>
  <c r="B108" i="13"/>
  <c r="C108" i="13"/>
  <c r="D108" i="13"/>
  <c r="E108" i="13"/>
  <c r="F108" i="13"/>
  <c r="G108" i="13"/>
  <c r="H108" i="13"/>
  <c r="B109" i="13"/>
  <c r="C109" i="13"/>
  <c r="D109" i="13"/>
  <c r="E109" i="13"/>
  <c r="F109" i="13"/>
  <c r="G109" i="13"/>
  <c r="H109" i="13"/>
  <c r="B110" i="13"/>
  <c r="C110" i="13"/>
  <c r="D110" i="13"/>
  <c r="E110" i="13"/>
  <c r="F110" i="13"/>
  <c r="G110" i="13"/>
  <c r="H110" i="13"/>
  <c r="H104" i="13"/>
  <c r="G104" i="13"/>
  <c r="F104" i="13"/>
  <c r="E104" i="13"/>
  <c r="D104" i="13"/>
  <c r="C104" i="13"/>
  <c r="B104" i="13"/>
  <c r="J92" i="13"/>
  <c r="K92" i="13"/>
  <c r="J93" i="13"/>
  <c r="K93" i="13"/>
  <c r="J94" i="13"/>
  <c r="K94" i="13"/>
  <c r="J95" i="13"/>
  <c r="K95" i="13"/>
  <c r="J96" i="13"/>
  <c r="K96" i="13"/>
  <c r="J97" i="13"/>
  <c r="K97" i="13"/>
  <c r="K91" i="13"/>
  <c r="J91" i="13"/>
  <c r="B92" i="13"/>
  <c r="C92" i="13"/>
  <c r="D92" i="13"/>
  <c r="E92" i="13"/>
  <c r="F92" i="13"/>
  <c r="G92" i="13"/>
  <c r="H92" i="13"/>
  <c r="B93" i="13"/>
  <c r="C93" i="13"/>
  <c r="D93" i="13"/>
  <c r="E93" i="13"/>
  <c r="F93" i="13"/>
  <c r="G93" i="13"/>
  <c r="H93" i="13"/>
  <c r="B94" i="13"/>
  <c r="C94" i="13"/>
  <c r="D94" i="13"/>
  <c r="E94" i="13"/>
  <c r="F94" i="13"/>
  <c r="G94" i="13"/>
  <c r="H94" i="13"/>
  <c r="B95" i="13"/>
  <c r="C95" i="13"/>
  <c r="D95" i="13"/>
  <c r="E95" i="13"/>
  <c r="F95" i="13"/>
  <c r="G95" i="13"/>
  <c r="H95" i="13"/>
  <c r="B96" i="13"/>
  <c r="C96" i="13"/>
  <c r="D96" i="13"/>
  <c r="E96" i="13"/>
  <c r="F96" i="13"/>
  <c r="G96" i="13"/>
  <c r="H96" i="13"/>
  <c r="B97" i="13"/>
  <c r="C97" i="13"/>
  <c r="D97" i="13"/>
  <c r="E97" i="13"/>
  <c r="F97" i="13"/>
  <c r="G97" i="13"/>
  <c r="H97" i="13"/>
  <c r="H91" i="13"/>
  <c r="G91" i="13"/>
  <c r="F91" i="13"/>
  <c r="E91" i="13"/>
  <c r="D91" i="13"/>
  <c r="C91" i="13"/>
  <c r="B91" i="13"/>
  <c r="J80" i="13"/>
  <c r="K80" i="13"/>
  <c r="J81" i="13"/>
  <c r="K81" i="13"/>
  <c r="J82" i="13"/>
  <c r="K82" i="13"/>
  <c r="J83" i="13"/>
  <c r="K83" i="13"/>
  <c r="J84" i="13"/>
  <c r="K84" i="13"/>
  <c r="J85" i="13"/>
  <c r="K85" i="13"/>
  <c r="K79" i="13"/>
  <c r="J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H79" i="13"/>
  <c r="G79" i="13"/>
  <c r="F79" i="13"/>
  <c r="E79" i="13"/>
  <c r="D79" i="13"/>
  <c r="C79" i="13"/>
  <c r="B79" i="13"/>
  <c r="K68" i="13"/>
  <c r="J69" i="13"/>
  <c r="K69" i="13"/>
  <c r="J70" i="13"/>
  <c r="K70" i="13"/>
  <c r="J71" i="13"/>
  <c r="K71" i="13"/>
  <c r="J72" i="13"/>
  <c r="K72" i="13"/>
  <c r="J73" i="13"/>
  <c r="K73" i="13"/>
  <c r="K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H67" i="13"/>
  <c r="G67" i="13"/>
  <c r="F67" i="13"/>
  <c r="E67" i="13"/>
  <c r="D67" i="13"/>
  <c r="C67" i="13"/>
  <c r="B67" i="13"/>
  <c r="K56" i="13"/>
  <c r="J57" i="13"/>
  <c r="K57" i="13"/>
  <c r="J58" i="13"/>
  <c r="K58" i="13"/>
  <c r="K59" i="13"/>
  <c r="J60" i="13"/>
  <c r="K60" i="13"/>
  <c r="J61" i="13"/>
  <c r="K61" i="13"/>
  <c r="K55" i="13"/>
  <c r="B56" i="13"/>
  <c r="C56" i="13"/>
  <c r="D56" i="13"/>
  <c r="E56" i="13"/>
  <c r="F56" i="13"/>
  <c r="G56" i="13"/>
  <c r="H56" i="13"/>
  <c r="B57" i="13"/>
  <c r="C57" i="13"/>
  <c r="D57" i="13"/>
  <c r="E57" i="13"/>
  <c r="F57" i="13"/>
  <c r="G57" i="13"/>
  <c r="H57" i="13"/>
  <c r="B58" i="13"/>
  <c r="C58" i="13"/>
  <c r="D58" i="13"/>
  <c r="E58" i="13"/>
  <c r="F58" i="13"/>
  <c r="G58" i="13"/>
  <c r="H58" i="13"/>
  <c r="B59" i="13"/>
  <c r="C59" i="13"/>
  <c r="D59" i="13"/>
  <c r="E59" i="13"/>
  <c r="F59" i="13"/>
  <c r="G59" i="13"/>
  <c r="H59" i="13"/>
  <c r="B60" i="13"/>
  <c r="C60" i="13"/>
  <c r="D60" i="13"/>
  <c r="E60" i="13"/>
  <c r="F60" i="13"/>
  <c r="G60" i="13"/>
  <c r="H60" i="13"/>
  <c r="B61" i="13"/>
  <c r="C61" i="13"/>
  <c r="D61" i="13"/>
  <c r="E61" i="13"/>
  <c r="F61" i="13"/>
  <c r="G61" i="13"/>
  <c r="H61" i="13"/>
  <c r="H55" i="13"/>
  <c r="G55" i="13"/>
  <c r="F55" i="13"/>
  <c r="E55" i="13"/>
  <c r="D55" i="13"/>
  <c r="C55" i="13"/>
  <c r="B55" i="13"/>
  <c r="J44" i="13"/>
  <c r="K44" i="13"/>
  <c r="J45" i="13"/>
  <c r="K45" i="13"/>
  <c r="K46" i="13"/>
  <c r="J47" i="13"/>
  <c r="K47" i="13"/>
  <c r="K48" i="13"/>
  <c r="J49" i="13"/>
  <c r="K49" i="13"/>
  <c r="K43" i="13"/>
  <c r="B44" i="13"/>
  <c r="C44" i="13"/>
  <c r="D44" i="13"/>
  <c r="E44" i="13"/>
  <c r="F44" i="13"/>
  <c r="G44" i="13"/>
  <c r="H44" i="13"/>
  <c r="B45" i="13"/>
  <c r="C45" i="13"/>
  <c r="D45" i="13"/>
  <c r="E45" i="13"/>
  <c r="F45" i="13"/>
  <c r="G45" i="13"/>
  <c r="H45" i="13"/>
  <c r="B46" i="13"/>
  <c r="C46" i="13"/>
  <c r="D46" i="13"/>
  <c r="E46" i="13"/>
  <c r="F46" i="13"/>
  <c r="G46" i="13"/>
  <c r="H46" i="13"/>
  <c r="B47" i="13"/>
  <c r="C47" i="13"/>
  <c r="D47" i="13"/>
  <c r="E47" i="13"/>
  <c r="F47" i="13"/>
  <c r="G47" i="13"/>
  <c r="H47" i="13"/>
  <c r="B48" i="13"/>
  <c r="C48" i="13"/>
  <c r="D48" i="13"/>
  <c r="E48" i="13"/>
  <c r="F48" i="13"/>
  <c r="G48" i="13"/>
  <c r="H48" i="13"/>
  <c r="B49" i="13"/>
  <c r="C49" i="13"/>
  <c r="D49" i="13"/>
  <c r="E49" i="13"/>
  <c r="F49" i="13"/>
  <c r="G49" i="13"/>
  <c r="H49" i="13"/>
  <c r="H43" i="13"/>
  <c r="G43" i="13"/>
  <c r="F43" i="13"/>
  <c r="E43" i="13"/>
  <c r="D43" i="13"/>
  <c r="C43" i="13"/>
  <c r="B43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B32" i="13"/>
  <c r="C32" i="13"/>
  <c r="D32" i="13"/>
  <c r="E32" i="13"/>
  <c r="F32" i="13"/>
  <c r="G32" i="13"/>
  <c r="H32" i="13"/>
  <c r="B33" i="13"/>
  <c r="C33" i="13"/>
  <c r="D33" i="13"/>
  <c r="E33" i="13"/>
  <c r="F33" i="13"/>
  <c r="G33" i="13"/>
  <c r="H33" i="13"/>
  <c r="B34" i="13"/>
  <c r="C34" i="13"/>
  <c r="D34" i="13"/>
  <c r="E34" i="13"/>
  <c r="F34" i="13"/>
  <c r="G34" i="13"/>
  <c r="H34" i="13"/>
  <c r="B35" i="13"/>
  <c r="C35" i="13"/>
  <c r="D35" i="13"/>
  <c r="E35" i="13"/>
  <c r="F35" i="13"/>
  <c r="G35" i="13"/>
  <c r="H35" i="13"/>
  <c r="B36" i="13"/>
  <c r="C36" i="13"/>
  <c r="D36" i="13"/>
  <c r="E36" i="13"/>
  <c r="F36" i="13"/>
  <c r="G36" i="13"/>
  <c r="H36" i="13"/>
  <c r="B37" i="13"/>
  <c r="C37" i="13"/>
  <c r="D37" i="13"/>
  <c r="E37" i="13"/>
  <c r="F37" i="13"/>
  <c r="G37" i="13"/>
  <c r="H37" i="13"/>
  <c r="K31" i="13"/>
  <c r="J31" i="13"/>
  <c r="H31" i="13"/>
  <c r="G31" i="13"/>
  <c r="F31" i="13"/>
  <c r="E31" i="13"/>
  <c r="D31" i="13"/>
  <c r="C31" i="13"/>
  <c r="B31" i="13"/>
  <c r="J20" i="13"/>
  <c r="K20" i="13"/>
  <c r="K21" i="13"/>
  <c r="K22" i="13"/>
  <c r="J23" i="13"/>
  <c r="K23" i="13"/>
  <c r="K24" i="13"/>
  <c r="K25" i="13"/>
  <c r="K19" i="13"/>
  <c r="K6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H19" i="13"/>
  <c r="H6" i="13"/>
  <c r="G19" i="13"/>
  <c r="G6" i="13"/>
  <c r="F19" i="13"/>
  <c r="F6" i="13"/>
  <c r="E19" i="13"/>
  <c r="E6" i="13"/>
  <c r="D19" i="13"/>
  <c r="D6" i="13"/>
  <c r="C20" i="13"/>
  <c r="C21" i="13"/>
  <c r="C22" i="13"/>
  <c r="C23" i="13"/>
  <c r="C24" i="13"/>
  <c r="C25" i="13"/>
  <c r="C19" i="13"/>
  <c r="C6" i="13"/>
  <c r="B20" i="13"/>
  <c r="B21" i="13"/>
  <c r="B22" i="13"/>
  <c r="B23" i="13"/>
  <c r="B24" i="13"/>
  <c r="B25" i="13"/>
  <c r="B19" i="13"/>
  <c r="B6" i="13"/>
  <c r="K7" i="13"/>
  <c r="K8" i="13"/>
  <c r="K9" i="13"/>
  <c r="K10" i="13"/>
  <c r="K11" i="13"/>
  <c r="K12" i="13"/>
  <c r="C8" i="13"/>
  <c r="J10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C7" i="13"/>
  <c r="C9" i="13"/>
  <c r="C10" i="13"/>
  <c r="C11" i="13"/>
  <c r="C12" i="13"/>
  <c r="B7" i="13"/>
  <c r="B8" i="13"/>
  <c r="B9" i="13"/>
  <c r="B10" i="13"/>
  <c r="B11" i="13"/>
  <c r="B12" i="13"/>
  <c r="B129" i="13" l="1"/>
  <c r="F129" i="13"/>
  <c r="E135" i="13"/>
  <c r="H134" i="13"/>
  <c r="D134" i="13"/>
  <c r="G133" i="13"/>
  <c r="C133" i="13"/>
  <c r="F132" i="13"/>
  <c r="B132" i="13"/>
  <c r="E131" i="13"/>
  <c r="H130" i="13"/>
  <c r="D130" i="13"/>
  <c r="C129" i="13"/>
  <c r="G129" i="13"/>
  <c r="H135" i="13"/>
  <c r="D135" i="13"/>
  <c r="G134" i="13"/>
  <c r="C134" i="13"/>
  <c r="F133" i="13"/>
  <c r="B133" i="13"/>
  <c r="E132" i="13"/>
  <c r="H131" i="13"/>
  <c r="D131" i="13"/>
  <c r="G130" i="13"/>
  <c r="C130" i="13"/>
  <c r="D129" i="13"/>
  <c r="H129" i="13"/>
  <c r="G135" i="13"/>
  <c r="C135" i="13"/>
  <c r="F134" i="13"/>
  <c r="B134" i="13"/>
  <c r="E133" i="13"/>
  <c r="H132" i="13"/>
  <c r="D132" i="13"/>
  <c r="G131" i="13"/>
  <c r="C131" i="13"/>
  <c r="F130" i="13"/>
  <c r="B130" i="13"/>
  <c r="E129" i="13"/>
  <c r="F135" i="13"/>
  <c r="B135" i="13"/>
  <c r="E134" i="13"/>
  <c r="H133" i="13"/>
  <c r="D133" i="13"/>
  <c r="G132" i="13"/>
  <c r="C132" i="13"/>
  <c r="F131" i="13"/>
  <c r="B131" i="13"/>
  <c r="E130" i="13"/>
  <c r="K129" i="13"/>
  <c r="K134" i="13"/>
  <c r="K132" i="13"/>
  <c r="K130" i="13"/>
  <c r="K135" i="13"/>
  <c r="K133" i="13"/>
  <c r="K131" i="13"/>
  <c r="J86" i="13"/>
  <c r="J38" i="13"/>
  <c r="J111" i="13"/>
  <c r="J98" i="13"/>
  <c r="K38" i="13"/>
  <c r="K62" i="13"/>
  <c r="K111" i="13"/>
  <c r="K50" i="13"/>
  <c r="K98" i="13"/>
  <c r="K123" i="13"/>
  <c r="K86" i="13"/>
  <c r="K26" i="13"/>
  <c r="K74" i="13"/>
  <c r="I22" i="13"/>
  <c r="I21" i="13"/>
  <c r="I20" i="13"/>
  <c r="K13" i="13"/>
  <c r="I10" i="13"/>
  <c r="I25" i="13"/>
  <c r="I24" i="13"/>
  <c r="I23" i="13"/>
  <c r="I19" i="13"/>
  <c r="I8" i="13"/>
  <c r="I6" i="13"/>
  <c r="I12" i="13"/>
  <c r="I11" i="13"/>
  <c r="I9" i="13"/>
  <c r="I7" i="13"/>
  <c r="C13" i="13"/>
  <c r="D60" i="15"/>
  <c r="D61" i="15"/>
  <c r="D62" i="15"/>
  <c r="D63" i="15"/>
  <c r="D64" i="15"/>
  <c r="D65" i="15"/>
  <c r="B60" i="15"/>
  <c r="B61" i="15"/>
  <c r="B62" i="15"/>
  <c r="B63" i="15"/>
  <c r="B64" i="15"/>
  <c r="B65" i="15"/>
  <c r="B59" i="15"/>
  <c r="D47" i="15"/>
  <c r="D48" i="15"/>
  <c r="D49" i="15"/>
  <c r="D50" i="15"/>
  <c r="D51" i="15"/>
  <c r="D52" i="15"/>
  <c r="B47" i="15"/>
  <c r="B48" i="15"/>
  <c r="B49" i="15"/>
  <c r="B50" i="15"/>
  <c r="B51" i="15"/>
  <c r="B52" i="15"/>
  <c r="B46" i="15"/>
  <c r="B53" i="15" l="1"/>
  <c r="C46" i="15" s="1"/>
  <c r="D66" i="15"/>
  <c r="B66" i="15"/>
  <c r="C59" i="15" s="1"/>
  <c r="D53" i="15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7" i="7"/>
  <c r="C61" i="15" l="1"/>
  <c r="C63" i="15"/>
  <c r="C65" i="15"/>
  <c r="C60" i="15"/>
  <c r="C62" i="15"/>
  <c r="C64" i="15"/>
  <c r="E63" i="15"/>
  <c r="E64" i="15"/>
  <c r="E60" i="15"/>
  <c r="E61" i="15"/>
  <c r="E65" i="15"/>
  <c r="E62" i="15"/>
  <c r="E59" i="15"/>
  <c r="C47" i="15"/>
  <c r="C49" i="15"/>
  <c r="E51" i="15"/>
  <c r="C52" i="15"/>
  <c r="C51" i="15"/>
  <c r="C48" i="15"/>
  <c r="C50" i="15"/>
  <c r="E47" i="15"/>
  <c r="E46" i="15"/>
  <c r="E49" i="15"/>
  <c r="E52" i="15"/>
  <c r="E48" i="15"/>
  <c r="E50" i="15"/>
  <c r="G2" i="15"/>
  <c r="W22" i="6"/>
  <c r="X22" i="6"/>
  <c r="Y22" i="6"/>
  <c r="Z22" i="6"/>
  <c r="W23" i="6"/>
  <c r="X23" i="6"/>
  <c r="Y23" i="6"/>
  <c r="Z23" i="6"/>
  <c r="W24" i="6"/>
  <c r="X24" i="6"/>
  <c r="Y24" i="6"/>
  <c r="Z24" i="6"/>
  <c r="W25" i="6"/>
  <c r="X25" i="6"/>
  <c r="Y25" i="6"/>
  <c r="Z25" i="6"/>
  <c r="W28" i="6"/>
  <c r="X28" i="6"/>
  <c r="Y28" i="6"/>
  <c r="Z28" i="6"/>
  <c r="W29" i="6"/>
  <c r="X29" i="6"/>
  <c r="Y29" i="6"/>
  <c r="Z29" i="6"/>
  <c r="W30" i="6"/>
  <c r="X30" i="6"/>
  <c r="Y30" i="6"/>
  <c r="Z30" i="6"/>
  <c r="W31" i="6"/>
  <c r="X31" i="6"/>
  <c r="Y31" i="6"/>
  <c r="Z31" i="6"/>
  <c r="W32" i="6"/>
  <c r="X32" i="6"/>
  <c r="Y32" i="6"/>
  <c r="Z32" i="6"/>
  <c r="W33" i="6"/>
  <c r="X33" i="6"/>
  <c r="Y33" i="6"/>
  <c r="Z33" i="6"/>
  <c r="W34" i="6"/>
  <c r="X34" i="6"/>
  <c r="Y34" i="6"/>
  <c r="Z34" i="6"/>
  <c r="W35" i="6"/>
  <c r="X35" i="6"/>
  <c r="Y35" i="6"/>
  <c r="Z35" i="6"/>
  <c r="W36" i="6"/>
  <c r="X36" i="6"/>
  <c r="Y36" i="6"/>
  <c r="Z36" i="6"/>
  <c r="W37" i="6"/>
  <c r="X37" i="6"/>
  <c r="Y37" i="6"/>
  <c r="Z37" i="6"/>
  <c r="W38" i="6"/>
  <c r="X38" i="6"/>
  <c r="Y38" i="6"/>
  <c r="Z38" i="6"/>
  <c r="W39" i="6"/>
  <c r="X39" i="6"/>
  <c r="Y39" i="6"/>
  <c r="Z39" i="6"/>
  <c r="W40" i="6"/>
  <c r="X40" i="6"/>
  <c r="Y40" i="6"/>
  <c r="Z40" i="6"/>
  <c r="W41" i="6"/>
  <c r="X41" i="6"/>
  <c r="Y41" i="6"/>
  <c r="Z41" i="6"/>
  <c r="W42" i="6"/>
  <c r="X42" i="6"/>
  <c r="Y42" i="6"/>
  <c r="Z42" i="6"/>
  <c r="W43" i="6"/>
  <c r="X43" i="6"/>
  <c r="Y43" i="6"/>
  <c r="Z43" i="6"/>
  <c r="W44" i="6"/>
  <c r="X44" i="6"/>
  <c r="Y44" i="6"/>
  <c r="Z44" i="6"/>
  <c r="W45" i="6"/>
  <c r="X45" i="6"/>
  <c r="Y45" i="6"/>
  <c r="Z45" i="6"/>
  <c r="W46" i="6"/>
  <c r="X46" i="6"/>
  <c r="Y46" i="6"/>
  <c r="Z46" i="6"/>
  <c r="W47" i="6"/>
  <c r="X47" i="6"/>
  <c r="Y47" i="6"/>
  <c r="Z47" i="6"/>
  <c r="W48" i="6"/>
  <c r="X48" i="6"/>
  <c r="Y48" i="6"/>
  <c r="Z48" i="6"/>
  <c r="W49" i="6"/>
  <c r="X49" i="6"/>
  <c r="Y49" i="6"/>
  <c r="Z49" i="6"/>
  <c r="W50" i="6"/>
  <c r="X50" i="6"/>
  <c r="Y50" i="6"/>
  <c r="Z50" i="6"/>
  <c r="W51" i="6"/>
  <c r="X51" i="6"/>
  <c r="Y51" i="6"/>
  <c r="Z51" i="6"/>
  <c r="W52" i="6"/>
  <c r="X52" i="6"/>
  <c r="Y52" i="6"/>
  <c r="Z52" i="6"/>
  <c r="W53" i="6"/>
  <c r="X53" i="6"/>
  <c r="Y53" i="6"/>
  <c r="Z53" i="6"/>
  <c r="W54" i="6"/>
  <c r="X54" i="6"/>
  <c r="Y54" i="6"/>
  <c r="Z54" i="6"/>
  <c r="W55" i="6"/>
  <c r="X55" i="6"/>
  <c r="Y55" i="6"/>
  <c r="Z55" i="6"/>
  <c r="W56" i="6"/>
  <c r="X56" i="6"/>
  <c r="Y56" i="6"/>
  <c r="Z56" i="6"/>
  <c r="W57" i="6"/>
  <c r="X57" i="6"/>
  <c r="Y57" i="6"/>
  <c r="Z57" i="6"/>
  <c r="W58" i="6"/>
  <c r="X58" i="6"/>
  <c r="Y58" i="6"/>
  <c r="Z58" i="6"/>
  <c r="W59" i="6"/>
  <c r="X59" i="6"/>
  <c r="Y59" i="6"/>
  <c r="Z59" i="6"/>
  <c r="W60" i="6"/>
  <c r="X60" i="6"/>
  <c r="Y60" i="6"/>
  <c r="Z60" i="6"/>
  <c r="W61" i="6"/>
  <c r="X61" i="6"/>
  <c r="Y61" i="6"/>
  <c r="Z61" i="6"/>
  <c r="W62" i="6"/>
  <c r="X62" i="6"/>
  <c r="Y62" i="6"/>
  <c r="Z62" i="6"/>
  <c r="W63" i="6"/>
  <c r="X63" i="6"/>
  <c r="Y63" i="6"/>
  <c r="Z63" i="6"/>
  <c r="W64" i="6"/>
  <c r="X64" i="6"/>
  <c r="Y64" i="6"/>
  <c r="Z64" i="6"/>
  <c r="W65" i="6"/>
  <c r="X65" i="6"/>
  <c r="Y65" i="6"/>
  <c r="Z65" i="6"/>
  <c r="W66" i="6"/>
  <c r="X66" i="6"/>
  <c r="Y66" i="6"/>
  <c r="Z66" i="6"/>
  <c r="W67" i="6"/>
  <c r="X67" i="6"/>
  <c r="Y67" i="6"/>
  <c r="Z67" i="6"/>
  <c r="W68" i="6"/>
  <c r="X68" i="6"/>
  <c r="Y68" i="6"/>
  <c r="Z68" i="6"/>
  <c r="W69" i="6"/>
  <c r="X69" i="6"/>
  <c r="Y69" i="6"/>
  <c r="Z69" i="6"/>
  <c r="W70" i="6"/>
  <c r="X70" i="6"/>
  <c r="Y70" i="6"/>
  <c r="Z70" i="6"/>
  <c r="W71" i="6"/>
  <c r="X71" i="6"/>
  <c r="Y71" i="6"/>
  <c r="Z71" i="6"/>
  <c r="W72" i="6"/>
  <c r="X72" i="6"/>
  <c r="Y72" i="6"/>
  <c r="Z72" i="6"/>
  <c r="W73" i="6"/>
  <c r="X73" i="6"/>
  <c r="Y73" i="6"/>
  <c r="Z73" i="6"/>
  <c r="W74" i="6"/>
  <c r="X74" i="6"/>
  <c r="Y74" i="6"/>
  <c r="Z74" i="6"/>
  <c r="W75" i="6"/>
  <c r="X75" i="6"/>
  <c r="Y75" i="6"/>
  <c r="Z75" i="6"/>
  <c r="W76" i="6"/>
  <c r="X76" i="6"/>
  <c r="Y76" i="6"/>
  <c r="Z76" i="6"/>
  <c r="W77" i="6"/>
  <c r="X77" i="6"/>
  <c r="Y77" i="6"/>
  <c r="Z77" i="6"/>
  <c r="W78" i="6"/>
  <c r="X78" i="6"/>
  <c r="Y78" i="6"/>
  <c r="Z78" i="6"/>
  <c r="W79" i="6"/>
  <c r="X79" i="6"/>
  <c r="Y79" i="6"/>
  <c r="Z79" i="6"/>
  <c r="W80" i="6"/>
  <c r="X80" i="6"/>
  <c r="Y80" i="6"/>
  <c r="Z80" i="6"/>
  <c r="W81" i="6"/>
  <c r="X81" i="6"/>
  <c r="Y81" i="6"/>
  <c r="Z81" i="6"/>
  <c r="W82" i="6"/>
  <c r="X82" i="6"/>
  <c r="Y82" i="6"/>
  <c r="Z82" i="6"/>
  <c r="W83" i="6"/>
  <c r="X83" i="6"/>
  <c r="Y83" i="6"/>
  <c r="Z83" i="6"/>
  <c r="W84" i="6"/>
  <c r="X84" i="6"/>
  <c r="Y84" i="6"/>
  <c r="Z84" i="6"/>
  <c r="W85" i="6"/>
  <c r="X85" i="6"/>
  <c r="Y85" i="6"/>
  <c r="Z85" i="6"/>
  <c r="W86" i="6"/>
  <c r="X86" i="6"/>
  <c r="Y86" i="6"/>
  <c r="Z86" i="6"/>
  <c r="W87" i="6"/>
  <c r="X87" i="6"/>
  <c r="Y87" i="6"/>
  <c r="Z87" i="6"/>
  <c r="W88" i="6"/>
  <c r="X88" i="6"/>
  <c r="Y88" i="6"/>
  <c r="Z88" i="6"/>
  <c r="W89" i="6"/>
  <c r="X89" i="6"/>
  <c r="Y89" i="6"/>
  <c r="Z89" i="6"/>
  <c r="W90" i="6"/>
  <c r="X90" i="6"/>
  <c r="Y90" i="6"/>
  <c r="Z90" i="6"/>
  <c r="W91" i="6"/>
  <c r="X91" i="6"/>
  <c r="Y91" i="6"/>
  <c r="Z91" i="6"/>
  <c r="W92" i="6"/>
  <c r="X92" i="6"/>
  <c r="Y92" i="6"/>
  <c r="Z92" i="6"/>
  <c r="W93" i="6"/>
  <c r="X93" i="6"/>
  <c r="Y93" i="6"/>
  <c r="Z93" i="6"/>
  <c r="W94" i="6"/>
  <c r="X94" i="6"/>
  <c r="Y94" i="6"/>
  <c r="Z94" i="6"/>
  <c r="W95" i="6"/>
  <c r="X95" i="6"/>
  <c r="Y95" i="6"/>
  <c r="Z95" i="6"/>
  <c r="W96" i="6"/>
  <c r="X96" i="6"/>
  <c r="Y96" i="6"/>
  <c r="Z96" i="6"/>
  <c r="W97" i="6"/>
  <c r="X97" i="6"/>
  <c r="Y97" i="6"/>
  <c r="Z97" i="6"/>
  <c r="W98" i="6"/>
  <c r="X98" i="6"/>
  <c r="Y98" i="6"/>
  <c r="Z98" i="6"/>
  <c r="W99" i="6"/>
  <c r="X99" i="6"/>
  <c r="Y99" i="6"/>
  <c r="Z99" i="6"/>
  <c r="W100" i="6"/>
  <c r="X100" i="6"/>
  <c r="Y100" i="6"/>
  <c r="Z100" i="6"/>
  <c r="W101" i="6"/>
  <c r="X101" i="6"/>
  <c r="Y101" i="6"/>
  <c r="Z101" i="6"/>
  <c r="W102" i="6"/>
  <c r="X102" i="6"/>
  <c r="Y102" i="6"/>
  <c r="Z102" i="6"/>
  <c r="W103" i="6"/>
  <c r="X103" i="6"/>
  <c r="Y103" i="6"/>
  <c r="Z103" i="6"/>
  <c r="W104" i="6"/>
  <c r="X104" i="6"/>
  <c r="Y104" i="6"/>
  <c r="Z104" i="6"/>
  <c r="W105" i="6"/>
  <c r="X105" i="6"/>
  <c r="Y105" i="6"/>
  <c r="Z105" i="6"/>
  <c r="W106" i="6"/>
  <c r="X106" i="6"/>
  <c r="Y106" i="6"/>
  <c r="Z106" i="6"/>
  <c r="W107" i="6"/>
  <c r="X107" i="6"/>
  <c r="Y107" i="6"/>
  <c r="Z107" i="6"/>
  <c r="W108" i="6"/>
  <c r="X108" i="6"/>
  <c r="Y108" i="6"/>
  <c r="Z108" i="6"/>
  <c r="W109" i="6"/>
  <c r="X109" i="6"/>
  <c r="Y109" i="6"/>
  <c r="Z109" i="6"/>
  <c r="W110" i="6"/>
  <c r="X110" i="6"/>
  <c r="Y110" i="6"/>
  <c r="Z110" i="6"/>
  <c r="W111" i="6"/>
  <c r="X111" i="6"/>
  <c r="Y111" i="6"/>
  <c r="Z111" i="6"/>
  <c r="W112" i="6"/>
  <c r="X112" i="6"/>
  <c r="Y112" i="6"/>
  <c r="Z112" i="6"/>
  <c r="W113" i="6"/>
  <c r="X113" i="6"/>
  <c r="Y113" i="6"/>
  <c r="Z113" i="6"/>
  <c r="W114" i="6"/>
  <c r="X114" i="6"/>
  <c r="Y114" i="6"/>
  <c r="Z114" i="6"/>
  <c r="W115" i="6"/>
  <c r="X115" i="6"/>
  <c r="Y115" i="6"/>
  <c r="Z115" i="6"/>
  <c r="W116" i="6"/>
  <c r="X116" i="6"/>
  <c r="Y116" i="6"/>
  <c r="Z116" i="6"/>
  <c r="W117" i="6"/>
  <c r="X117" i="6"/>
  <c r="Y117" i="6"/>
  <c r="Z117" i="6"/>
  <c r="W118" i="6"/>
  <c r="X118" i="6"/>
  <c r="Y118" i="6"/>
  <c r="Z118" i="6"/>
  <c r="W119" i="6"/>
  <c r="X119" i="6"/>
  <c r="Y119" i="6"/>
  <c r="Z119" i="6"/>
  <c r="W120" i="6"/>
  <c r="X120" i="6"/>
  <c r="Y120" i="6"/>
  <c r="Z120" i="6"/>
  <c r="S22" i="6"/>
  <c r="S23" i="6"/>
  <c r="S24" i="6"/>
  <c r="S25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7" i="7"/>
  <c r="AD8" i="7"/>
  <c r="AE8" i="7"/>
  <c r="AD9" i="7"/>
  <c r="AE9" i="7"/>
  <c r="AD10" i="7"/>
  <c r="AE10" i="7"/>
  <c r="AD11" i="7"/>
  <c r="AE11" i="7"/>
  <c r="AD12" i="7"/>
  <c r="AE12" i="7"/>
  <c r="AD13" i="7"/>
  <c r="AE13" i="7"/>
  <c r="AD14" i="7"/>
  <c r="AE14" i="7"/>
  <c r="AD15" i="7"/>
  <c r="AE15" i="7"/>
  <c r="AD16" i="7"/>
  <c r="AE16" i="7"/>
  <c r="AD17" i="7"/>
  <c r="AE17" i="7"/>
  <c r="AD18" i="7"/>
  <c r="AE18" i="7"/>
  <c r="AD19" i="7"/>
  <c r="AE19" i="7"/>
  <c r="AD20" i="7"/>
  <c r="AE20" i="7"/>
  <c r="AD21" i="7"/>
  <c r="AE21" i="7"/>
  <c r="AD22" i="7"/>
  <c r="AE22" i="7"/>
  <c r="AD23" i="7"/>
  <c r="AE23" i="7"/>
  <c r="AD24" i="7"/>
  <c r="AE24" i="7"/>
  <c r="AD25" i="7"/>
  <c r="AE25" i="7"/>
  <c r="AD26" i="7"/>
  <c r="AE26" i="7"/>
  <c r="AD27" i="7"/>
  <c r="AE27" i="7"/>
  <c r="AD28" i="7"/>
  <c r="AE28" i="7"/>
  <c r="AD29" i="7"/>
  <c r="AE29" i="7"/>
  <c r="AD30" i="7"/>
  <c r="AE30" i="7"/>
  <c r="AD31" i="7"/>
  <c r="AE31" i="7"/>
  <c r="AD32" i="7"/>
  <c r="AE32" i="7"/>
  <c r="AD33" i="7"/>
  <c r="AE33" i="7"/>
  <c r="AD34" i="7"/>
  <c r="AE34" i="7"/>
  <c r="AD35" i="7"/>
  <c r="AE35" i="7"/>
  <c r="AD36" i="7"/>
  <c r="AE36" i="7"/>
  <c r="AD37" i="7"/>
  <c r="AE37" i="7"/>
  <c r="AD38" i="7"/>
  <c r="AE38" i="7"/>
  <c r="AD39" i="7"/>
  <c r="AE39" i="7"/>
  <c r="AD40" i="7"/>
  <c r="AE40" i="7"/>
  <c r="AD41" i="7"/>
  <c r="AE41" i="7"/>
  <c r="AD42" i="7"/>
  <c r="AE42" i="7"/>
  <c r="AD43" i="7"/>
  <c r="AE43" i="7"/>
  <c r="AD44" i="7"/>
  <c r="AE44" i="7"/>
  <c r="AD45" i="7"/>
  <c r="AE45" i="7"/>
  <c r="AD46" i="7"/>
  <c r="AE46" i="7"/>
  <c r="AD47" i="7"/>
  <c r="AE47" i="7"/>
  <c r="AD48" i="7"/>
  <c r="AE48" i="7"/>
  <c r="AD49" i="7"/>
  <c r="AE49" i="7"/>
  <c r="AD50" i="7"/>
  <c r="AE50" i="7"/>
  <c r="AD51" i="7"/>
  <c r="AE51" i="7"/>
  <c r="AD52" i="7"/>
  <c r="AE52" i="7"/>
  <c r="AD53" i="7"/>
  <c r="AE53" i="7"/>
  <c r="AD54" i="7"/>
  <c r="AE54" i="7"/>
  <c r="AD55" i="7"/>
  <c r="AE55" i="7"/>
  <c r="AD56" i="7"/>
  <c r="AE56" i="7"/>
  <c r="AD57" i="7"/>
  <c r="AE57" i="7"/>
  <c r="AD58" i="7"/>
  <c r="AE58" i="7"/>
  <c r="AD59" i="7"/>
  <c r="AE59" i="7"/>
  <c r="AD60" i="7"/>
  <c r="AE60" i="7"/>
  <c r="AD61" i="7"/>
  <c r="AE61" i="7"/>
  <c r="AD62" i="7"/>
  <c r="AE62" i="7"/>
  <c r="AD63" i="7"/>
  <c r="AE63" i="7"/>
  <c r="AD64" i="7"/>
  <c r="AE64" i="7"/>
  <c r="AD65" i="7"/>
  <c r="AE65" i="7"/>
  <c r="AD66" i="7"/>
  <c r="AE66" i="7"/>
  <c r="AD67" i="7"/>
  <c r="AE67" i="7"/>
  <c r="AD68" i="7"/>
  <c r="AE68" i="7"/>
  <c r="AD69" i="7"/>
  <c r="AE69" i="7"/>
  <c r="AD70" i="7"/>
  <c r="AE70" i="7"/>
  <c r="AD71" i="7"/>
  <c r="AE71" i="7"/>
  <c r="AD72" i="7"/>
  <c r="AE72" i="7"/>
  <c r="AD73" i="7"/>
  <c r="AE73" i="7"/>
  <c r="AD74" i="7"/>
  <c r="AE74" i="7"/>
  <c r="AD75" i="7"/>
  <c r="AE75" i="7"/>
  <c r="AD76" i="7"/>
  <c r="AE76" i="7"/>
  <c r="AD77" i="7"/>
  <c r="AE77" i="7"/>
  <c r="AD78" i="7"/>
  <c r="AE78" i="7"/>
  <c r="AD79" i="7"/>
  <c r="AE79" i="7"/>
  <c r="AD80" i="7"/>
  <c r="AE80" i="7"/>
  <c r="AD81" i="7"/>
  <c r="AE81" i="7"/>
  <c r="AD82" i="7"/>
  <c r="AE82" i="7"/>
  <c r="AD83" i="7"/>
  <c r="AE83" i="7"/>
  <c r="AD84" i="7"/>
  <c r="AE84" i="7"/>
  <c r="AD85" i="7"/>
  <c r="AE85" i="7"/>
  <c r="AD86" i="7"/>
  <c r="AE86" i="7"/>
  <c r="AD87" i="7"/>
  <c r="AE87" i="7"/>
  <c r="AD88" i="7"/>
  <c r="AE88" i="7"/>
  <c r="AD89" i="7"/>
  <c r="AE89" i="7"/>
  <c r="AD90" i="7"/>
  <c r="AE90" i="7"/>
  <c r="AD91" i="7"/>
  <c r="AE91" i="7"/>
  <c r="AD92" i="7"/>
  <c r="AE92" i="7"/>
  <c r="AD93" i="7"/>
  <c r="AE93" i="7"/>
  <c r="AD94" i="7"/>
  <c r="AE94" i="7"/>
  <c r="AD95" i="7"/>
  <c r="AE95" i="7"/>
  <c r="AD96" i="7"/>
  <c r="AE96" i="7"/>
  <c r="AD97" i="7"/>
  <c r="AE97" i="7"/>
  <c r="AD98" i="7"/>
  <c r="AE98" i="7"/>
  <c r="AD99" i="7"/>
  <c r="AE99" i="7"/>
  <c r="AD100" i="7"/>
  <c r="AE100" i="7"/>
  <c r="AD101" i="7"/>
  <c r="AE101" i="7"/>
  <c r="AD102" i="7"/>
  <c r="AE102" i="7"/>
  <c r="AD103" i="7"/>
  <c r="AE103" i="7"/>
  <c r="AD104" i="7"/>
  <c r="AE104" i="7"/>
  <c r="AD105" i="7"/>
  <c r="AE105" i="7"/>
  <c r="AD106" i="7"/>
  <c r="AE106" i="7"/>
  <c r="AD107" i="7"/>
  <c r="AE107" i="7"/>
  <c r="AD108" i="7"/>
  <c r="AE108" i="7"/>
  <c r="AE7" i="7"/>
  <c r="AD7" i="7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6" i="6"/>
  <c r="AA9" i="7"/>
  <c r="AB8" i="7"/>
  <c r="AC8" i="7"/>
  <c r="AB9" i="7"/>
  <c r="AC9" i="7"/>
  <c r="AB10" i="7"/>
  <c r="AC10" i="7"/>
  <c r="AB11" i="7"/>
  <c r="AC11" i="7"/>
  <c r="AB12" i="7"/>
  <c r="AC12" i="7"/>
  <c r="AB13" i="7"/>
  <c r="AC13" i="7"/>
  <c r="AB14" i="7"/>
  <c r="AC14" i="7"/>
  <c r="AB15" i="7"/>
  <c r="AC15" i="7"/>
  <c r="AB16" i="7"/>
  <c r="AC16" i="7"/>
  <c r="AB17" i="7"/>
  <c r="AC17" i="7"/>
  <c r="AB18" i="7"/>
  <c r="AC18" i="7"/>
  <c r="AB19" i="7"/>
  <c r="AC19" i="7"/>
  <c r="AB20" i="7"/>
  <c r="AC20" i="7"/>
  <c r="AB21" i="7"/>
  <c r="AC21" i="7"/>
  <c r="AB22" i="7"/>
  <c r="AC22" i="7"/>
  <c r="AB23" i="7"/>
  <c r="AC23" i="7"/>
  <c r="AB24" i="7"/>
  <c r="AC24" i="7"/>
  <c r="AB25" i="7"/>
  <c r="AC25" i="7"/>
  <c r="AB26" i="7"/>
  <c r="AC26" i="7"/>
  <c r="AB27" i="7"/>
  <c r="AC27" i="7"/>
  <c r="AB28" i="7"/>
  <c r="AC28" i="7"/>
  <c r="AB29" i="7"/>
  <c r="AC29" i="7"/>
  <c r="AB30" i="7"/>
  <c r="AC30" i="7"/>
  <c r="AB31" i="7"/>
  <c r="AC31" i="7"/>
  <c r="AB32" i="7"/>
  <c r="AC32" i="7"/>
  <c r="AB33" i="7"/>
  <c r="AC33" i="7"/>
  <c r="AB34" i="7"/>
  <c r="AC34" i="7"/>
  <c r="AB35" i="7"/>
  <c r="AC35" i="7"/>
  <c r="AB36" i="7"/>
  <c r="AC36" i="7"/>
  <c r="AB37" i="7"/>
  <c r="AC37" i="7"/>
  <c r="AB38" i="7"/>
  <c r="AC38" i="7"/>
  <c r="AB39" i="7"/>
  <c r="AC39" i="7"/>
  <c r="AB40" i="7"/>
  <c r="AC40" i="7"/>
  <c r="AB41" i="7"/>
  <c r="AC41" i="7"/>
  <c r="AB42" i="7"/>
  <c r="AC42" i="7"/>
  <c r="AB43" i="7"/>
  <c r="AC43" i="7"/>
  <c r="AB44" i="7"/>
  <c r="AC44" i="7"/>
  <c r="AB45" i="7"/>
  <c r="AC45" i="7"/>
  <c r="AB46" i="7"/>
  <c r="AC46" i="7"/>
  <c r="AB47" i="7"/>
  <c r="AC47" i="7"/>
  <c r="AB48" i="7"/>
  <c r="AC48" i="7"/>
  <c r="AB49" i="7"/>
  <c r="AC49" i="7"/>
  <c r="AB50" i="7"/>
  <c r="AC50" i="7"/>
  <c r="AB51" i="7"/>
  <c r="AC51" i="7"/>
  <c r="AB52" i="7"/>
  <c r="AC52" i="7"/>
  <c r="AB53" i="7"/>
  <c r="AC53" i="7"/>
  <c r="AB54" i="7"/>
  <c r="AC54" i="7"/>
  <c r="AB55" i="7"/>
  <c r="AC55" i="7"/>
  <c r="AB56" i="7"/>
  <c r="AC56" i="7"/>
  <c r="AB57" i="7"/>
  <c r="AC57" i="7"/>
  <c r="AB58" i="7"/>
  <c r="AC58" i="7"/>
  <c r="AB59" i="7"/>
  <c r="AC59" i="7"/>
  <c r="AB60" i="7"/>
  <c r="AC60" i="7"/>
  <c r="AB61" i="7"/>
  <c r="AC61" i="7"/>
  <c r="AB62" i="7"/>
  <c r="AC62" i="7"/>
  <c r="AB63" i="7"/>
  <c r="AC63" i="7"/>
  <c r="AB64" i="7"/>
  <c r="AC64" i="7"/>
  <c r="AB65" i="7"/>
  <c r="AC65" i="7"/>
  <c r="AB66" i="7"/>
  <c r="AC66" i="7"/>
  <c r="AB67" i="7"/>
  <c r="AC67" i="7"/>
  <c r="AB68" i="7"/>
  <c r="AC68" i="7"/>
  <c r="AB69" i="7"/>
  <c r="AC69" i="7"/>
  <c r="AB70" i="7"/>
  <c r="AC70" i="7"/>
  <c r="AB71" i="7"/>
  <c r="AC71" i="7"/>
  <c r="AB72" i="7"/>
  <c r="AC72" i="7"/>
  <c r="AB73" i="7"/>
  <c r="AC73" i="7"/>
  <c r="AB74" i="7"/>
  <c r="AC74" i="7"/>
  <c r="AB75" i="7"/>
  <c r="AC75" i="7"/>
  <c r="AB76" i="7"/>
  <c r="AC76" i="7"/>
  <c r="AB77" i="7"/>
  <c r="AC77" i="7"/>
  <c r="AB78" i="7"/>
  <c r="AC78" i="7"/>
  <c r="AB79" i="7"/>
  <c r="AC79" i="7"/>
  <c r="AB80" i="7"/>
  <c r="AC80" i="7"/>
  <c r="AB81" i="7"/>
  <c r="AC81" i="7"/>
  <c r="AB82" i="7"/>
  <c r="AC82" i="7"/>
  <c r="AB83" i="7"/>
  <c r="AC83" i="7"/>
  <c r="AB84" i="7"/>
  <c r="AC84" i="7"/>
  <c r="AB85" i="7"/>
  <c r="AC85" i="7"/>
  <c r="AB86" i="7"/>
  <c r="AC86" i="7"/>
  <c r="AB87" i="7"/>
  <c r="AC87" i="7"/>
  <c r="AB88" i="7"/>
  <c r="AC88" i="7"/>
  <c r="AB89" i="7"/>
  <c r="AC89" i="7"/>
  <c r="AB90" i="7"/>
  <c r="AC90" i="7"/>
  <c r="AB91" i="7"/>
  <c r="AC91" i="7"/>
  <c r="AB92" i="7"/>
  <c r="AC92" i="7"/>
  <c r="AB93" i="7"/>
  <c r="AC93" i="7"/>
  <c r="AB94" i="7"/>
  <c r="AC94" i="7"/>
  <c r="AB95" i="7"/>
  <c r="AC95" i="7"/>
  <c r="AB96" i="7"/>
  <c r="AC96" i="7"/>
  <c r="AB97" i="7"/>
  <c r="AC97" i="7"/>
  <c r="AB98" i="7"/>
  <c r="AC98" i="7"/>
  <c r="AB99" i="7"/>
  <c r="AC99" i="7"/>
  <c r="AB100" i="7"/>
  <c r="AC100" i="7"/>
  <c r="AB101" i="7"/>
  <c r="AC101" i="7"/>
  <c r="AB102" i="7"/>
  <c r="AC102" i="7"/>
  <c r="AB103" i="7"/>
  <c r="AC103" i="7"/>
  <c r="AB104" i="7"/>
  <c r="AC104" i="7"/>
  <c r="AB105" i="7"/>
  <c r="AC105" i="7"/>
  <c r="AB106" i="7"/>
  <c r="AC106" i="7"/>
  <c r="AB107" i="7"/>
  <c r="AC107" i="7"/>
  <c r="AB108" i="7"/>
  <c r="AC108" i="7"/>
  <c r="AC7" i="7"/>
  <c r="AB7" i="7"/>
  <c r="E66" i="15" l="1"/>
  <c r="C53" i="15"/>
  <c r="C66" i="15"/>
  <c r="E53" i="15"/>
  <c r="AA7" i="7"/>
  <c r="AA8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X6" i="6"/>
  <c r="U8" i="7"/>
  <c r="U9" i="7"/>
  <c r="J21" i="13" s="1"/>
  <c r="U10" i="7"/>
  <c r="U11" i="7"/>
  <c r="J67" i="13" s="1"/>
  <c r="U12" i="7"/>
  <c r="J55" i="13" s="1"/>
  <c r="U13" i="7"/>
  <c r="U14" i="7"/>
  <c r="J68" i="13" s="1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J25" i="13" s="1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J56" i="13" s="1"/>
  <c r="U54" i="7"/>
  <c r="U55" i="7"/>
  <c r="U56" i="7"/>
  <c r="J119" i="13" s="1"/>
  <c r="U57" i="7"/>
  <c r="U58" i="7"/>
  <c r="J59" i="13" s="1"/>
  <c r="J133" i="13" s="1"/>
  <c r="U59" i="7"/>
  <c r="U60" i="7"/>
  <c r="U61" i="7"/>
  <c r="J144" i="12" s="1"/>
  <c r="J146" i="12" s="1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W6" i="6"/>
  <c r="X8" i="6"/>
  <c r="X7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J62" i="13" l="1"/>
  <c r="J46" i="13"/>
  <c r="J43" i="13"/>
  <c r="J19" i="13"/>
  <c r="J74" i="13"/>
  <c r="J11" i="13"/>
  <c r="J22" i="13"/>
  <c r="J6" i="13"/>
  <c r="J24" i="13"/>
  <c r="J48" i="13"/>
  <c r="J12" i="13"/>
  <c r="J135" i="13" s="1"/>
  <c r="J116" i="13"/>
  <c r="J8" i="13"/>
  <c r="J131" i="13" s="1"/>
  <c r="J9" i="13"/>
  <c r="B104" i="9"/>
  <c r="C104" i="9"/>
  <c r="D104" i="9"/>
  <c r="E104" i="9"/>
  <c r="F104" i="9"/>
  <c r="G104" i="9"/>
  <c r="H104" i="9"/>
  <c r="B105" i="9"/>
  <c r="C105" i="9"/>
  <c r="D105" i="9"/>
  <c r="E105" i="9"/>
  <c r="F105" i="9"/>
  <c r="G105" i="9"/>
  <c r="H105" i="9"/>
  <c r="B106" i="9"/>
  <c r="C106" i="9"/>
  <c r="D106" i="9"/>
  <c r="E106" i="9"/>
  <c r="F106" i="9"/>
  <c r="G106" i="9"/>
  <c r="H106" i="9"/>
  <c r="B107" i="9"/>
  <c r="C107" i="9"/>
  <c r="D107" i="9"/>
  <c r="E107" i="9"/>
  <c r="F107" i="9"/>
  <c r="G107" i="9"/>
  <c r="H107" i="9"/>
  <c r="B108" i="9"/>
  <c r="C108" i="9"/>
  <c r="D108" i="9"/>
  <c r="E108" i="9"/>
  <c r="F108" i="9"/>
  <c r="G108" i="9"/>
  <c r="H108" i="9"/>
  <c r="B109" i="9"/>
  <c r="C109" i="9"/>
  <c r="D109" i="9"/>
  <c r="E109" i="9"/>
  <c r="F109" i="9"/>
  <c r="G109" i="9"/>
  <c r="H109" i="9"/>
  <c r="H103" i="9"/>
  <c r="G103" i="9"/>
  <c r="F103" i="9"/>
  <c r="E103" i="9"/>
  <c r="D103" i="9"/>
  <c r="C103" i="9"/>
  <c r="B103" i="9"/>
  <c r="B92" i="9"/>
  <c r="C92" i="9"/>
  <c r="D92" i="9"/>
  <c r="E92" i="9"/>
  <c r="F92" i="9"/>
  <c r="G92" i="9"/>
  <c r="H92" i="9"/>
  <c r="B93" i="9"/>
  <c r="C93" i="9"/>
  <c r="D93" i="9"/>
  <c r="E93" i="9"/>
  <c r="F93" i="9"/>
  <c r="G93" i="9"/>
  <c r="H93" i="9"/>
  <c r="B94" i="9"/>
  <c r="C94" i="9"/>
  <c r="D94" i="9"/>
  <c r="E94" i="9"/>
  <c r="F94" i="9"/>
  <c r="G94" i="9"/>
  <c r="H94" i="9"/>
  <c r="B95" i="9"/>
  <c r="C95" i="9"/>
  <c r="D95" i="9"/>
  <c r="E95" i="9"/>
  <c r="F95" i="9"/>
  <c r="G95" i="9"/>
  <c r="H95" i="9"/>
  <c r="B96" i="9"/>
  <c r="C96" i="9"/>
  <c r="D96" i="9"/>
  <c r="E96" i="9"/>
  <c r="F96" i="9"/>
  <c r="G96" i="9"/>
  <c r="H96" i="9"/>
  <c r="B97" i="9"/>
  <c r="C97" i="9"/>
  <c r="D97" i="9"/>
  <c r="E97" i="9"/>
  <c r="F97" i="9"/>
  <c r="G97" i="9"/>
  <c r="H97" i="9"/>
  <c r="H91" i="9"/>
  <c r="G91" i="9"/>
  <c r="F91" i="9"/>
  <c r="E91" i="9"/>
  <c r="D91" i="9"/>
  <c r="C91" i="9"/>
  <c r="B91" i="9"/>
  <c r="J132" i="13" l="1"/>
  <c r="J26" i="13"/>
  <c r="J129" i="13"/>
  <c r="J134" i="13"/>
  <c r="J50" i="13"/>
  <c r="J123" i="13"/>
  <c r="I107" i="9"/>
  <c r="D98" i="9"/>
  <c r="I92" i="9"/>
  <c r="I95" i="9"/>
  <c r="I96" i="9"/>
  <c r="I94" i="9"/>
  <c r="I93" i="9"/>
  <c r="E98" i="9"/>
  <c r="B98" i="9"/>
  <c r="F98" i="9"/>
  <c r="E110" i="9"/>
  <c r="I97" i="9"/>
  <c r="I109" i="9"/>
  <c r="I108" i="9"/>
  <c r="I106" i="9"/>
  <c r="I105" i="9"/>
  <c r="I104" i="9"/>
  <c r="C110" i="9"/>
  <c r="G110" i="9"/>
  <c r="D110" i="9"/>
  <c r="H110" i="9"/>
  <c r="B110" i="9"/>
  <c r="G98" i="9"/>
  <c r="H98" i="9"/>
  <c r="I91" i="9"/>
  <c r="F110" i="9"/>
  <c r="I103" i="9"/>
  <c r="C98" i="9"/>
  <c r="I119" i="13" l="1"/>
  <c r="I59" i="13"/>
  <c r="I72" i="13"/>
  <c r="G123" i="13"/>
  <c r="I107" i="13"/>
  <c r="D123" i="13"/>
  <c r="H123" i="13"/>
  <c r="I93" i="13"/>
  <c r="I121" i="13"/>
  <c r="I120" i="13"/>
  <c r="I117" i="13"/>
  <c r="I45" i="13"/>
  <c r="I73" i="13"/>
  <c r="I69" i="13"/>
  <c r="B86" i="13"/>
  <c r="I95" i="13"/>
  <c r="I109" i="13"/>
  <c r="E111" i="13"/>
  <c r="I105" i="13"/>
  <c r="I122" i="13"/>
  <c r="I118" i="13"/>
  <c r="E123" i="13"/>
  <c r="I33" i="13"/>
  <c r="I49" i="13"/>
  <c r="I71" i="13"/>
  <c r="I68" i="13"/>
  <c r="I94" i="13"/>
  <c r="I110" i="13"/>
  <c r="D111" i="13"/>
  <c r="I106" i="13"/>
  <c r="F123" i="13"/>
  <c r="D37" i="15"/>
  <c r="F111" i="13"/>
  <c r="I108" i="13"/>
  <c r="D38" i="15"/>
  <c r="D36" i="15"/>
  <c r="D34" i="15"/>
  <c r="H111" i="13"/>
  <c r="F23" i="15"/>
  <c r="I98" i="9"/>
  <c r="I110" i="9"/>
  <c r="I35" i="13"/>
  <c r="E74" i="13"/>
  <c r="I70" i="13"/>
  <c r="I83" i="13"/>
  <c r="F26" i="15"/>
  <c r="F22" i="15"/>
  <c r="F25" i="15"/>
  <c r="F24" i="15"/>
  <c r="I92" i="13"/>
  <c r="B123" i="13"/>
  <c r="E38" i="13"/>
  <c r="I37" i="13"/>
  <c r="I32" i="13"/>
  <c r="D74" i="13"/>
  <c r="E86" i="13"/>
  <c r="C111" i="13"/>
  <c r="C38" i="13"/>
  <c r="E62" i="13"/>
  <c r="B74" i="13"/>
  <c r="D98" i="13"/>
  <c r="H98" i="13"/>
  <c r="I97" i="13"/>
  <c r="I96" i="13"/>
  <c r="C74" i="13"/>
  <c r="B111" i="13"/>
  <c r="C123" i="13"/>
  <c r="G111" i="13"/>
  <c r="E98" i="13"/>
  <c r="B98" i="13"/>
  <c r="F98" i="13"/>
  <c r="C98" i="13"/>
  <c r="G98" i="13"/>
  <c r="I34" i="13"/>
  <c r="I85" i="13"/>
  <c r="I84" i="13"/>
  <c r="I82" i="13"/>
  <c r="I81" i="13"/>
  <c r="I80" i="13"/>
  <c r="E26" i="13"/>
  <c r="I36" i="13"/>
  <c r="I61" i="13"/>
  <c r="I60" i="13"/>
  <c r="I58" i="13"/>
  <c r="I57" i="13"/>
  <c r="I56" i="13"/>
  <c r="E50" i="13"/>
  <c r="I48" i="13"/>
  <c r="I47" i="13"/>
  <c r="I46" i="13"/>
  <c r="I44" i="13"/>
  <c r="G74" i="13"/>
  <c r="F86" i="13"/>
  <c r="C86" i="13"/>
  <c r="G86" i="13"/>
  <c r="D86" i="13"/>
  <c r="H86" i="13"/>
  <c r="C22" i="15"/>
  <c r="C26" i="15"/>
  <c r="C24" i="15"/>
  <c r="F74" i="13"/>
  <c r="H74" i="13"/>
  <c r="B62" i="13"/>
  <c r="F62" i="13"/>
  <c r="C62" i="13"/>
  <c r="G62" i="13"/>
  <c r="D62" i="13"/>
  <c r="H62" i="13"/>
  <c r="B50" i="13"/>
  <c r="F50" i="13"/>
  <c r="D35" i="15"/>
  <c r="C50" i="13"/>
  <c r="G50" i="13"/>
  <c r="D39" i="15"/>
  <c r="D50" i="13"/>
  <c r="H50" i="13"/>
  <c r="B38" i="13"/>
  <c r="F38" i="13"/>
  <c r="G38" i="13"/>
  <c r="D38" i="13"/>
  <c r="H38" i="13"/>
  <c r="C23" i="15"/>
  <c r="C25" i="15"/>
  <c r="C21" i="15"/>
  <c r="B26" i="13"/>
  <c r="F26" i="13"/>
  <c r="C26" i="13"/>
  <c r="G26" i="13"/>
  <c r="D26" i="13"/>
  <c r="H26" i="13"/>
  <c r="D33" i="15"/>
  <c r="I104" i="13"/>
  <c r="I91" i="13"/>
  <c r="I116" i="13"/>
  <c r="I79" i="13"/>
  <c r="I67" i="13"/>
  <c r="I55" i="13"/>
  <c r="I43" i="13"/>
  <c r="I31" i="13"/>
  <c r="B128" i="12"/>
  <c r="C128" i="12"/>
  <c r="D128" i="12"/>
  <c r="E128" i="12"/>
  <c r="F128" i="12"/>
  <c r="G128" i="12"/>
  <c r="H128" i="12"/>
  <c r="B129" i="12"/>
  <c r="C129" i="12"/>
  <c r="D129" i="12"/>
  <c r="E129" i="12"/>
  <c r="F129" i="12"/>
  <c r="G129" i="12"/>
  <c r="H129" i="12"/>
  <c r="B130" i="12"/>
  <c r="C130" i="12"/>
  <c r="D130" i="12"/>
  <c r="E130" i="12"/>
  <c r="F130" i="12"/>
  <c r="G130" i="12"/>
  <c r="H130" i="12"/>
  <c r="B131" i="12"/>
  <c r="C131" i="12"/>
  <c r="D131" i="12"/>
  <c r="E131" i="12"/>
  <c r="F131" i="12"/>
  <c r="G131" i="12"/>
  <c r="H131" i="12"/>
  <c r="B132" i="12"/>
  <c r="C132" i="12"/>
  <c r="D132" i="12"/>
  <c r="E132" i="12"/>
  <c r="F132" i="12"/>
  <c r="G132" i="12"/>
  <c r="H132" i="12"/>
  <c r="B133" i="12"/>
  <c r="C133" i="12"/>
  <c r="D133" i="12"/>
  <c r="E133" i="12"/>
  <c r="F133" i="12"/>
  <c r="G133" i="12"/>
  <c r="H133" i="12"/>
  <c r="J128" i="12"/>
  <c r="K128" i="12"/>
  <c r="J129" i="12"/>
  <c r="K129" i="12"/>
  <c r="J130" i="12"/>
  <c r="K130" i="12"/>
  <c r="J131" i="12"/>
  <c r="K131" i="12"/>
  <c r="J132" i="12"/>
  <c r="K132" i="12"/>
  <c r="J133" i="12"/>
  <c r="K133" i="12"/>
  <c r="K127" i="12"/>
  <c r="J127" i="12"/>
  <c r="H127" i="12"/>
  <c r="G127" i="12"/>
  <c r="F127" i="12"/>
  <c r="E127" i="12"/>
  <c r="D127" i="12"/>
  <c r="C127" i="12"/>
  <c r="B127" i="12"/>
  <c r="B116" i="12"/>
  <c r="C116" i="12"/>
  <c r="D116" i="12"/>
  <c r="E116" i="12"/>
  <c r="F116" i="12"/>
  <c r="G116" i="12"/>
  <c r="H116" i="12"/>
  <c r="B117" i="12"/>
  <c r="C117" i="12"/>
  <c r="D117" i="12"/>
  <c r="E117" i="12"/>
  <c r="F117" i="12"/>
  <c r="G117" i="12"/>
  <c r="H117" i="12"/>
  <c r="B118" i="12"/>
  <c r="C118" i="12"/>
  <c r="D118" i="12"/>
  <c r="E118" i="12"/>
  <c r="F118" i="12"/>
  <c r="G118" i="12"/>
  <c r="H118" i="12"/>
  <c r="B119" i="12"/>
  <c r="C119" i="12"/>
  <c r="D119" i="12"/>
  <c r="E119" i="12"/>
  <c r="F119" i="12"/>
  <c r="G119" i="12"/>
  <c r="H119" i="12"/>
  <c r="B120" i="12"/>
  <c r="C120" i="12"/>
  <c r="D120" i="12"/>
  <c r="E120" i="12"/>
  <c r="F120" i="12"/>
  <c r="G120" i="12"/>
  <c r="H120" i="12"/>
  <c r="B121" i="12"/>
  <c r="C121" i="12"/>
  <c r="D121" i="12"/>
  <c r="E121" i="12"/>
  <c r="F121" i="12"/>
  <c r="G121" i="12"/>
  <c r="H121" i="12"/>
  <c r="J116" i="12"/>
  <c r="K116" i="12"/>
  <c r="J117" i="12"/>
  <c r="K117" i="12"/>
  <c r="J118" i="12"/>
  <c r="K118" i="12"/>
  <c r="J119" i="12"/>
  <c r="K119" i="12"/>
  <c r="J120" i="12"/>
  <c r="K120" i="12"/>
  <c r="J121" i="12"/>
  <c r="K121" i="12"/>
  <c r="K115" i="12"/>
  <c r="J115" i="12"/>
  <c r="H115" i="12"/>
  <c r="G115" i="12"/>
  <c r="F115" i="12"/>
  <c r="E115" i="12"/>
  <c r="D115" i="12"/>
  <c r="C115" i="12"/>
  <c r="B115" i="12"/>
  <c r="B104" i="12"/>
  <c r="B7" i="12" s="1"/>
  <c r="C104" i="12"/>
  <c r="C7" i="12" s="1"/>
  <c r="D104" i="12"/>
  <c r="D7" i="12" s="1"/>
  <c r="E104" i="12"/>
  <c r="E7" i="12" s="1"/>
  <c r="F104" i="12"/>
  <c r="F7" i="12" s="1"/>
  <c r="G104" i="12"/>
  <c r="G7" i="12" s="1"/>
  <c r="H104" i="12"/>
  <c r="H7" i="12" s="1"/>
  <c r="B105" i="12"/>
  <c r="B8" i="12" s="1"/>
  <c r="C105" i="12"/>
  <c r="C8" i="12" s="1"/>
  <c r="D105" i="12"/>
  <c r="D8" i="12" s="1"/>
  <c r="E105" i="12"/>
  <c r="E8" i="12" s="1"/>
  <c r="F105" i="12"/>
  <c r="F8" i="12" s="1"/>
  <c r="G105" i="12"/>
  <c r="G8" i="12" s="1"/>
  <c r="H105" i="12"/>
  <c r="H8" i="12" s="1"/>
  <c r="B106" i="12"/>
  <c r="B9" i="12" s="1"/>
  <c r="C106" i="12"/>
  <c r="C9" i="12" s="1"/>
  <c r="D106" i="12"/>
  <c r="D9" i="12" s="1"/>
  <c r="E106" i="12"/>
  <c r="E9" i="12" s="1"/>
  <c r="F106" i="12"/>
  <c r="F9" i="12" s="1"/>
  <c r="G106" i="12"/>
  <c r="G9" i="12" s="1"/>
  <c r="H106" i="12"/>
  <c r="H9" i="12" s="1"/>
  <c r="B107" i="12"/>
  <c r="B10" i="12" s="1"/>
  <c r="C107" i="12"/>
  <c r="C10" i="12" s="1"/>
  <c r="D107" i="12"/>
  <c r="D10" i="12" s="1"/>
  <c r="E107" i="12"/>
  <c r="E10" i="12" s="1"/>
  <c r="F107" i="12"/>
  <c r="F10" i="12" s="1"/>
  <c r="G107" i="12"/>
  <c r="G10" i="12" s="1"/>
  <c r="H107" i="12"/>
  <c r="H10" i="12" s="1"/>
  <c r="B108" i="12"/>
  <c r="B11" i="12" s="1"/>
  <c r="C108" i="12"/>
  <c r="C11" i="12" s="1"/>
  <c r="D108" i="12"/>
  <c r="D11" i="12" s="1"/>
  <c r="E108" i="12"/>
  <c r="E11" i="12" s="1"/>
  <c r="F108" i="12"/>
  <c r="F11" i="12" s="1"/>
  <c r="G108" i="12"/>
  <c r="G11" i="12" s="1"/>
  <c r="H108" i="12"/>
  <c r="H11" i="12" s="1"/>
  <c r="B109" i="12"/>
  <c r="B12" i="12" s="1"/>
  <c r="C109" i="12"/>
  <c r="C12" i="12" s="1"/>
  <c r="D109" i="12"/>
  <c r="D12" i="12" s="1"/>
  <c r="E109" i="12"/>
  <c r="E12" i="12" s="1"/>
  <c r="F109" i="12"/>
  <c r="F12" i="12" s="1"/>
  <c r="G109" i="12"/>
  <c r="G12" i="12" s="1"/>
  <c r="H109" i="12"/>
  <c r="H12" i="12" s="1"/>
  <c r="J104" i="12"/>
  <c r="J7" i="12" s="1"/>
  <c r="K104" i="12"/>
  <c r="K7" i="12" s="1"/>
  <c r="J105" i="12"/>
  <c r="J8" i="12" s="1"/>
  <c r="K105" i="12"/>
  <c r="K8" i="12" s="1"/>
  <c r="J106" i="12"/>
  <c r="J9" i="12" s="1"/>
  <c r="K106" i="12"/>
  <c r="K9" i="12" s="1"/>
  <c r="J107" i="12"/>
  <c r="J10" i="12" s="1"/>
  <c r="K107" i="12"/>
  <c r="K10" i="12" s="1"/>
  <c r="J108" i="12"/>
  <c r="J11" i="12" s="1"/>
  <c r="K108" i="12"/>
  <c r="K11" i="12" s="1"/>
  <c r="J109" i="12"/>
  <c r="J12" i="12" s="1"/>
  <c r="K109" i="12"/>
  <c r="K12" i="12" s="1"/>
  <c r="K103" i="12"/>
  <c r="K6" i="12" s="1"/>
  <c r="J103" i="12"/>
  <c r="J6" i="12" s="1"/>
  <c r="H103" i="12"/>
  <c r="H6" i="12" s="1"/>
  <c r="G103" i="12"/>
  <c r="G6" i="12" s="1"/>
  <c r="F103" i="12"/>
  <c r="F6" i="12" s="1"/>
  <c r="E103" i="12"/>
  <c r="E6" i="12" s="1"/>
  <c r="D103" i="12"/>
  <c r="D6" i="12" s="1"/>
  <c r="C103" i="12"/>
  <c r="C6" i="12" s="1"/>
  <c r="B103" i="12"/>
  <c r="B6" i="12" s="1"/>
  <c r="B92" i="12"/>
  <c r="C92" i="12"/>
  <c r="D92" i="12"/>
  <c r="E92" i="12"/>
  <c r="F92" i="12"/>
  <c r="G92" i="12"/>
  <c r="H92" i="12"/>
  <c r="B93" i="12"/>
  <c r="C93" i="12"/>
  <c r="D93" i="12"/>
  <c r="E93" i="12"/>
  <c r="F93" i="12"/>
  <c r="G93" i="12"/>
  <c r="H93" i="12"/>
  <c r="B94" i="12"/>
  <c r="C94" i="12"/>
  <c r="D94" i="12"/>
  <c r="E94" i="12"/>
  <c r="F94" i="12"/>
  <c r="G94" i="12"/>
  <c r="H94" i="12"/>
  <c r="B95" i="12"/>
  <c r="C95" i="12"/>
  <c r="D95" i="12"/>
  <c r="E95" i="12"/>
  <c r="F95" i="12"/>
  <c r="G95" i="12"/>
  <c r="H95" i="12"/>
  <c r="B96" i="12"/>
  <c r="C96" i="12"/>
  <c r="D96" i="12"/>
  <c r="E96" i="12"/>
  <c r="F96" i="12"/>
  <c r="G96" i="12"/>
  <c r="H96" i="12"/>
  <c r="B97" i="12"/>
  <c r="C97" i="12"/>
  <c r="D97" i="12"/>
  <c r="E97" i="12"/>
  <c r="F97" i="12"/>
  <c r="G97" i="12"/>
  <c r="H97" i="12"/>
  <c r="J92" i="12"/>
  <c r="K92" i="12"/>
  <c r="J93" i="12"/>
  <c r="K93" i="12"/>
  <c r="J94" i="12"/>
  <c r="K94" i="12"/>
  <c r="J95" i="12"/>
  <c r="K95" i="12"/>
  <c r="J96" i="12"/>
  <c r="K96" i="12"/>
  <c r="J97" i="12"/>
  <c r="K97" i="12"/>
  <c r="K91" i="12"/>
  <c r="J91" i="12"/>
  <c r="H91" i="12"/>
  <c r="G91" i="12"/>
  <c r="F91" i="12"/>
  <c r="E91" i="12"/>
  <c r="D91" i="12"/>
  <c r="C91" i="12"/>
  <c r="B91" i="12"/>
  <c r="B80" i="12"/>
  <c r="C80" i="12"/>
  <c r="D80" i="12"/>
  <c r="E80" i="12"/>
  <c r="F80" i="12"/>
  <c r="G80" i="12"/>
  <c r="H80" i="12"/>
  <c r="B81" i="12"/>
  <c r="C81" i="12"/>
  <c r="D81" i="12"/>
  <c r="E81" i="12"/>
  <c r="F81" i="12"/>
  <c r="G81" i="12"/>
  <c r="H81" i="12"/>
  <c r="B82" i="12"/>
  <c r="C82" i="12"/>
  <c r="D82" i="12"/>
  <c r="E82" i="12"/>
  <c r="F82" i="12"/>
  <c r="G82" i="12"/>
  <c r="H82" i="12"/>
  <c r="B83" i="12"/>
  <c r="C83" i="12"/>
  <c r="D83" i="12"/>
  <c r="E83" i="12"/>
  <c r="F83" i="12"/>
  <c r="G83" i="12"/>
  <c r="H83" i="12"/>
  <c r="B84" i="12"/>
  <c r="C84" i="12"/>
  <c r="D84" i="12"/>
  <c r="E84" i="12"/>
  <c r="F84" i="12"/>
  <c r="G84" i="12"/>
  <c r="H84" i="12"/>
  <c r="B85" i="12"/>
  <c r="C85" i="12"/>
  <c r="D85" i="12"/>
  <c r="E85" i="12"/>
  <c r="F85" i="12"/>
  <c r="G85" i="12"/>
  <c r="H85" i="12"/>
  <c r="J80" i="12"/>
  <c r="K80" i="12"/>
  <c r="J81" i="12"/>
  <c r="K81" i="12"/>
  <c r="J82" i="12"/>
  <c r="K82" i="12"/>
  <c r="J83" i="12"/>
  <c r="K83" i="12"/>
  <c r="J84" i="12"/>
  <c r="K84" i="12"/>
  <c r="J85" i="12"/>
  <c r="K85" i="12"/>
  <c r="K79" i="12"/>
  <c r="J79" i="12"/>
  <c r="H79" i="12"/>
  <c r="G79" i="12"/>
  <c r="F79" i="12"/>
  <c r="E79" i="12"/>
  <c r="D79" i="12"/>
  <c r="C79" i="12"/>
  <c r="B79" i="12"/>
  <c r="J68" i="12"/>
  <c r="K68" i="12"/>
  <c r="J69" i="12"/>
  <c r="K69" i="12"/>
  <c r="J70" i="12"/>
  <c r="K70" i="12"/>
  <c r="J71" i="12"/>
  <c r="K71" i="12"/>
  <c r="J72" i="12"/>
  <c r="K72" i="12"/>
  <c r="J73" i="12"/>
  <c r="K73" i="12"/>
  <c r="B68" i="12"/>
  <c r="C68" i="12"/>
  <c r="D68" i="12"/>
  <c r="E68" i="12"/>
  <c r="F68" i="12"/>
  <c r="G68" i="12"/>
  <c r="H68" i="12"/>
  <c r="B69" i="12"/>
  <c r="C69" i="12"/>
  <c r="D69" i="12"/>
  <c r="E69" i="12"/>
  <c r="F69" i="12"/>
  <c r="G69" i="12"/>
  <c r="H69" i="12"/>
  <c r="B70" i="12"/>
  <c r="C70" i="12"/>
  <c r="D70" i="12"/>
  <c r="E70" i="12"/>
  <c r="F70" i="12"/>
  <c r="G70" i="12"/>
  <c r="H70" i="12"/>
  <c r="B71" i="12"/>
  <c r="C71" i="12"/>
  <c r="D71" i="12"/>
  <c r="E71" i="12"/>
  <c r="F71" i="12"/>
  <c r="G71" i="12"/>
  <c r="H71" i="12"/>
  <c r="B72" i="12"/>
  <c r="C72" i="12"/>
  <c r="D72" i="12"/>
  <c r="E72" i="12"/>
  <c r="F72" i="12"/>
  <c r="G72" i="12"/>
  <c r="H72" i="12"/>
  <c r="B73" i="12"/>
  <c r="C73" i="12"/>
  <c r="D73" i="12"/>
  <c r="E73" i="12"/>
  <c r="F73" i="12"/>
  <c r="G73" i="12"/>
  <c r="H73" i="12"/>
  <c r="K67" i="12"/>
  <c r="J67" i="12"/>
  <c r="H67" i="12"/>
  <c r="G67" i="12"/>
  <c r="F67" i="12"/>
  <c r="E67" i="12"/>
  <c r="D67" i="12"/>
  <c r="C67" i="12"/>
  <c r="B67" i="12"/>
  <c r="J56" i="12"/>
  <c r="K56" i="12"/>
  <c r="J57" i="12"/>
  <c r="K57" i="12"/>
  <c r="J58" i="12"/>
  <c r="K58" i="12"/>
  <c r="J59" i="12"/>
  <c r="K59" i="12"/>
  <c r="J60" i="12"/>
  <c r="K60" i="12"/>
  <c r="J61" i="12"/>
  <c r="K61" i="12"/>
  <c r="B56" i="12"/>
  <c r="C56" i="12"/>
  <c r="D56" i="12"/>
  <c r="E56" i="12"/>
  <c r="F56" i="12"/>
  <c r="G56" i="12"/>
  <c r="H56" i="12"/>
  <c r="B57" i="12"/>
  <c r="C57" i="12"/>
  <c r="D57" i="12"/>
  <c r="E57" i="12"/>
  <c r="F57" i="12"/>
  <c r="G57" i="12"/>
  <c r="H57" i="12"/>
  <c r="B58" i="12"/>
  <c r="C58" i="12"/>
  <c r="D58" i="12"/>
  <c r="E58" i="12"/>
  <c r="F58" i="12"/>
  <c r="G58" i="12"/>
  <c r="H58" i="12"/>
  <c r="B59" i="12"/>
  <c r="C59" i="12"/>
  <c r="D59" i="12"/>
  <c r="E59" i="12"/>
  <c r="F59" i="12"/>
  <c r="G59" i="12"/>
  <c r="H59" i="12"/>
  <c r="B60" i="12"/>
  <c r="C60" i="12"/>
  <c r="D60" i="12"/>
  <c r="E60" i="12"/>
  <c r="F60" i="12"/>
  <c r="G60" i="12"/>
  <c r="H60" i="12"/>
  <c r="B61" i="12"/>
  <c r="C61" i="12"/>
  <c r="D61" i="12"/>
  <c r="E61" i="12"/>
  <c r="F61" i="12"/>
  <c r="G61" i="12"/>
  <c r="H61" i="12"/>
  <c r="K55" i="12"/>
  <c r="J55" i="12"/>
  <c r="H55" i="12"/>
  <c r="G55" i="12"/>
  <c r="F55" i="12"/>
  <c r="E55" i="12"/>
  <c r="D55" i="12"/>
  <c r="C55" i="12"/>
  <c r="B55" i="12"/>
  <c r="J44" i="12"/>
  <c r="K44" i="12"/>
  <c r="J45" i="12"/>
  <c r="K45" i="12"/>
  <c r="J46" i="12"/>
  <c r="K46" i="12"/>
  <c r="J47" i="12"/>
  <c r="K47" i="12"/>
  <c r="J48" i="12"/>
  <c r="K48" i="12"/>
  <c r="J49" i="12"/>
  <c r="K49" i="12"/>
  <c r="B44" i="12"/>
  <c r="C44" i="12"/>
  <c r="D44" i="12"/>
  <c r="E44" i="12"/>
  <c r="F44" i="12"/>
  <c r="G44" i="12"/>
  <c r="H44" i="12"/>
  <c r="B45" i="12"/>
  <c r="C45" i="12"/>
  <c r="D45" i="12"/>
  <c r="E45" i="12"/>
  <c r="F45" i="12"/>
  <c r="G45" i="12"/>
  <c r="H45" i="12"/>
  <c r="B46" i="12"/>
  <c r="C46" i="12"/>
  <c r="D46" i="12"/>
  <c r="E46" i="12"/>
  <c r="F46" i="12"/>
  <c r="G46" i="12"/>
  <c r="H46" i="12"/>
  <c r="B47" i="12"/>
  <c r="C47" i="12"/>
  <c r="D47" i="12"/>
  <c r="E47" i="12"/>
  <c r="F47" i="12"/>
  <c r="G47" i="12"/>
  <c r="H47" i="12"/>
  <c r="B48" i="12"/>
  <c r="C48" i="12"/>
  <c r="D48" i="12"/>
  <c r="E48" i="12"/>
  <c r="F48" i="12"/>
  <c r="G48" i="12"/>
  <c r="H48" i="12"/>
  <c r="B49" i="12"/>
  <c r="C49" i="12"/>
  <c r="D49" i="12"/>
  <c r="E49" i="12"/>
  <c r="F49" i="12"/>
  <c r="G49" i="12"/>
  <c r="H49" i="12"/>
  <c r="K43" i="12"/>
  <c r="J43" i="12"/>
  <c r="H43" i="12"/>
  <c r="G43" i="12"/>
  <c r="F43" i="12"/>
  <c r="E43" i="12"/>
  <c r="D43" i="12"/>
  <c r="C43" i="12"/>
  <c r="B43" i="12"/>
  <c r="K32" i="12"/>
  <c r="J33" i="12"/>
  <c r="K33" i="12"/>
  <c r="J34" i="12"/>
  <c r="K34" i="12"/>
  <c r="J35" i="12"/>
  <c r="K35" i="12"/>
  <c r="J36" i="12"/>
  <c r="K36" i="12"/>
  <c r="J37" i="12"/>
  <c r="K37" i="12"/>
  <c r="K31" i="12"/>
  <c r="J31" i="12"/>
  <c r="J20" i="12"/>
  <c r="K20" i="12"/>
  <c r="J21" i="12"/>
  <c r="K21" i="12"/>
  <c r="J22" i="12"/>
  <c r="K22" i="12"/>
  <c r="J23" i="12"/>
  <c r="K23" i="12"/>
  <c r="J24" i="12"/>
  <c r="K24" i="12"/>
  <c r="J25" i="12"/>
  <c r="K25" i="12"/>
  <c r="K19" i="12"/>
  <c r="J19" i="12"/>
  <c r="B32" i="12"/>
  <c r="C32" i="12"/>
  <c r="D32" i="12"/>
  <c r="E32" i="12"/>
  <c r="F32" i="12"/>
  <c r="G32" i="12"/>
  <c r="H32" i="12"/>
  <c r="B33" i="12"/>
  <c r="C33" i="12"/>
  <c r="D33" i="12"/>
  <c r="E33" i="12"/>
  <c r="F33" i="12"/>
  <c r="G33" i="12"/>
  <c r="H33" i="12"/>
  <c r="B34" i="12"/>
  <c r="C34" i="12"/>
  <c r="D34" i="12"/>
  <c r="E34" i="12"/>
  <c r="F34" i="12"/>
  <c r="G34" i="12"/>
  <c r="H34" i="12"/>
  <c r="B35" i="12"/>
  <c r="C35" i="12"/>
  <c r="D35" i="12"/>
  <c r="E35" i="12"/>
  <c r="F35" i="12"/>
  <c r="G35" i="12"/>
  <c r="H35" i="12"/>
  <c r="B36" i="12"/>
  <c r="C36" i="12"/>
  <c r="D36" i="12"/>
  <c r="E36" i="12"/>
  <c r="F36" i="12"/>
  <c r="G36" i="12"/>
  <c r="H36" i="12"/>
  <c r="B37" i="12"/>
  <c r="C37" i="12"/>
  <c r="D37" i="12"/>
  <c r="E37" i="12"/>
  <c r="F37" i="12"/>
  <c r="G37" i="12"/>
  <c r="H37" i="12"/>
  <c r="H31" i="12"/>
  <c r="G31" i="12"/>
  <c r="F31" i="12"/>
  <c r="E31" i="12"/>
  <c r="D31" i="12"/>
  <c r="C31" i="12"/>
  <c r="B31" i="12"/>
  <c r="B20" i="12"/>
  <c r="C20" i="12"/>
  <c r="D20" i="12"/>
  <c r="E20" i="12"/>
  <c r="F20" i="12"/>
  <c r="G20" i="12"/>
  <c r="H20" i="12"/>
  <c r="B21" i="12"/>
  <c r="C21" i="12"/>
  <c r="D21" i="12"/>
  <c r="E21" i="12"/>
  <c r="F21" i="12"/>
  <c r="G21" i="12"/>
  <c r="H21" i="12"/>
  <c r="B22" i="12"/>
  <c r="C22" i="12"/>
  <c r="D22" i="12"/>
  <c r="E22" i="12"/>
  <c r="F22" i="12"/>
  <c r="G22" i="12"/>
  <c r="H22" i="12"/>
  <c r="B23" i="12"/>
  <c r="C23" i="12"/>
  <c r="D23" i="12"/>
  <c r="E23" i="12"/>
  <c r="F23" i="12"/>
  <c r="G23" i="12"/>
  <c r="H23" i="12"/>
  <c r="B24" i="12"/>
  <c r="C24" i="12"/>
  <c r="D24" i="12"/>
  <c r="E24" i="12"/>
  <c r="F24" i="12"/>
  <c r="G24" i="12"/>
  <c r="H24" i="12"/>
  <c r="B25" i="12"/>
  <c r="C25" i="12"/>
  <c r="D25" i="12"/>
  <c r="E25" i="12"/>
  <c r="F25" i="12"/>
  <c r="G25" i="12"/>
  <c r="H25" i="12"/>
  <c r="H19" i="12"/>
  <c r="G19" i="12"/>
  <c r="F19" i="12"/>
  <c r="E19" i="12"/>
  <c r="D19" i="12"/>
  <c r="C19" i="12"/>
  <c r="B19" i="12"/>
  <c r="U7" i="7"/>
  <c r="J7" i="13" s="1"/>
  <c r="J130" i="13" s="1"/>
  <c r="A2" i="7"/>
  <c r="B116" i="9"/>
  <c r="C116" i="9"/>
  <c r="D116" i="9"/>
  <c r="E116" i="9"/>
  <c r="F116" i="9"/>
  <c r="G116" i="9"/>
  <c r="H116" i="9"/>
  <c r="B117" i="9"/>
  <c r="C117" i="9"/>
  <c r="D117" i="9"/>
  <c r="E117" i="9"/>
  <c r="F117" i="9"/>
  <c r="G117" i="9"/>
  <c r="H117" i="9"/>
  <c r="B118" i="9"/>
  <c r="C118" i="9"/>
  <c r="D118" i="9"/>
  <c r="E118" i="9"/>
  <c r="F118" i="9"/>
  <c r="G118" i="9"/>
  <c r="H118" i="9"/>
  <c r="B119" i="9"/>
  <c r="C119" i="9"/>
  <c r="D119" i="9"/>
  <c r="E119" i="9"/>
  <c r="F119" i="9"/>
  <c r="G119" i="9"/>
  <c r="H119" i="9"/>
  <c r="B120" i="9"/>
  <c r="C120" i="9"/>
  <c r="D120" i="9"/>
  <c r="E120" i="9"/>
  <c r="F120" i="9"/>
  <c r="G120" i="9"/>
  <c r="H120" i="9"/>
  <c r="B121" i="9"/>
  <c r="C121" i="9"/>
  <c r="D121" i="9"/>
  <c r="E121" i="9"/>
  <c r="F121" i="9"/>
  <c r="G121" i="9"/>
  <c r="H121" i="9"/>
  <c r="H115" i="9"/>
  <c r="G115" i="9"/>
  <c r="F115" i="9"/>
  <c r="E115" i="9"/>
  <c r="D115" i="9"/>
  <c r="C115" i="9"/>
  <c r="B115" i="9"/>
  <c r="B80" i="9"/>
  <c r="C80" i="9"/>
  <c r="D80" i="9"/>
  <c r="E80" i="9"/>
  <c r="F80" i="9"/>
  <c r="G80" i="9"/>
  <c r="H80" i="9"/>
  <c r="B81" i="9"/>
  <c r="C81" i="9"/>
  <c r="D81" i="9"/>
  <c r="E81" i="9"/>
  <c r="F81" i="9"/>
  <c r="G81" i="9"/>
  <c r="H81" i="9"/>
  <c r="B82" i="9"/>
  <c r="C82" i="9"/>
  <c r="D82" i="9"/>
  <c r="E82" i="9"/>
  <c r="F82" i="9"/>
  <c r="G82" i="9"/>
  <c r="H82" i="9"/>
  <c r="B83" i="9"/>
  <c r="C83" i="9"/>
  <c r="D83" i="9"/>
  <c r="E83" i="9"/>
  <c r="F83" i="9"/>
  <c r="G83" i="9"/>
  <c r="H83" i="9"/>
  <c r="B84" i="9"/>
  <c r="C84" i="9"/>
  <c r="D84" i="9"/>
  <c r="E84" i="9"/>
  <c r="F84" i="9"/>
  <c r="G84" i="9"/>
  <c r="H84" i="9"/>
  <c r="B85" i="9"/>
  <c r="C85" i="9"/>
  <c r="D85" i="9"/>
  <c r="E85" i="9"/>
  <c r="F85" i="9"/>
  <c r="G85" i="9"/>
  <c r="H85" i="9"/>
  <c r="H79" i="9"/>
  <c r="G79" i="9"/>
  <c r="F79" i="9"/>
  <c r="E79" i="9"/>
  <c r="D79" i="9"/>
  <c r="C79" i="9"/>
  <c r="B79" i="9"/>
  <c r="B68" i="9"/>
  <c r="C68" i="9"/>
  <c r="D68" i="9"/>
  <c r="E68" i="9"/>
  <c r="F68" i="9"/>
  <c r="G68" i="9"/>
  <c r="H68" i="9"/>
  <c r="B69" i="9"/>
  <c r="C69" i="9"/>
  <c r="D69" i="9"/>
  <c r="E69" i="9"/>
  <c r="F69" i="9"/>
  <c r="G69" i="9"/>
  <c r="H69" i="9"/>
  <c r="B70" i="9"/>
  <c r="C70" i="9"/>
  <c r="D70" i="9"/>
  <c r="E70" i="9"/>
  <c r="F70" i="9"/>
  <c r="G70" i="9"/>
  <c r="H70" i="9"/>
  <c r="B71" i="9"/>
  <c r="C71" i="9"/>
  <c r="D71" i="9"/>
  <c r="E71" i="9"/>
  <c r="F71" i="9"/>
  <c r="G71" i="9"/>
  <c r="H71" i="9"/>
  <c r="B72" i="9"/>
  <c r="C72" i="9"/>
  <c r="D72" i="9"/>
  <c r="E72" i="9"/>
  <c r="F72" i="9"/>
  <c r="G72" i="9"/>
  <c r="H72" i="9"/>
  <c r="B73" i="9"/>
  <c r="C73" i="9"/>
  <c r="D73" i="9"/>
  <c r="E73" i="9"/>
  <c r="F73" i="9"/>
  <c r="G73" i="9"/>
  <c r="H73" i="9"/>
  <c r="H67" i="9"/>
  <c r="G67" i="9"/>
  <c r="F67" i="9"/>
  <c r="E67" i="9"/>
  <c r="D67" i="9"/>
  <c r="C67" i="9"/>
  <c r="B67" i="9"/>
  <c r="B56" i="9"/>
  <c r="C56" i="9"/>
  <c r="D56" i="9"/>
  <c r="E56" i="9"/>
  <c r="F56" i="9"/>
  <c r="G56" i="9"/>
  <c r="H56" i="9"/>
  <c r="B57" i="9"/>
  <c r="C57" i="9"/>
  <c r="D57" i="9"/>
  <c r="E57" i="9"/>
  <c r="F57" i="9"/>
  <c r="G57" i="9"/>
  <c r="H57" i="9"/>
  <c r="B58" i="9"/>
  <c r="C58" i="9"/>
  <c r="D58" i="9"/>
  <c r="E58" i="9"/>
  <c r="F58" i="9"/>
  <c r="G58" i="9"/>
  <c r="H58" i="9"/>
  <c r="B59" i="9"/>
  <c r="C59" i="9"/>
  <c r="D59" i="9"/>
  <c r="E59" i="9"/>
  <c r="F59" i="9"/>
  <c r="G59" i="9"/>
  <c r="H59" i="9"/>
  <c r="B60" i="9"/>
  <c r="C60" i="9"/>
  <c r="D60" i="9"/>
  <c r="E60" i="9"/>
  <c r="F60" i="9"/>
  <c r="G60" i="9"/>
  <c r="H60" i="9"/>
  <c r="B61" i="9"/>
  <c r="C61" i="9"/>
  <c r="D61" i="9"/>
  <c r="E61" i="9"/>
  <c r="F61" i="9"/>
  <c r="G61" i="9"/>
  <c r="H61" i="9"/>
  <c r="H55" i="9"/>
  <c r="G55" i="9"/>
  <c r="F55" i="9"/>
  <c r="E55" i="9"/>
  <c r="D55" i="9"/>
  <c r="C55" i="9"/>
  <c r="B55" i="9"/>
  <c r="B44" i="9"/>
  <c r="C44" i="9"/>
  <c r="D44" i="9"/>
  <c r="E44" i="9"/>
  <c r="F44" i="9"/>
  <c r="G44" i="9"/>
  <c r="H44" i="9"/>
  <c r="B45" i="9"/>
  <c r="C45" i="9"/>
  <c r="D45" i="9"/>
  <c r="E45" i="9"/>
  <c r="F45" i="9"/>
  <c r="G45" i="9"/>
  <c r="H45" i="9"/>
  <c r="B46" i="9"/>
  <c r="C46" i="9"/>
  <c r="D46" i="9"/>
  <c r="E46" i="9"/>
  <c r="F46" i="9"/>
  <c r="G46" i="9"/>
  <c r="H46" i="9"/>
  <c r="B47" i="9"/>
  <c r="C47" i="9"/>
  <c r="D47" i="9"/>
  <c r="E47" i="9"/>
  <c r="F47" i="9"/>
  <c r="G47" i="9"/>
  <c r="H47" i="9"/>
  <c r="B48" i="9"/>
  <c r="C48" i="9"/>
  <c r="D48" i="9"/>
  <c r="E48" i="9"/>
  <c r="F48" i="9"/>
  <c r="G48" i="9"/>
  <c r="H48" i="9"/>
  <c r="B49" i="9"/>
  <c r="C49" i="9"/>
  <c r="D49" i="9"/>
  <c r="E49" i="9"/>
  <c r="F49" i="9"/>
  <c r="G49" i="9"/>
  <c r="H49" i="9"/>
  <c r="H43" i="9"/>
  <c r="G43" i="9"/>
  <c r="F43" i="9"/>
  <c r="E43" i="9"/>
  <c r="D43" i="9"/>
  <c r="C43" i="9"/>
  <c r="B43" i="9"/>
  <c r="B32" i="9"/>
  <c r="C32" i="9"/>
  <c r="D32" i="9"/>
  <c r="E32" i="9"/>
  <c r="F32" i="9"/>
  <c r="G32" i="9"/>
  <c r="H32" i="9"/>
  <c r="B33" i="9"/>
  <c r="C33" i="9"/>
  <c r="D33" i="9"/>
  <c r="E33" i="9"/>
  <c r="F33" i="9"/>
  <c r="G33" i="9"/>
  <c r="H33" i="9"/>
  <c r="B34" i="9"/>
  <c r="C34" i="9"/>
  <c r="D34" i="9"/>
  <c r="E34" i="9"/>
  <c r="F34" i="9"/>
  <c r="G34" i="9"/>
  <c r="H34" i="9"/>
  <c r="B35" i="9"/>
  <c r="C35" i="9"/>
  <c r="D35" i="9"/>
  <c r="E35" i="9"/>
  <c r="F35" i="9"/>
  <c r="G35" i="9"/>
  <c r="H35" i="9"/>
  <c r="B36" i="9"/>
  <c r="C36" i="9"/>
  <c r="D36" i="9"/>
  <c r="E36" i="9"/>
  <c r="F36" i="9"/>
  <c r="G36" i="9"/>
  <c r="H36" i="9"/>
  <c r="B37" i="9"/>
  <c r="C37" i="9"/>
  <c r="D37" i="9"/>
  <c r="E37" i="9"/>
  <c r="F37" i="9"/>
  <c r="G37" i="9"/>
  <c r="H37" i="9"/>
  <c r="H31" i="9"/>
  <c r="G31" i="9"/>
  <c r="F31" i="9"/>
  <c r="E31" i="9"/>
  <c r="D31" i="9"/>
  <c r="C31" i="9"/>
  <c r="B31" i="9"/>
  <c r="B20" i="9"/>
  <c r="C20" i="9"/>
  <c r="D20" i="9"/>
  <c r="E20" i="9"/>
  <c r="F20" i="9"/>
  <c r="G20" i="9"/>
  <c r="H20" i="9"/>
  <c r="B21" i="9"/>
  <c r="C21" i="9"/>
  <c r="D21" i="9"/>
  <c r="E21" i="9"/>
  <c r="F21" i="9"/>
  <c r="G21" i="9"/>
  <c r="H21" i="9"/>
  <c r="B22" i="9"/>
  <c r="C22" i="9"/>
  <c r="D22" i="9"/>
  <c r="E22" i="9"/>
  <c r="F22" i="9"/>
  <c r="G22" i="9"/>
  <c r="H22" i="9"/>
  <c r="B23" i="9"/>
  <c r="C23" i="9"/>
  <c r="D23" i="9"/>
  <c r="E23" i="9"/>
  <c r="F23" i="9"/>
  <c r="G23" i="9"/>
  <c r="H23" i="9"/>
  <c r="B24" i="9"/>
  <c r="C24" i="9"/>
  <c r="D24" i="9"/>
  <c r="E24" i="9"/>
  <c r="F24" i="9"/>
  <c r="G24" i="9"/>
  <c r="H24" i="9"/>
  <c r="B25" i="9"/>
  <c r="C25" i="9"/>
  <c r="D25" i="9"/>
  <c r="E25" i="9"/>
  <c r="F25" i="9"/>
  <c r="G25" i="9"/>
  <c r="H25" i="9"/>
  <c r="H19" i="9"/>
  <c r="G19" i="9"/>
  <c r="F19" i="9"/>
  <c r="E19" i="9"/>
  <c r="D19" i="9"/>
  <c r="C19" i="9"/>
  <c r="B19" i="9"/>
  <c r="D7" i="9"/>
  <c r="E7" i="9"/>
  <c r="F7" i="9"/>
  <c r="G7" i="9"/>
  <c r="H7" i="9"/>
  <c r="D8" i="9"/>
  <c r="E8" i="9"/>
  <c r="F8" i="9"/>
  <c r="G8" i="9"/>
  <c r="H8" i="9"/>
  <c r="D9" i="9"/>
  <c r="E9" i="9"/>
  <c r="F9" i="9"/>
  <c r="G9" i="9"/>
  <c r="H9" i="9"/>
  <c r="D10" i="9"/>
  <c r="E10" i="9"/>
  <c r="F10" i="9"/>
  <c r="G10" i="9"/>
  <c r="H10" i="9"/>
  <c r="D11" i="9"/>
  <c r="E11" i="9"/>
  <c r="F11" i="9"/>
  <c r="G11" i="9"/>
  <c r="H11" i="9"/>
  <c r="D12" i="9"/>
  <c r="E12" i="9"/>
  <c r="F12" i="9"/>
  <c r="G12" i="9"/>
  <c r="H12" i="9"/>
  <c r="H6" i="9"/>
  <c r="G6" i="9"/>
  <c r="F6" i="9"/>
  <c r="E6" i="9"/>
  <c r="D6" i="9"/>
  <c r="C6" i="9"/>
  <c r="C10" i="9"/>
  <c r="C7" i="9"/>
  <c r="C8" i="9"/>
  <c r="C9" i="9"/>
  <c r="C11" i="9"/>
  <c r="C12" i="9"/>
  <c r="B7" i="9"/>
  <c r="B8" i="9"/>
  <c r="B9" i="9"/>
  <c r="B10" i="9"/>
  <c r="B11" i="9"/>
  <c r="B12" i="9"/>
  <c r="B6" i="9"/>
  <c r="C128" i="8"/>
  <c r="D128" i="8"/>
  <c r="E128" i="8"/>
  <c r="F128" i="8"/>
  <c r="G128" i="8"/>
  <c r="H128" i="8"/>
  <c r="C129" i="8"/>
  <c r="D129" i="8"/>
  <c r="E129" i="8"/>
  <c r="F129" i="8"/>
  <c r="G129" i="8"/>
  <c r="H129" i="8"/>
  <c r="C130" i="8"/>
  <c r="D130" i="8"/>
  <c r="E130" i="8"/>
  <c r="F130" i="8"/>
  <c r="G130" i="8"/>
  <c r="H130" i="8"/>
  <c r="C131" i="8"/>
  <c r="D131" i="8"/>
  <c r="E131" i="8"/>
  <c r="F131" i="8"/>
  <c r="G131" i="8"/>
  <c r="H131" i="8"/>
  <c r="C132" i="8"/>
  <c r="D132" i="8"/>
  <c r="E132" i="8"/>
  <c r="F132" i="8"/>
  <c r="G132" i="8"/>
  <c r="H132" i="8"/>
  <c r="C133" i="8"/>
  <c r="D133" i="8"/>
  <c r="E133" i="8"/>
  <c r="F133" i="8"/>
  <c r="G133" i="8"/>
  <c r="H133" i="8"/>
  <c r="H127" i="8"/>
  <c r="G127" i="8"/>
  <c r="F127" i="8"/>
  <c r="E127" i="8"/>
  <c r="D127" i="8"/>
  <c r="C127" i="8"/>
  <c r="C116" i="8"/>
  <c r="D116" i="8"/>
  <c r="E116" i="8"/>
  <c r="F116" i="8"/>
  <c r="G116" i="8"/>
  <c r="H116" i="8"/>
  <c r="C117" i="8"/>
  <c r="D117" i="8"/>
  <c r="E117" i="8"/>
  <c r="F117" i="8"/>
  <c r="G117" i="8"/>
  <c r="H117" i="8"/>
  <c r="C118" i="8"/>
  <c r="D118" i="8"/>
  <c r="E118" i="8"/>
  <c r="F118" i="8"/>
  <c r="G118" i="8"/>
  <c r="H118" i="8"/>
  <c r="C119" i="8"/>
  <c r="D119" i="8"/>
  <c r="E119" i="8"/>
  <c r="F119" i="8"/>
  <c r="G119" i="8"/>
  <c r="H119" i="8"/>
  <c r="C120" i="8"/>
  <c r="D120" i="8"/>
  <c r="E120" i="8"/>
  <c r="F120" i="8"/>
  <c r="G120" i="8"/>
  <c r="H120" i="8"/>
  <c r="C121" i="8"/>
  <c r="D121" i="8"/>
  <c r="E121" i="8"/>
  <c r="F121" i="8"/>
  <c r="G121" i="8"/>
  <c r="H121" i="8"/>
  <c r="H115" i="8"/>
  <c r="G115" i="8"/>
  <c r="F115" i="8"/>
  <c r="E115" i="8"/>
  <c r="D115" i="8"/>
  <c r="C115" i="8"/>
  <c r="C104" i="8"/>
  <c r="D104" i="8"/>
  <c r="E104" i="8"/>
  <c r="F104" i="8"/>
  <c r="G104" i="8"/>
  <c r="H104" i="8"/>
  <c r="C105" i="8"/>
  <c r="D105" i="8"/>
  <c r="E105" i="8"/>
  <c r="F105" i="8"/>
  <c r="G105" i="8"/>
  <c r="H105" i="8"/>
  <c r="C106" i="8"/>
  <c r="D106" i="8"/>
  <c r="E106" i="8"/>
  <c r="F106" i="8"/>
  <c r="G106" i="8"/>
  <c r="H106" i="8"/>
  <c r="C107" i="8"/>
  <c r="D107" i="8"/>
  <c r="E107" i="8"/>
  <c r="F107" i="8"/>
  <c r="G107" i="8"/>
  <c r="H107" i="8"/>
  <c r="C108" i="8"/>
  <c r="D108" i="8"/>
  <c r="E108" i="8"/>
  <c r="F108" i="8"/>
  <c r="G108" i="8"/>
  <c r="H108" i="8"/>
  <c r="C109" i="8"/>
  <c r="D109" i="8"/>
  <c r="E109" i="8"/>
  <c r="F109" i="8"/>
  <c r="G109" i="8"/>
  <c r="H109" i="8"/>
  <c r="H103" i="8"/>
  <c r="G103" i="8"/>
  <c r="F103" i="8"/>
  <c r="E103" i="8"/>
  <c r="D103" i="8"/>
  <c r="C103" i="8"/>
  <c r="C92" i="8"/>
  <c r="D92" i="8"/>
  <c r="E92" i="8"/>
  <c r="F92" i="8"/>
  <c r="G92" i="8"/>
  <c r="H92" i="8"/>
  <c r="C93" i="8"/>
  <c r="D93" i="8"/>
  <c r="E93" i="8"/>
  <c r="F93" i="8"/>
  <c r="G93" i="8"/>
  <c r="H93" i="8"/>
  <c r="C94" i="8"/>
  <c r="D94" i="8"/>
  <c r="E94" i="8"/>
  <c r="F94" i="8"/>
  <c r="G94" i="8"/>
  <c r="H94" i="8"/>
  <c r="C95" i="8"/>
  <c r="D95" i="8"/>
  <c r="E95" i="8"/>
  <c r="F95" i="8"/>
  <c r="G95" i="8"/>
  <c r="H95" i="8"/>
  <c r="C96" i="8"/>
  <c r="D96" i="8"/>
  <c r="E96" i="8"/>
  <c r="F96" i="8"/>
  <c r="G96" i="8"/>
  <c r="H96" i="8"/>
  <c r="C97" i="8"/>
  <c r="D97" i="8"/>
  <c r="E97" i="8"/>
  <c r="F97" i="8"/>
  <c r="G97" i="8"/>
  <c r="H97" i="8"/>
  <c r="H91" i="8"/>
  <c r="G91" i="8"/>
  <c r="F91" i="8"/>
  <c r="E91" i="8"/>
  <c r="D91" i="8"/>
  <c r="C91" i="8"/>
  <c r="C80" i="8"/>
  <c r="D80" i="8"/>
  <c r="E80" i="8"/>
  <c r="F80" i="8"/>
  <c r="G80" i="8"/>
  <c r="H80" i="8"/>
  <c r="C81" i="8"/>
  <c r="D81" i="8"/>
  <c r="E81" i="8"/>
  <c r="F81" i="8"/>
  <c r="G81" i="8"/>
  <c r="H81" i="8"/>
  <c r="C82" i="8"/>
  <c r="D82" i="8"/>
  <c r="E82" i="8"/>
  <c r="F82" i="8"/>
  <c r="G82" i="8"/>
  <c r="H82" i="8"/>
  <c r="C83" i="8"/>
  <c r="D83" i="8"/>
  <c r="E83" i="8"/>
  <c r="F83" i="8"/>
  <c r="G83" i="8"/>
  <c r="H83" i="8"/>
  <c r="C84" i="8"/>
  <c r="D84" i="8"/>
  <c r="E84" i="8"/>
  <c r="F84" i="8"/>
  <c r="G84" i="8"/>
  <c r="H84" i="8"/>
  <c r="C85" i="8"/>
  <c r="D85" i="8"/>
  <c r="E85" i="8"/>
  <c r="F85" i="8"/>
  <c r="G85" i="8"/>
  <c r="H85" i="8"/>
  <c r="H79" i="8"/>
  <c r="G79" i="8"/>
  <c r="F79" i="8"/>
  <c r="E79" i="8"/>
  <c r="D79" i="8"/>
  <c r="C79" i="8"/>
  <c r="C68" i="8"/>
  <c r="D68" i="8"/>
  <c r="E68" i="8"/>
  <c r="F68" i="8"/>
  <c r="G68" i="8"/>
  <c r="H68" i="8"/>
  <c r="C69" i="8"/>
  <c r="D69" i="8"/>
  <c r="E69" i="8"/>
  <c r="F69" i="8"/>
  <c r="G69" i="8"/>
  <c r="H69" i="8"/>
  <c r="C70" i="8"/>
  <c r="D70" i="8"/>
  <c r="E70" i="8"/>
  <c r="F70" i="8"/>
  <c r="G70" i="8"/>
  <c r="H70" i="8"/>
  <c r="C71" i="8"/>
  <c r="D71" i="8"/>
  <c r="E71" i="8"/>
  <c r="F71" i="8"/>
  <c r="G71" i="8"/>
  <c r="H71" i="8"/>
  <c r="C72" i="8"/>
  <c r="D72" i="8"/>
  <c r="E72" i="8"/>
  <c r="F72" i="8"/>
  <c r="G72" i="8"/>
  <c r="H72" i="8"/>
  <c r="C73" i="8"/>
  <c r="D73" i="8"/>
  <c r="E73" i="8"/>
  <c r="F73" i="8"/>
  <c r="G73" i="8"/>
  <c r="H73" i="8"/>
  <c r="H67" i="8"/>
  <c r="G67" i="8"/>
  <c r="F67" i="8"/>
  <c r="E67" i="8"/>
  <c r="D67" i="8"/>
  <c r="C67" i="8"/>
  <c r="C56" i="8"/>
  <c r="D56" i="8"/>
  <c r="E56" i="8"/>
  <c r="F56" i="8"/>
  <c r="G56" i="8"/>
  <c r="H56" i="8"/>
  <c r="C57" i="8"/>
  <c r="D57" i="8"/>
  <c r="E57" i="8"/>
  <c r="F57" i="8"/>
  <c r="G57" i="8"/>
  <c r="H57" i="8"/>
  <c r="C58" i="8"/>
  <c r="D58" i="8"/>
  <c r="E58" i="8"/>
  <c r="F58" i="8"/>
  <c r="G58" i="8"/>
  <c r="H58" i="8"/>
  <c r="C59" i="8"/>
  <c r="D59" i="8"/>
  <c r="E59" i="8"/>
  <c r="F59" i="8"/>
  <c r="G59" i="8"/>
  <c r="H59" i="8"/>
  <c r="C60" i="8"/>
  <c r="D60" i="8"/>
  <c r="E60" i="8"/>
  <c r="F60" i="8"/>
  <c r="G60" i="8"/>
  <c r="H60" i="8"/>
  <c r="C61" i="8"/>
  <c r="D61" i="8"/>
  <c r="E61" i="8"/>
  <c r="F61" i="8"/>
  <c r="G61" i="8"/>
  <c r="H61" i="8"/>
  <c r="H55" i="8"/>
  <c r="G55" i="8"/>
  <c r="F55" i="8"/>
  <c r="E55" i="8"/>
  <c r="D55" i="8"/>
  <c r="C55" i="8"/>
  <c r="C44" i="8"/>
  <c r="D44" i="8"/>
  <c r="E44" i="8"/>
  <c r="F44" i="8"/>
  <c r="G44" i="8"/>
  <c r="H44" i="8"/>
  <c r="C45" i="8"/>
  <c r="D45" i="8"/>
  <c r="E45" i="8"/>
  <c r="F45" i="8"/>
  <c r="G45" i="8"/>
  <c r="H45" i="8"/>
  <c r="C46" i="8"/>
  <c r="D46" i="8"/>
  <c r="E46" i="8"/>
  <c r="F46" i="8"/>
  <c r="G46" i="8"/>
  <c r="H46" i="8"/>
  <c r="C47" i="8"/>
  <c r="D47" i="8"/>
  <c r="E47" i="8"/>
  <c r="F47" i="8"/>
  <c r="G47" i="8"/>
  <c r="H47" i="8"/>
  <c r="C48" i="8"/>
  <c r="D48" i="8"/>
  <c r="E48" i="8"/>
  <c r="F48" i="8"/>
  <c r="G48" i="8"/>
  <c r="H48" i="8"/>
  <c r="C49" i="8"/>
  <c r="D49" i="8"/>
  <c r="E49" i="8"/>
  <c r="F49" i="8"/>
  <c r="G49" i="8"/>
  <c r="H49" i="8"/>
  <c r="H43" i="8"/>
  <c r="G43" i="8"/>
  <c r="F43" i="8"/>
  <c r="E43" i="8"/>
  <c r="D43" i="8"/>
  <c r="C43" i="8"/>
  <c r="C32" i="8"/>
  <c r="D32" i="8"/>
  <c r="E32" i="8"/>
  <c r="F32" i="8"/>
  <c r="G32" i="8"/>
  <c r="H32" i="8"/>
  <c r="C33" i="8"/>
  <c r="D33" i="8"/>
  <c r="E33" i="8"/>
  <c r="F33" i="8"/>
  <c r="G33" i="8"/>
  <c r="H33" i="8"/>
  <c r="C34" i="8"/>
  <c r="D34" i="8"/>
  <c r="E34" i="8"/>
  <c r="F34" i="8"/>
  <c r="G34" i="8"/>
  <c r="H34" i="8"/>
  <c r="C35" i="8"/>
  <c r="D35" i="8"/>
  <c r="E35" i="8"/>
  <c r="F35" i="8"/>
  <c r="G35" i="8"/>
  <c r="H35" i="8"/>
  <c r="C36" i="8"/>
  <c r="D36" i="8"/>
  <c r="E36" i="8"/>
  <c r="F36" i="8"/>
  <c r="G36" i="8"/>
  <c r="H36" i="8"/>
  <c r="C37" i="8"/>
  <c r="D37" i="8"/>
  <c r="E37" i="8"/>
  <c r="F37" i="8"/>
  <c r="G37" i="8"/>
  <c r="H37" i="8"/>
  <c r="H31" i="8"/>
  <c r="G31" i="8"/>
  <c r="F31" i="8"/>
  <c r="E31" i="8"/>
  <c r="D31" i="8"/>
  <c r="C31" i="8"/>
  <c r="C20" i="8"/>
  <c r="D20" i="8"/>
  <c r="E20" i="8"/>
  <c r="F20" i="8"/>
  <c r="G20" i="8"/>
  <c r="H20" i="8"/>
  <c r="C21" i="8"/>
  <c r="D21" i="8"/>
  <c r="E21" i="8"/>
  <c r="F21" i="8"/>
  <c r="G21" i="8"/>
  <c r="H21" i="8"/>
  <c r="C22" i="8"/>
  <c r="D22" i="8"/>
  <c r="E22" i="8"/>
  <c r="F22" i="8"/>
  <c r="G22" i="8"/>
  <c r="H22" i="8"/>
  <c r="C23" i="8"/>
  <c r="D23" i="8"/>
  <c r="E23" i="8"/>
  <c r="F23" i="8"/>
  <c r="G23" i="8"/>
  <c r="H23" i="8"/>
  <c r="C24" i="8"/>
  <c r="D24" i="8"/>
  <c r="E24" i="8"/>
  <c r="F24" i="8"/>
  <c r="G24" i="8"/>
  <c r="H24" i="8"/>
  <c r="C25" i="8"/>
  <c r="D25" i="8"/>
  <c r="E25" i="8"/>
  <c r="F25" i="8"/>
  <c r="G25" i="8"/>
  <c r="H25" i="8"/>
  <c r="H19" i="8"/>
  <c r="G19" i="8"/>
  <c r="F19" i="8"/>
  <c r="E19" i="8"/>
  <c r="D19" i="8"/>
  <c r="C19" i="8"/>
  <c r="B116" i="8"/>
  <c r="B117" i="8"/>
  <c r="B118" i="8"/>
  <c r="B119" i="8"/>
  <c r="B120" i="8"/>
  <c r="B121" i="8"/>
  <c r="B115" i="8"/>
  <c r="B104" i="8"/>
  <c r="B105" i="8"/>
  <c r="B106" i="8"/>
  <c r="B107" i="8"/>
  <c r="B108" i="8"/>
  <c r="B109" i="8"/>
  <c r="B103" i="8"/>
  <c r="B133" i="8"/>
  <c r="B132" i="8"/>
  <c r="B131" i="8"/>
  <c r="B130" i="8"/>
  <c r="B129" i="8"/>
  <c r="B128" i="8"/>
  <c r="B127" i="8"/>
  <c r="B92" i="8"/>
  <c r="B93" i="8"/>
  <c r="B94" i="8"/>
  <c r="B95" i="8"/>
  <c r="B96" i="8"/>
  <c r="B97" i="8"/>
  <c r="B91" i="8"/>
  <c r="B80" i="8"/>
  <c r="B81" i="8"/>
  <c r="B82" i="8"/>
  <c r="B83" i="8"/>
  <c r="B84" i="8"/>
  <c r="B85" i="8"/>
  <c r="B79" i="8"/>
  <c r="B68" i="8"/>
  <c r="B69" i="8"/>
  <c r="B70" i="8"/>
  <c r="B71" i="8"/>
  <c r="B72" i="8"/>
  <c r="B73" i="8"/>
  <c r="B67" i="8"/>
  <c r="B56" i="8"/>
  <c r="B57" i="8"/>
  <c r="B58" i="8"/>
  <c r="B59" i="8"/>
  <c r="B60" i="8"/>
  <c r="B61" i="8"/>
  <c r="B55" i="8"/>
  <c r="B44" i="8"/>
  <c r="B45" i="8"/>
  <c r="B46" i="8"/>
  <c r="B47" i="8"/>
  <c r="B48" i="8"/>
  <c r="B49" i="8"/>
  <c r="B43" i="8"/>
  <c r="B32" i="8"/>
  <c r="B33" i="8"/>
  <c r="B34" i="8"/>
  <c r="B35" i="8"/>
  <c r="B36" i="8"/>
  <c r="B37" i="8"/>
  <c r="B31" i="8"/>
  <c r="B20" i="8"/>
  <c r="B21" i="8"/>
  <c r="B22" i="8"/>
  <c r="B23" i="8"/>
  <c r="B24" i="8"/>
  <c r="B25" i="8"/>
  <c r="B19" i="8"/>
  <c r="H11" i="8" l="1"/>
  <c r="C9" i="8"/>
  <c r="G6" i="8"/>
  <c r="G151" i="8" s="1"/>
  <c r="G11" i="8"/>
  <c r="G156" i="8" s="1"/>
  <c r="B11" i="8"/>
  <c r="B156" i="8" s="1"/>
  <c r="B12" i="15" s="1"/>
  <c r="H12" i="8"/>
  <c r="H157" i="8" s="1"/>
  <c r="F11" i="8"/>
  <c r="D10" i="8"/>
  <c r="D155" i="8" s="1"/>
  <c r="H8" i="8"/>
  <c r="F7" i="8"/>
  <c r="F152" i="8" s="1"/>
  <c r="B6" i="8"/>
  <c r="F10" i="8"/>
  <c r="F155" i="8" s="1"/>
  <c r="E10" i="8"/>
  <c r="G12" i="8"/>
  <c r="G157" i="8" s="1"/>
  <c r="E11" i="8"/>
  <c r="C10" i="8"/>
  <c r="G8" i="8"/>
  <c r="G153" i="8" s="1"/>
  <c r="E7" i="8"/>
  <c r="H6" i="8"/>
  <c r="H151" i="8" s="1"/>
  <c r="G7" i="8"/>
  <c r="B10" i="8"/>
  <c r="B155" i="8" s="1"/>
  <c r="B11" i="15" s="1"/>
  <c r="B9" i="8"/>
  <c r="B154" i="8" s="1"/>
  <c r="B10" i="15" s="1"/>
  <c r="C6" i="8"/>
  <c r="F12" i="8"/>
  <c r="F157" i="8" s="1"/>
  <c r="D11" i="8"/>
  <c r="D156" i="8" s="1"/>
  <c r="H9" i="8"/>
  <c r="F8" i="8"/>
  <c r="D7" i="8"/>
  <c r="D152" i="8" s="1"/>
  <c r="D9" i="8"/>
  <c r="D154" i="8" s="1"/>
  <c r="B12" i="8"/>
  <c r="B157" i="8" s="1"/>
  <c r="B13" i="15" s="1"/>
  <c r="B8" i="8"/>
  <c r="G9" i="8"/>
  <c r="G154" i="8" s="1"/>
  <c r="C7" i="8"/>
  <c r="C152" i="8" s="1"/>
  <c r="H7" i="8"/>
  <c r="C11" i="8"/>
  <c r="C156" i="8" s="1"/>
  <c r="B7" i="8"/>
  <c r="E6" i="8"/>
  <c r="D12" i="8"/>
  <c r="H10" i="8"/>
  <c r="F9" i="8"/>
  <c r="D8" i="8"/>
  <c r="D6" i="8"/>
  <c r="D151" i="8" s="1"/>
  <c r="E12" i="8"/>
  <c r="E8" i="8"/>
  <c r="F6" i="8"/>
  <c r="C12" i="8"/>
  <c r="G10" i="8"/>
  <c r="E9" i="8"/>
  <c r="C8" i="8"/>
  <c r="E151" i="12"/>
  <c r="F157" i="12"/>
  <c r="B157" i="12"/>
  <c r="B39" i="15" s="1"/>
  <c r="E156" i="12"/>
  <c r="H155" i="12"/>
  <c r="D155" i="12"/>
  <c r="G154" i="12"/>
  <c r="C154" i="12"/>
  <c r="F153" i="12"/>
  <c r="B153" i="12"/>
  <c r="B35" i="15" s="1"/>
  <c r="E152" i="12"/>
  <c r="I135" i="13"/>
  <c r="E39" i="15" s="1"/>
  <c r="B151" i="12"/>
  <c r="B33" i="15" s="1"/>
  <c r="F151" i="12"/>
  <c r="E157" i="12"/>
  <c r="H156" i="12"/>
  <c r="D156" i="12"/>
  <c r="G155" i="12"/>
  <c r="C155" i="12"/>
  <c r="F154" i="12"/>
  <c r="B154" i="12"/>
  <c r="B36" i="15" s="1"/>
  <c r="E153" i="12"/>
  <c r="H152" i="12"/>
  <c r="D152" i="12"/>
  <c r="I6" i="12"/>
  <c r="I130" i="13"/>
  <c r="E34" i="15" s="1"/>
  <c r="C151" i="12"/>
  <c r="G151" i="12"/>
  <c r="H157" i="12"/>
  <c r="D157" i="12"/>
  <c r="G156" i="12"/>
  <c r="C156" i="12"/>
  <c r="F155" i="12"/>
  <c r="B155" i="12"/>
  <c r="B37" i="15" s="1"/>
  <c r="E154" i="12"/>
  <c r="H153" i="12"/>
  <c r="D153" i="12"/>
  <c r="G152" i="12"/>
  <c r="C152" i="12"/>
  <c r="I129" i="13"/>
  <c r="E33" i="15" s="1"/>
  <c r="I133" i="13"/>
  <c r="E37" i="15" s="1"/>
  <c r="D151" i="12"/>
  <c r="H151" i="12"/>
  <c r="G157" i="12"/>
  <c r="C157" i="12"/>
  <c r="F156" i="12"/>
  <c r="B156" i="12"/>
  <c r="B38" i="15" s="1"/>
  <c r="E155" i="12"/>
  <c r="H154" i="12"/>
  <c r="D154" i="12"/>
  <c r="G153" i="12"/>
  <c r="C153" i="12"/>
  <c r="F152" i="12"/>
  <c r="B152" i="12"/>
  <c r="B34" i="15" s="1"/>
  <c r="I131" i="13"/>
  <c r="E35" i="15" s="1"/>
  <c r="I134" i="13"/>
  <c r="E38" i="15" s="1"/>
  <c r="I132" i="13"/>
  <c r="E36" i="15" s="1"/>
  <c r="J151" i="12"/>
  <c r="K156" i="12"/>
  <c r="C12" i="15" s="1"/>
  <c r="K154" i="12"/>
  <c r="C10" i="15" s="1"/>
  <c r="K152" i="12"/>
  <c r="C8" i="15" s="1"/>
  <c r="K151" i="12"/>
  <c r="J156" i="12"/>
  <c r="F12" i="15" s="1"/>
  <c r="J154" i="12"/>
  <c r="F10" i="15" s="1"/>
  <c r="K157" i="12"/>
  <c r="C13" i="15" s="1"/>
  <c r="K155" i="12"/>
  <c r="K153" i="12"/>
  <c r="C9" i="15" s="1"/>
  <c r="J157" i="12"/>
  <c r="F13" i="15" s="1"/>
  <c r="J155" i="12"/>
  <c r="J153" i="12"/>
  <c r="F9" i="15" s="1"/>
  <c r="E128" i="9"/>
  <c r="H134" i="9"/>
  <c r="D134" i="9"/>
  <c r="G133" i="9"/>
  <c r="C133" i="9"/>
  <c r="F132" i="9"/>
  <c r="B132" i="9"/>
  <c r="B24" i="15" s="1"/>
  <c r="E131" i="9"/>
  <c r="H130" i="9"/>
  <c r="D130" i="9"/>
  <c r="G129" i="9"/>
  <c r="C129" i="9"/>
  <c r="B128" i="9"/>
  <c r="B20" i="15" s="1"/>
  <c r="F128" i="9"/>
  <c r="G134" i="9"/>
  <c r="C134" i="9"/>
  <c r="F133" i="9"/>
  <c r="B133" i="9"/>
  <c r="B25" i="15" s="1"/>
  <c r="E132" i="9"/>
  <c r="H131" i="9"/>
  <c r="D131" i="9"/>
  <c r="G130" i="9"/>
  <c r="C130" i="9"/>
  <c r="F129" i="9"/>
  <c r="B129" i="9"/>
  <c r="B21" i="15" s="1"/>
  <c r="C128" i="9"/>
  <c r="G128" i="9"/>
  <c r="F134" i="9"/>
  <c r="B134" i="9"/>
  <c r="B26" i="15" s="1"/>
  <c r="E133" i="9"/>
  <c r="H132" i="9"/>
  <c r="D132" i="9"/>
  <c r="G131" i="9"/>
  <c r="C131" i="9"/>
  <c r="F130" i="9"/>
  <c r="B130" i="9"/>
  <c r="B22" i="15" s="1"/>
  <c r="E129" i="9"/>
  <c r="D128" i="9"/>
  <c r="H128" i="9"/>
  <c r="E134" i="9"/>
  <c r="H133" i="9"/>
  <c r="D133" i="9"/>
  <c r="G132" i="9"/>
  <c r="C132" i="9"/>
  <c r="F131" i="9"/>
  <c r="B131" i="9"/>
  <c r="B23" i="15" s="1"/>
  <c r="E130" i="9"/>
  <c r="H129" i="9"/>
  <c r="D129" i="9"/>
  <c r="F21" i="15"/>
  <c r="J13" i="13"/>
  <c r="F20" i="15"/>
  <c r="C20" i="15"/>
  <c r="K136" i="13"/>
  <c r="C27" i="15" s="1"/>
  <c r="J32" i="12"/>
  <c r="J152" i="12" s="1"/>
  <c r="I111" i="13"/>
  <c r="I123" i="13"/>
  <c r="I98" i="13"/>
  <c r="I74" i="13"/>
  <c r="I72" i="9"/>
  <c r="G122" i="9"/>
  <c r="I50" i="13"/>
  <c r="D38" i="12"/>
  <c r="I38" i="13"/>
  <c r="B26" i="12"/>
  <c r="F26" i="12"/>
  <c r="I86" i="13"/>
  <c r="I22" i="12"/>
  <c r="E38" i="12"/>
  <c r="I36" i="12"/>
  <c r="H38" i="12"/>
  <c r="I33" i="12"/>
  <c r="I46" i="12"/>
  <c r="G86" i="9"/>
  <c r="I85" i="9"/>
  <c r="I84" i="9"/>
  <c r="I83" i="9"/>
  <c r="I82" i="9"/>
  <c r="I81" i="9"/>
  <c r="I80" i="9"/>
  <c r="I68" i="9"/>
  <c r="I59" i="9"/>
  <c r="G136" i="13"/>
  <c r="I37" i="12"/>
  <c r="I32" i="12"/>
  <c r="I119" i="9"/>
  <c r="I47" i="12"/>
  <c r="I45" i="12"/>
  <c r="I44" i="12"/>
  <c r="G38" i="12"/>
  <c r="I34" i="12"/>
  <c r="I62" i="13"/>
  <c r="G62" i="9"/>
  <c r="I61" i="9"/>
  <c r="I60" i="9"/>
  <c r="I58" i="9"/>
  <c r="I57" i="9"/>
  <c r="I56" i="9"/>
  <c r="I73" i="9"/>
  <c r="I71" i="9"/>
  <c r="I70" i="9"/>
  <c r="I69" i="9"/>
  <c r="D74" i="9"/>
  <c r="I121" i="9"/>
  <c r="I120" i="9"/>
  <c r="I118" i="9"/>
  <c r="I117" i="9"/>
  <c r="I116" i="9"/>
  <c r="B136" i="13"/>
  <c r="D40" i="15" s="1"/>
  <c r="C136" i="13"/>
  <c r="E136" i="13"/>
  <c r="F136" i="13"/>
  <c r="I26" i="13"/>
  <c r="H136" i="13"/>
  <c r="D136" i="13"/>
  <c r="I43" i="12"/>
  <c r="I25" i="12"/>
  <c r="I24" i="12"/>
  <c r="I23" i="12"/>
  <c r="I21" i="12"/>
  <c r="I20" i="12"/>
  <c r="E26" i="12"/>
  <c r="C26" i="12"/>
  <c r="G26" i="12"/>
  <c r="D26" i="12"/>
  <c r="H26" i="12"/>
  <c r="D13" i="12"/>
  <c r="F38" i="12"/>
  <c r="B62" i="12"/>
  <c r="K62" i="12"/>
  <c r="B110" i="12"/>
  <c r="K110" i="12"/>
  <c r="I35" i="12"/>
  <c r="C38" i="12"/>
  <c r="H13" i="12"/>
  <c r="B50" i="12"/>
  <c r="K50" i="12"/>
  <c r="B98" i="12"/>
  <c r="K98" i="12"/>
  <c r="B38" i="12"/>
  <c r="B86" i="12"/>
  <c r="K86" i="12"/>
  <c r="B134" i="12"/>
  <c r="K134" i="12"/>
  <c r="B74" i="12"/>
  <c r="K74" i="12"/>
  <c r="B122" i="12"/>
  <c r="K122" i="12"/>
  <c r="I19" i="12"/>
  <c r="C122" i="12"/>
  <c r="G122" i="12"/>
  <c r="D134" i="12"/>
  <c r="H134" i="12"/>
  <c r="I128" i="12"/>
  <c r="I132" i="12"/>
  <c r="E134" i="12"/>
  <c r="I129" i="12"/>
  <c r="E122" i="12"/>
  <c r="J122" i="12"/>
  <c r="I117" i="12"/>
  <c r="I121" i="12"/>
  <c r="F134" i="12"/>
  <c r="I130" i="12"/>
  <c r="J134" i="12"/>
  <c r="I133" i="12"/>
  <c r="J110" i="12"/>
  <c r="F122" i="12"/>
  <c r="C134" i="12"/>
  <c r="G134" i="12"/>
  <c r="I131" i="12"/>
  <c r="I116" i="12"/>
  <c r="I120" i="12"/>
  <c r="F110" i="12"/>
  <c r="I108" i="12"/>
  <c r="I119" i="12"/>
  <c r="E86" i="12"/>
  <c r="J86" i="12"/>
  <c r="I85" i="12"/>
  <c r="F98" i="12"/>
  <c r="I97" i="12"/>
  <c r="C110" i="12"/>
  <c r="G110" i="12"/>
  <c r="D122" i="12"/>
  <c r="H122" i="12"/>
  <c r="I118" i="12"/>
  <c r="I127" i="12"/>
  <c r="I105" i="12"/>
  <c r="I109" i="12"/>
  <c r="E110" i="12"/>
  <c r="I107" i="12"/>
  <c r="D110" i="12"/>
  <c r="H110" i="12"/>
  <c r="I106" i="12"/>
  <c r="I115" i="12"/>
  <c r="E98" i="12"/>
  <c r="J98" i="12"/>
  <c r="I81" i="12"/>
  <c r="I93" i="12"/>
  <c r="I104" i="12"/>
  <c r="C98" i="12"/>
  <c r="G98" i="12"/>
  <c r="I94" i="12"/>
  <c r="C86" i="12"/>
  <c r="G86" i="12"/>
  <c r="I91" i="12"/>
  <c r="H98" i="12"/>
  <c r="I92" i="12"/>
  <c r="I95" i="12"/>
  <c r="I96" i="12"/>
  <c r="I103" i="12"/>
  <c r="D98" i="12"/>
  <c r="J74" i="12"/>
  <c r="D74" i="12"/>
  <c r="H74" i="12"/>
  <c r="F86" i="12"/>
  <c r="I84" i="12"/>
  <c r="E62" i="12"/>
  <c r="J62" i="12"/>
  <c r="F74" i="12"/>
  <c r="I83" i="12"/>
  <c r="J50" i="12"/>
  <c r="C74" i="12"/>
  <c r="G74" i="12"/>
  <c r="I70" i="12"/>
  <c r="D86" i="12"/>
  <c r="H86" i="12"/>
  <c r="I80" i="12"/>
  <c r="I82" i="12"/>
  <c r="I69" i="12"/>
  <c r="I72" i="12"/>
  <c r="I73" i="12"/>
  <c r="D62" i="12"/>
  <c r="H62" i="12"/>
  <c r="I57" i="12"/>
  <c r="I61" i="12"/>
  <c r="E74" i="12"/>
  <c r="I71" i="12"/>
  <c r="I79" i="12"/>
  <c r="F62" i="12"/>
  <c r="I49" i="12"/>
  <c r="I58" i="12"/>
  <c r="I68" i="12"/>
  <c r="F50" i="12"/>
  <c r="C62" i="12"/>
  <c r="G62" i="12"/>
  <c r="I59" i="12"/>
  <c r="I56" i="12"/>
  <c r="I60" i="12"/>
  <c r="I67" i="12"/>
  <c r="C50" i="12"/>
  <c r="G50" i="12"/>
  <c r="D50" i="12"/>
  <c r="H50" i="12"/>
  <c r="I48" i="12"/>
  <c r="I55" i="12"/>
  <c r="E50" i="12"/>
  <c r="I31" i="12"/>
  <c r="K13" i="12"/>
  <c r="J13" i="12"/>
  <c r="I8" i="12"/>
  <c r="I10" i="12"/>
  <c r="I12" i="12"/>
  <c r="E13" i="13"/>
  <c r="G13" i="12"/>
  <c r="G13" i="13"/>
  <c r="F13" i="12"/>
  <c r="I7" i="12"/>
  <c r="I11" i="12"/>
  <c r="I9" i="12"/>
  <c r="B13" i="12"/>
  <c r="E13" i="12"/>
  <c r="B13" i="13"/>
  <c r="F13" i="13"/>
  <c r="D13" i="13"/>
  <c r="H13" i="13"/>
  <c r="C13" i="12"/>
  <c r="D122" i="9"/>
  <c r="H122" i="9"/>
  <c r="E122" i="9"/>
  <c r="B122" i="9"/>
  <c r="F122" i="9"/>
  <c r="I115" i="9"/>
  <c r="C122" i="9"/>
  <c r="D86" i="9"/>
  <c r="H86" i="9"/>
  <c r="E86" i="9"/>
  <c r="B86" i="9"/>
  <c r="F86" i="9"/>
  <c r="I79" i="9"/>
  <c r="C86" i="9"/>
  <c r="G74" i="9"/>
  <c r="E74" i="9"/>
  <c r="H74" i="9"/>
  <c r="B74" i="9"/>
  <c r="F74" i="9"/>
  <c r="I67" i="9"/>
  <c r="C74" i="9"/>
  <c r="D62" i="9"/>
  <c r="H62" i="9"/>
  <c r="E62" i="9"/>
  <c r="B62" i="9"/>
  <c r="F62" i="9"/>
  <c r="I55" i="9"/>
  <c r="C62" i="9"/>
  <c r="D13" i="9"/>
  <c r="H13" i="9"/>
  <c r="G13" i="9"/>
  <c r="E13" i="9"/>
  <c r="F13" i="9"/>
  <c r="E122" i="8"/>
  <c r="D122" i="8"/>
  <c r="H122" i="8"/>
  <c r="E134" i="8"/>
  <c r="I129" i="8"/>
  <c r="I133" i="8"/>
  <c r="I116" i="8"/>
  <c r="I118" i="8"/>
  <c r="I120" i="8"/>
  <c r="I128" i="8"/>
  <c r="I132" i="8"/>
  <c r="B122" i="8"/>
  <c r="F134" i="8"/>
  <c r="F122" i="8"/>
  <c r="I127" i="8"/>
  <c r="G134" i="8"/>
  <c r="I131" i="8"/>
  <c r="B134" i="8"/>
  <c r="I115" i="8"/>
  <c r="G122" i="8"/>
  <c r="I117" i="8"/>
  <c r="I119" i="8"/>
  <c r="I121" i="8"/>
  <c r="D134" i="8"/>
  <c r="H134" i="8"/>
  <c r="I130" i="8"/>
  <c r="C134" i="8"/>
  <c r="C122" i="8"/>
  <c r="I10" i="9"/>
  <c r="G50" i="9"/>
  <c r="H38" i="9"/>
  <c r="D38" i="9"/>
  <c r="B152" i="8" l="1"/>
  <c r="B8" i="15" s="1"/>
  <c r="D8" i="15" s="1"/>
  <c r="G155" i="8"/>
  <c r="H152" i="8"/>
  <c r="B153" i="8"/>
  <c r="B9" i="15" s="1"/>
  <c r="G152" i="8"/>
  <c r="H156" i="8"/>
  <c r="B151" i="8"/>
  <c r="B7" i="15" s="1"/>
  <c r="H153" i="8"/>
  <c r="E152" i="8"/>
  <c r="E153" i="8"/>
  <c r="F153" i="8"/>
  <c r="C151" i="8"/>
  <c r="E151" i="8"/>
  <c r="E155" i="8"/>
  <c r="H154" i="8"/>
  <c r="E156" i="8"/>
  <c r="F154" i="8"/>
  <c r="E157" i="8"/>
  <c r="H155" i="8"/>
  <c r="D157" i="8"/>
  <c r="D26" i="15"/>
  <c r="E154" i="8"/>
  <c r="D22" i="15"/>
  <c r="D23" i="15"/>
  <c r="F156" i="8"/>
  <c r="D25" i="15"/>
  <c r="C155" i="8"/>
  <c r="C157" i="8"/>
  <c r="D24" i="15"/>
  <c r="D153" i="8"/>
  <c r="C154" i="8"/>
  <c r="C153" i="8"/>
  <c r="F151" i="8"/>
  <c r="B13" i="8"/>
  <c r="I156" i="12"/>
  <c r="C38" i="15" s="1"/>
  <c r="I152" i="12"/>
  <c r="C34" i="15" s="1"/>
  <c r="I154" i="12"/>
  <c r="C36" i="15" s="1"/>
  <c r="I153" i="12"/>
  <c r="C35" i="15" s="1"/>
  <c r="I151" i="12"/>
  <c r="C33" i="15" s="1"/>
  <c r="I155" i="12"/>
  <c r="C37" i="15" s="1"/>
  <c r="I157" i="12"/>
  <c r="C39" i="15" s="1"/>
  <c r="B135" i="9"/>
  <c r="B27" i="15" s="1"/>
  <c r="F8" i="15"/>
  <c r="I136" i="13"/>
  <c r="E40" i="15" s="1"/>
  <c r="D20" i="15"/>
  <c r="J136" i="13"/>
  <c r="F27" i="15" s="1"/>
  <c r="I134" i="9"/>
  <c r="E26" i="15" s="1"/>
  <c r="I132" i="9"/>
  <c r="E24" i="15" s="1"/>
  <c r="C135" i="9"/>
  <c r="I128" i="9"/>
  <c r="E20" i="15" s="1"/>
  <c r="I130" i="9"/>
  <c r="E22" i="15" s="1"/>
  <c r="H135" i="9"/>
  <c r="E135" i="9"/>
  <c r="I131" i="9"/>
  <c r="E23" i="15" s="1"/>
  <c r="F135" i="9"/>
  <c r="I86" i="9"/>
  <c r="D135" i="9"/>
  <c r="D21" i="15"/>
  <c r="I74" i="9"/>
  <c r="G135" i="9"/>
  <c r="I129" i="9"/>
  <c r="E21" i="15" s="1"/>
  <c r="I133" i="9"/>
  <c r="E25" i="15" s="1"/>
  <c r="D13" i="15"/>
  <c r="D10" i="15"/>
  <c r="I38" i="12"/>
  <c r="I122" i="9"/>
  <c r="D12" i="15"/>
  <c r="F11" i="15"/>
  <c r="C11" i="15"/>
  <c r="D11" i="15" s="1"/>
  <c r="K26" i="12"/>
  <c r="J26" i="12"/>
  <c r="I13" i="12"/>
  <c r="I26" i="12"/>
  <c r="I122" i="12"/>
  <c r="I134" i="12"/>
  <c r="I110" i="12"/>
  <c r="I86" i="12"/>
  <c r="I74" i="12"/>
  <c r="I98" i="12"/>
  <c r="I62" i="12"/>
  <c r="I50" i="12"/>
  <c r="I13" i="13"/>
  <c r="H158" i="12"/>
  <c r="E158" i="12"/>
  <c r="F158" i="12"/>
  <c r="C158" i="12"/>
  <c r="G158" i="12"/>
  <c r="B158" i="12"/>
  <c r="B40" i="15" s="1"/>
  <c r="D158" i="12"/>
  <c r="I62" i="9"/>
  <c r="I122" i="8"/>
  <c r="I134" i="8"/>
  <c r="B26" i="9"/>
  <c r="E38" i="9"/>
  <c r="D50" i="9"/>
  <c r="H50" i="9"/>
  <c r="I46" i="9"/>
  <c r="C26" i="9"/>
  <c r="G26" i="9"/>
  <c r="F38" i="9"/>
  <c r="E50" i="9"/>
  <c r="D26" i="9"/>
  <c r="H26" i="9"/>
  <c r="I31" i="9"/>
  <c r="G38" i="9"/>
  <c r="I35" i="9"/>
  <c r="B50" i="9"/>
  <c r="F50" i="9"/>
  <c r="I20" i="9"/>
  <c r="C13" i="9"/>
  <c r="B13" i="9"/>
  <c r="I8" i="9"/>
  <c r="I12" i="9"/>
  <c r="F26" i="9"/>
  <c r="I24" i="9"/>
  <c r="I7" i="9"/>
  <c r="I11" i="9"/>
  <c r="I21" i="9"/>
  <c r="B38" i="9"/>
  <c r="I9" i="9"/>
  <c r="E26" i="9"/>
  <c r="I23" i="9"/>
  <c r="I34" i="9"/>
  <c r="C38" i="9"/>
  <c r="I45" i="9"/>
  <c r="I49" i="9"/>
  <c r="C50" i="9"/>
  <c r="I22" i="9"/>
  <c r="I33" i="9"/>
  <c r="I37" i="9"/>
  <c r="I44" i="9"/>
  <c r="I48" i="9"/>
  <c r="I6" i="9"/>
  <c r="I19" i="9"/>
  <c r="I25" i="9"/>
  <c r="I32" i="9"/>
  <c r="I36" i="9"/>
  <c r="I43" i="9"/>
  <c r="I47" i="9"/>
  <c r="I151" i="8" l="1"/>
  <c r="D9" i="15"/>
  <c r="D27" i="15"/>
  <c r="G22" i="15"/>
  <c r="I13" i="9"/>
  <c r="G24" i="15"/>
  <c r="G26" i="15"/>
  <c r="G25" i="15"/>
  <c r="G23" i="15"/>
  <c r="G20" i="15"/>
  <c r="I135" i="9"/>
  <c r="E27" i="15" s="1"/>
  <c r="G21" i="15"/>
  <c r="C7" i="15"/>
  <c r="D7" i="15" s="1"/>
  <c r="K38" i="12"/>
  <c r="J38" i="12"/>
  <c r="F7" i="15"/>
  <c r="I158" i="12"/>
  <c r="C40" i="15" s="1"/>
  <c r="I26" i="9"/>
  <c r="I108" i="8"/>
  <c r="I104" i="8"/>
  <c r="I50" i="9"/>
  <c r="I38" i="9"/>
  <c r="I107" i="8"/>
  <c r="I105" i="8"/>
  <c r="I106" i="8"/>
  <c r="I94" i="8"/>
  <c r="G74" i="8"/>
  <c r="D110" i="8"/>
  <c r="E110" i="8"/>
  <c r="G110" i="8"/>
  <c r="B110" i="8"/>
  <c r="I109" i="8"/>
  <c r="I67" i="8"/>
  <c r="I71" i="8"/>
  <c r="F110" i="8"/>
  <c r="H110" i="8"/>
  <c r="I103" i="8"/>
  <c r="C110" i="8"/>
  <c r="D98" i="8"/>
  <c r="H98" i="8"/>
  <c r="G62" i="8"/>
  <c r="I61" i="8"/>
  <c r="I60" i="8"/>
  <c r="I57" i="8"/>
  <c r="I56" i="8"/>
  <c r="E98" i="8"/>
  <c r="I93" i="8"/>
  <c r="I97" i="8"/>
  <c r="D74" i="8"/>
  <c r="H74" i="8"/>
  <c r="I70" i="8"/>
  <c r="G86" i="8"/>
  <c r="I83" i="8"/>
  <c r="B98" i="8"/>
  <c r="F98" i="8"/>
  <c r="I92" i="8"/>
  <c r="I96" i="8"/>
  <c r="E74" i="8"/>
  <c r="I69" i="8"/>
  <c r="I73" i="8"/>
  <c r="I91" i="8"/>
  <c r="G98" i="8"/>
  <c r="I95" i="8"/>
  <c r="B74" i="8"/>
  <c r="F74" i="8"/>
  <c r="I68" i="8"/>
  <c r="I72" i="8"/>
  <c r="C74" i="8"/>
  <c r="C98" i="8"/>
  <c r="I79" i="8"/>
  <c r="I59" i="8"/>
  <c r="I58" i="8"/>
  <c r="D86" i="8"/>
  <c r="H86" i="8"/>
  <c r="I82" i="8"/>
  <c r="G50" i="8"/>
  <c r="E86" i="8"/>
  <c r="I81" i="8"/>
  <c r="I85" i="8"/>
  <c r="B86" i="8"/>
  <c r="F86" i="8"/>
  <c r="I80" i="8"/>
  <c r="I84" i="8"/>
  <c r="C86" i="8"/>
  <c r="D62" i="8"/>
  <c r="H62" i="8"/>
  <c r="E62" i="8"/>
  <c r="B62" i="8"/>
  <c r="F62" i="8"/>
  <c r="I55" i="8"/>
  <c r="C62" i="8"/>
  <c r="I47" i="8"/>
  <c r="I43" i="8"/>
  <c r="D50" i="8"/>
  <c r="H50" i="8"/>
  <c r="I46" i="8"/>
  <c r="E50" i="8"/>
  <c r="I45" i="8"/>
  <c r="I49" i="8"/>
  <c r="B50" i="8"/>
  <c r="F50" i="8"/>
  <c r="I44" i="8"/>
  <c r="I48" i="8"/>
  <c r="C50" i="8"/>
  <c r="G27" i="15" l="1"/>
  <c r="K158" i="12"/>
  <c r="C14" i="15" s="1"/>
  <c r="J158" i="12"/>
  <c r="F14" i="15" s="1"/>
  <c r="I110" i="8"/>
  <c r="I74" i="8"/>
  <c r="I98" i="8"/>
  <c r="I86" i="8"/>
  <c r="I62" i="8"/>
  <c r="I50" i="8"/>
  <c r="G38" i="8"/>
  <c r="I31" i="8"/>
  <c r="E38" i="8"/>
  <c r="I33" i="8"/>
  <c r="I37" i="8"/>
  <c r="B38" i="8"/>
  <c r="F38" i="8"/>
  <c r="I32" i="8"/>
  <c r="D38" i="8"/>
  <c r="H38" i="8"/>
  <c r="I36" i="8"/>
  <c r="I35" i="8"/>
  <c r="I34" i="8"/>
  <c r="C38" i="8"/>
  <c r="I24" i="8"/>
  <c r="I20" i="8"/>
  <c r="I11" i="8"/>
  <c r="D26" i="8"/>
  <c r="H26" i="8"/>
  <c r="I25" i="8"/>
  <c r="I23" i="8"/>
  <c r="I22" i="8"/>
  <c r="I21" i="8"/>
  <c r="I9" i="8"/>
  <c r="G26" i="8"/>
  <c r="E26" i="8"/>
  <c r="B26" i="8"/>
  <c r="F26" i="8"/>
  <c r="I19" i="8"/>
  <c r="C26" i="8"/>
  <c r="H13" i="8"/>
  <c r="G13" i="8"/>
  <c r="I12" i="8"/>
  <c r="I8" i="8"/>
  <c r="I7" i="8"/>
  <c r="F13" i="8"/>
  <c r="I10" i="8"/>
  <c r="E13" i="8"/>
  <c r="D13" i="8"/>
  <c r="C13" i="8"/>
  <c r="I6" i="8"/>
  <c r="I156" i="8" l="1"/>
  <c r="E12" i="15" s="1"/>
  <c r="E158" i="8"/>
  <c r="I152" i="8"/>
  <c r="E8" i="15" s="1"/>
  <c r="C158" i="8"/>
  <c r="I157" i="8"/>
  <c r="E13" i="15" s="1"/>
  <c r="I153" i="8"/>
  <c r="E9" i="15" s="1"/>
  <c r="H158" i="8"/>
  <c r="E7" i="15"/>
  <c r="I154" i="8"/>
  <c r="D158" i="8"/>
  <c r="F158" i="8"/>
  <c r="I155" i="8"/>
  <c r="E11" i="15" s="1"/>
  <c r="G158" i="8"/>
  <c r="I38" i="8"/>
  <c r="I26" i="8"/>
  <c r="I13" i="8"/>
  <c r="G11" i="15" l="1"/>
  <c r="G9" i="15"/>
  <c r="G12" i="15"/>
  <c r="G13" i="15"/>
  <c r="G7" i="15"/>
  <c r="E10" i="15"/>
  <c r="G8" i="15"/>
  <c r="I158" i="8"/>
  <c r="E14" i="15" s="1"/>
  <c r="B158" i="8"/>
  <c r="B14" i="15" s="1"/>
  <c r="D14" i="15" l="1"/>
  <c r="G14" i="15"/>
  <c r="G10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Cinthia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Digitar o código do sistema gerado pelo Sistema de Projetos, para manter a rastreabilidade.</t>
        </r>
      </text>
    </comment>
    <comment ref="C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RP = Registro principal, Colocar:
S = Sim
N = Não
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Preencher apenas o nome do coordenador. No caso de coordenação externa, preencher o nome do responsável do Ital
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Preencher modalidade, conforme proposta.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Preencher "Não se aplica" caso não tenha preenchido as opções:
- Projeto de bolsa independente
- Bolsa vinculada a projeto existente.</t>
        </r>
      </text>
    </comment>
    <comment ref="K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PI - Propriedade Intelectual
S = Sim
N = Não
</t>
        </r>
      </text>
    </comment>
    <comment ref="L5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PPG: Projeto vinculado à Pós-Graduação Ital
S = Sim
N = Não</t>
        </r>
      </text>
    </comment>
    <comment ref="M5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N5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
</t>
        </r>
      </text>
    </comment>
    <comment ref="O5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P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Q5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Orientação: 
</t>
        </r>
        <r>
          <rPr>
            <sz val="9"/>
            <color indexed="81"/>
            <rFont val="Tahoma"/>
            <family val="2"/>
          </rPr>
          <t xml:space="preserve">Converter os valores apresentados em moeda estrangeira para R$ e lançar o valor total.
</t>
        </r>
      </text>
    </comment>
    <comment ref="R5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Converter os valores apresentados em moeda estrangeira para R$ e lançar o valor total.
</t>
        </r>
      </text>
    </comment>
    <comment ref="U5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Preencher somente se situação for "Aprovado" ou "Negado"</t>
        </r>
      </text>
    </comment>
    <comment ref="V5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Utilize esse espaço para registrar informações relevantes, que não constem nos outros campos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Cinthia</author>
    <author>Cinthia - RA</author>
  </authors>
  <commentList>
    <comment ref="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RP = Registro principal, Colocar:
S = Sim
N = Não
</t>
        </r>
      </text>
    </comment>
    <comment ref="E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Digitar o código do sistema gerado pelo Sistema de Projetos, para manter a rastreabilidade.</t>
        </r>
      </text>
    </comment>
    <comment ref="F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Selecionar FQ-07.02 ou FQ-07.11
</t>
        </r>
      </text>
    </comment>
    <comment ref="H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Preencher apenas o nome do coordenador. No caso de coordenação externa, preencher o nome do responsável do Ital
</t>
        </r>
      </text>
    </comment>
    <comment ref="K6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Preencher modalidade com uma das opções da lista suspensa.</t>
        </r>
      </text>
    </comment>
    <comment ref="L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Preencher "Não se aplica" caso não tenha preenchido as opções:
- Projeto de bolsa independente
- Bolsa vinculada a projeto existente.</t>
        </r>
      </text>
    </comment>
    <comment ref="M6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PI - Propriedade Intelectual
S = Sim
N = Não
</t>
        </r>
      </text>
    </comment>
    <comment ref="N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PPG: Projeto vinculado à Pós-Graduação Ital
S = Sim
N = Não</t>
        </r>
      </text>
    </comment>
    <comment ref="O6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P6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
</t>
        </r>
      </text>
    </comment>
    <comment ref="Q6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R6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Converter os valores apresentados em moeda estrangeira para R$ e lançar o valor total.</t>
        </r>
      </text>
    </comment>
    <comment ref="S6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Orientação: 
</t>
        </r>
        <r>
          <rPr>
            <sz val="9"/>
            <color indexed="81"/>
            <rFont val="Tahoma"/>
            <family val="2"/>
          </rPr>
          <t xml:space="preserve">Converter os valores apresentados em moeda estrangeira para R$ e lançar o valor total.
</t>
        </r>
      </text>
    </comment>
    <comment ref="T6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 xml:space="preserve">Orientação:
</t>
        </r>
        <r>
          <rPr>
            <sz val="9"/>
            <color indexed="81"/>
            <rFont val="Tahoma"/>
            <family val="2"/>
          </rPr>
          <t xml:space="preserve">Converter os valores apresentados em moeda estrangeira para R$ e lançar o valor total.
</t>
        </r>
      </text>
    </comment>
    <comment ref="V6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Orientação:</t>
        </r>
        <r>
          <rPr>
            <sz val="9"/>
            <color indexed="81"/>
            <rFont val="Tahoma"/>
            <family val="2"/>
          </rPr>
          <t xml:space="preserve">
Utilize esse espaço para registrar informações relevantes, que não constem nos outros campos</t>
        </r>
      </text>
    </comment>
    <comment ref="W6" authorId="1" shapeId="0" xr:uid="{467A1A5F-75F2-4AC5-B2D6-F08C01666CB2}">
      <text>
        <r>
          <rPr>
            <b/>
            <sz val="9"/>
            <color indexed="81"/>
            <rFont val="Segoe UI"/>
            <family val="2"/>
          </rPr>
          <t>Cinthia - RA:</t>
        </r>
        <r>
          <rPr>
            <sz val="9"/>
            <color indexed="81"/>
            <rFont val="Segoe UI"/>
            <family val="2"/>
          </rPr>
          <t xml:space="preserve">
Digitar data no formato DD/MM/AAAA, após concluído preencher este campo com "Concluído".</t>
        </r>
      </text>
    </comment>
  </commentList>
</comments>
</file>

<file path=xl/sharedStrings.xml><?xml version="1.0" encoding="utf-8"?>
<sst xmlns="http://schemas.openxmlformats.org/spreadsheetml/2006/main" count="1107" uniqueCount="160">
  <si>
    <t>CCQA</t>
  </si>
  <si>
    <t>CTC</t>
  </si>
  <si>
    <t>DG</t>
  </si>
  <si>
    <t>Tecnolat</t>
  </si>
  <si>
    <t>Fruthotec</t>
  </si>
  <si>
    <t>Cetea</t>
  </si>
  <si>
    <t>Ital</t>
  </si>
  <si>
    <t>CÓDIGO FOM</t>
  </si>
  <si>
    <t>FQ</t>
  </si>
  <si>
    <t>TÍTULO</t>
  </si>
  <si>
    <t>UNIDADE</t>
  </si>
  <si>
    <t>AGÊNCIA</t>
  </si>
  <si>
    <t>COORDENADOR</t>
  </si>
  <si>
    <t>INFORMAÇÕES CADASTRAIS</t>
  </si>
  <si>
    <t>Recursos solicitados</t>
  </si>
  <si>
    <t>PI</t>
  </si>
  <si>
    <t>Bolsa</t>
  </si>
  <si>
    <t xml:space="preserve">Pessoal </t>
  </si>
  <si>
    <t>Custeio</t>
  </si>
  <si>
    <t>Investimentos</t>
  </si>
  <si>
    <t>Reserva técnica</t>
  </si>
  <si>
    <t>Provisão de importação</t>
  </si>
  <si>
    <t>Observações</t>
  </si>
  <si>
    <t>Recursos aprovados</t>
  </si>
  <si>
    <t>ANO DE ENVIO DA PROPOSTA</t>
  </si>
  <si>
    <t>Unidade</t>
  </si>
  <si>
    <t>Cereal Chocotec</t>
  </si>
  <si>
    <t>Quantidade</t>
  </si>
  <si>
    <t>Valor total</t>
  </si>
  <si>
    <t>Modalidade</t>
  </si>
  <si>
    <t>Tipo de bolsa</t>
  </si>
  <si>
    <t>PPG</t>
  </si>
  <si>
    <t>RP</t>
  </si>
  <si>
    <t>CONTROLE DE PROJETOS, BOLSAS  E DEMAIS AUXÍLIO (FOMENTO E OUTROS RECURSOS)</t>
  </si>
  <si>
    <t>A2. PROPOSTAS ENVIADAS NO ANO - PROJETOS DE BOLSAS INDEPENDENTES</t>
  </si>
  <si>
    <t>A3. PROPOSTAS ENVIADAS NO ANO - BOLSAS VINCULADAS A PROJETOS EXISTENTES</t>
  </si>
  <si>
    <t>A4. PROPOSTAS ENVIADAS NO ANO - PROJETOS INSTITUCIONAIS</t>
  </si>
  <si>
    <t>A5. PROPOSTAS ENVIADAS NO ANO - AUXÍLIO VIAGEM</t>
  </si>
  <si>
    <t>A7. PROPOSTAS ENVIADAS NO ANO - AUXÍLIO EVENTOS</t>
  </si>
  <si>
    <t>A8. PROPOSTAS ENVIADAS NO ANO - INFRAESTRUTURA</t>
  </si>
  <si>
    <t>A. RELATÓRIO DE PROPOSTAS ENVIADAS - POR MODALIDADE</t>
  </si>
  <si>
    <t>B. RELATÓRIO DE PROPOSTAS ENVIADAS - TIPO DE BOLSA</t>
  </si>
  <si>
    <t>CADASTRO SGP nº</t>
  </si>
  <si>
    <t>Data de conclusão</t>
  </si>
  <si>
    <t>Situação</t>
  </si>
  <si>
    <t>Data da aprovação ou negativa</t>
  </si>
  <si>
    <t>Projeto de pesquisa (P&amp;D)</t>
  </si>
  <si>
    <t>Projeto institucional</t>
  </si>
  <si>
    <t>Infraestrutura</t>
  </si>
  <si>
    <t>Agências</t>
  </si>
  <si>
    <t>Fapesp</t>
  </si>
  <si>
    <t>Finep</t>
  </si>
  <si>
    <t>CNPq</t>
  </si>
  <si>
    <t>Capes</t>
  </si>
  <si>
    <t>Embrapa</t>
  </si>
  <si>
    <t>Outra</t>
  </si>
  <si>
    <t>Modalidades</t>
  </si>
  <si>
    <t>Projeto de bolsa independente</t>
  </si>
  <si>
    <t>Auxílio Jovem Pesquisador</t>
  </si>
  <si>
    <t>Auxílio eventos</t>
  </si>
  <si>
    <t>Auxílio viagem</t>
  </si>
  <si>
    <t>Conserto de equipamento</t>
  </si>
  <si>
    <t>Pesquisador Visitante</t>
  </si>
  <si>
    <t>Mestrado</t>
  </si>
  <si>
    <t>Doutorado</t>
  </si>
  <si>
    <t>Pós-doutorado</t>
  </si>
  <si>
    <t>Pibic</t>
  </si>
  <si>
    <t>Pibiti</t>
  </si>
  <si>
    <t>Iniciação científica Fapesp</t>
  </si>
  <si>
    <t>Treinamento técnico</t>
  </si>
  <si>
    <t>Outro</t>
  </si>
  <si>
    <t>Não se aplica</t>
  </si>
  <si>
    <t>Aprovado</t>
  </si>
  <si>
    <t>Bolsa vinculada a projeto existente</t>
  </si>
  <si>
    <t>A6. PROPOSTAS ENVIADAS NO ANO - CONSERTO DE EQUIPAMENTOS</t>
  </si>
  <si>
    <t>A9. PROPOSTAS ENVIADAS NO ANO -  AUXÍLIO JOVEM PESQUISADOR</t>
  </si>
  <si>
    <r>
      <t xml:space="preserve">A10. PROPOSTAS ENVIADAS NO ANO - </t>
    </r>
    <r>
      <rPr>
        <b/>
        <sz val="10"/>
        <color rgb="FF00B050"/>
        <rFont val="Arial"/>
        <family val="2"/>
      </rPr>
      <t>PESQUISADOR VISITANTE</t>
    </r>
  </si>
  <si>
    <t>A11. PROPOSTAS ENVIADAS NO ANO - OUTRAS</t>
  </si>
  <si>
    <r>
      <t xml:space="preserve">B7. PROPOSTAS DE BOLSAS  ENVIADAS NO ANO - </t>
    </r>
    <r>
      <rPr>
        <b/>
        <sz val="10"/>
        <color rgb="FFFF0000"/>
        <rFont val="Arial"/>
        <family val="2"/>
      </rPr>
      <t>INICIAÇÃO CIENTÍFICA FAPESP</t>
    </r>
  </si>
  <si>
    <r>
      <t xml:space="preserve">B6. PROPOSTAS DE BOLSAS ENVIADAS NO ANO - </t>
    </r>
    <r>
      <rPr>
        <b/>
        <sz val="10"/>
        <color rgb="FFFF0000"/>
        <rFont val="Arial"/>
        <family val="2"/>
      </rPr>
      <t>TREINAMENTO TÉCNICO</t>
    </r>
  </si>
  <si>
    <r>
      <t xml:space="preserve">B5. PROPOSTAS DE BOLSAS ENVIADAS NO ANO - </t>
    </r>
    <r>
      <rPr>
        <b/>
        <sz val="10"/>
        <color rgb="FFFF0000"/>
        <rFont val="Arial"/>
        <family val="2"/>
      </rPr>
      <t>PÓS-DOUTORADO</t>
    </r>
  </si>
  <si>
    <r>
      <t xml:space="preserve">B4. PROPOSTAS DE BOLSAS ENVIADAS NO ANO - </t>
    </r>
    <r>
      <rPr>
        <b/>
        <sz val="10"/>
        <color rgb="FFFF0000"/>
        <rFont val="Arial"/>
        <family val="2"/>
      </rPr>
      <t>MESTRADO</t>
    </r>
  </si>
  <si>
    <r>
      <t xml:space="preserve">B2. PROPOSTAS DE BOLSAS ENVIADAS NO ANO - </t>
    </r>
    <r>
      <rPr>
        <b/>
        <sz val="10"/>
        <color rgb="FFFF0000"/>
        <rFont val="Arial"/>
        <family val="2"/>
      </rPr>
      <t>BOLSAS PIBITI</t>
    </r>
  </si>
  <si>
    <r>
      <t xml:space="preserve">B3. PROPOSTAS DE BOLSAS ENVIADAS NO ANO - </t>
    </r>
    <r>
      <rPr>
        <b/>
        <sz val="10"/>
        <color rgb="FFFF0000"/>
        <rFont val="Arial"/>
        <family val="2"/>
      </rPr>
      <t>DOUTORADO</t>
    </r>
  </si>
  <si>
    <r>
      <t xml:space="preserve">B1. PROPOSTAS DE BOLSAS ENVIADAS NO ANO - </t>
    </r>
    <r>
      <rPr>
        <b/>
        <sz val="10"/>
        <color rgb="FFFF0000"/>
        <rFont val="Arial"/>
        <family val="2"/>
      </rPr>
      <t>BOLSA PIBIC</t>
    </r>
  </si>
  <si>
    <t>C. RELATÓRIO DE PROPOSTAS APROVADAS - POR MODALIDADE</t>
  </si>
  <si>
    <t>C2. PROPOSTAS APROVADAS NO ANO - PROJETOS DE BOLSAS INDEPENDENTES</t>
  </si>
  <si>
    <t>C3. PROPOSTAS APROVADAS NO ANO - BOLSAS VINCULADAS A PROJETOS EXISTENTES</t>
  </si>
  <si>
    <t>C4. PROPOSTAS APROVADAS NO ANO - PROJETOS INSTITUCIONAIS</t>
  </si>
  <si>
    <t>C5. PROPOSTAS APROVADAS NO ANO - AUXÍLIO VIAGEM</t>
  </si>
  <si>
    <t>C6. PROPOSTAS APROVADAS NO ANO - CONSERTO DE EQUIPAMENTOS</t>
  </si>
  <si>
    <t>C7. PROPOSTAS APROVADAS NO ANO - AUXÍLIO EVENTOS</t>
  </si>
  <si>
    <t>C8. PROPOSTAS APROVADAS NO ANO - INFRAESTRUTURA</t>
  </si>
  <si>
    <t>C9. PROPOSTAS APROVADAS NO ANO -  AUXÍLIO JOVEM PESQUISADOR</t>
  </si>
  <si>
    <t>C10. PROPOSTAS APROVADAS NO ANO - PESQUISADOR VISITANTE</t>
  </si>
  <si>
    <t>C11. PROPOSTAS APROVADAS NO ANO - OUTRAS</t>
  </si>
  <si>
    <t>1. Aprovado e enviado dentro do ano</t>
  </si>
  <si>
    <t>Enviada</t>
  </si>
  <si>
    <t>Aprovada</t>
  </si>
  <si>
    <t>%</t>
  </si>
  <si>
    <t>Valor</t>
  </si>
  <si>
    <t>Enviado</t>
  </si>
  <si>
    <t>Por Modalidade</t>
  </si>
  <si>
    <t>Por tipo de bolsa</t>
  </si>
  <si>
    <t>ANO:</t>
  </si>
  <si>
    <t>Total</t>
  </si>
  <si>
    <t>2. Total aprovado</t>
  </si>
  <si>
    <t>Produtividade científica</t>
  </si>
  <si>
    <t>Produtividade tecnológica</t>
  </si>
  <si>
    <r>
      <t xml:space="preserve">B8. PROPOSTAS DE BOLSAS  ENVIADAS NO ANO - </t>
    </r>
    <r>
      <rPr>
        <b/>
        <sz val="10"/>
        <color rgb="FFFF0000"/>
        <rFont val="Arial"/>
        <family val="2"/>
      </rPr>
      <t>PRODUTIVIDADE CIENTÍFICA</t>
    </r>
  </si>
  <si>
    <r>
      <t xml:space="preserve">B9. PROPOSTAS DE BOLSAS  ENVIADAS NO ANO - </t>
    </r>
    <r>
      <rPr>
        <b/>
        <sz val="10"/>
        <color rgb="FFFF0000"/>
        <rFont val="Arial"/>
        <family val="2"/>
      </rPr>
      <t>PRODUTIVIDADE TECNOLÓGICA</t>
    </r>
  </si>
  <si>
    <r>
      <rPr>
        <b/>
        <sz val="12"/>
        <color rgb="FF0066CC"/>
        <rFont val="Arial"/>
        <family val="2"/>
      </rPr>
      <t xml:space="preserve">PROPOSTAS APROVADAS </t>
    </r>
    <r>
      <rPr>
        <b/>
        <sz val="12"/>
        <color rgb="FF00B050"/>
        <rFont val="Arial"/>
        <family val="2"/>
      </rPr>
      <t xml:space="preserve">- Orientação: </t>
    </r>
    <r>
      <rPr>
        <sz val="12"/>
        <color rgb="FF00B050"/>
        <rFont val="Arial"/>
        <family val="2"/>
      </rPr>
      <t>cadastrar nessa planilha apenas as propostas aprovadas no ano referenciado no cabeçalho.</t>
    </r>
  </si>
  <si>
    <t>Projeto bolsa independente</t>
  </si>
  <si>
    <t>Pibit</t>
  </si>
  <si>
    <t>Projeto de Pesquisa
Nº</t>
  </si>
  <si>
    <t>Pesquisa</t>
  </si>
  <si>
    <t>Bolsa independente</t>
  </si>
  <si>
    <t>Bolsa vinculada a projeto</t>
  </si>
  <si>
    <t>Valor de Projeto de pesquisa (exceto bolsa)</t>
  </si>
  <si>
    <t>DATA DE CADASTRO</t>
  </si>
  <si>
    <t>DATA DE APROVAÇÃO</t>
  </si>
  <si>
    <t>Enviados</t>
  </si>
  <si>
    <t>Aprovados</t>
  </si>
  <si>
    <t>3. Propriedade intelectual (PI)</t>
  </si>
  <si>
    <t>4. Projetos vinculados à Pós-Graduação do Ital (PPG)</t>
  </si>
  <si>
    <t>Legendas:</t>
  </si>
  <si>
    <r>
      <t>Valor total</t>
    </r>
    <r>
      <rPr>
        <b/>
        <sz val="8"/>
        <rFont val="Arial"/>
        <family val="2"/>
      </rPr>
      <t xml:space="preserve"> 
(Enviado e aprovado dentro do ano)</t>
    </r>
  </si>
  <si>
    <r>
      <t xml:space="preserve">Quantidade
</t>
    </r>
    <r>
      <rPr>
        <b/>
        <sz val="8"/>
        <rFont val="Arial"/>
        <family val="2"/>
      </rPr>
      <t xml:space="preserve">(Enviado e aprovado dentro do ano) </t>
    </r>
  </si>
  <si>
    <t>D. RELATÓRIO DE PROPOSTAS APROVADAS - TIPO DE BOLSA</t>
  </si>
  <si>
    <r>
      <t xml:space="preserve">D1. PROPOSTAS DE BOLSAS APROVADAS NO ANO - </t>
    </r>
    <r>
      <rPr>
        <b/>
        <sz val="10"/>
        <color rgb="FFFF0000"/>
        <rFont val="Arial"/>
        <family val="2"/>
      </rPr>
      <t>BOLSA PIBIC</t>
    </r>
  </si>
  <si>
    <r>
      <t xml:space="preserve">D2. PROPOSTAS DE BOLSAS APROVADAS NO ANO - </t>
    </r>
    <r>
      <rPr>
        <b/>
        <sz val="10"/>
        <color rgb="FFFF0000"/>
        <rFont val="Arial"/>
        <family val="2"/>
      </rPr>
      <t>BOLSAS PIBITI</t>
    </r>
  </si>
  <si>
    <r>
      <t xml:space="preserve">D3. PROPOSTAS DE BOLSAS APROVADAS NO ANO - </t>
    </r>
    <r>
      <rPr>
        <b/>
        <sz val="10"/>
        <color rgb="FFFF0000"/>
        <rFont val="Arial"/>
        <family val="2"/>
      </rPr>
      <t>DOUTORADO</t>
    </r>
  </si>
  <si>
    <r>
      <t xml:space="preserve">D4. PROPOSTAS DE BOLSAS APROVADAS NO ANO - </t>
    </r>
    <r>
      <rPr>
        <b/>
        <sz val="10"/>
        <color rgb="FFFF0000"/>
        <rFont val="Arial"/>
        <family val="2"/>
      </rPr>
      <t>MESTRADO</t>
    </r>
  </si>
  <si>
    <r>
      <t xml:space="preserve">D5. PROPOSTAS DE BOLSAS APROVADAS NO ANO - </t>
    </r>
    <r>
      <rPr>
        <b/>
        <sz val="10"/>
        <color rgb="FFFF0000"/>
        <rFont val="Arial"/>
        <family val="2"/>
      </rPr>
      <t>PÓS-DOUTORADO</t>
    </r>
  </si>
  <si>
    <r>
      <t xml:space="preserve">D6. PROPOSTAS DE BOLSAS APROVADAS NO ANO - </t>
    </r>
    <r>
      <rPr>
        <b/>
        <sz val="10"/>
        <color rgb="FFFF0000"/>
        <rFont val="Arial"/>
        <family val="2"/>
      </rPr>
      <t>TREINAMENTO TÉCNICO</t>
    </r>
  </si>
  <si>
    <r>
      <t xml:space="preserve">D7. PROPOSTAS DE BOLSAS  APROVADAS NO ANO - </t>
    </r>
    <r>
      <rPr>
        <b/>
        <sz val="10"/>
        <color rgb="FFFF0000"/>
        <rFont val="Arial"/>
        <family val="2"/>
      </rPr>
      <t>INICIAÇÃO CIENTÍFICA FAPESP</t>
    </r>
  </si>
  <si>
    <r>
      <t xml:space="preserve">D8. PROPOSTAS DE BOLSAS APROVADAS NO ANO - </t>
    </r>
    <r>
      <rPr>
        <b/>
        <sz val="10"/>
        <color rgb="FFFF0000"/>
        <rFont val="Arial"/>
        <family val="2"/>
      </rPr>
      <t>PRODUTIVIDADE CIENTÍFICA</t>
    </r>
  </si>
  <si>
    <r>
      <t xml:space="preserve">D9. PROPOSTAS DE BOLSAS APROVADAS NO ANO - </t>
    </r>
    <r>
      <rPr>
        <b/>
        <sz val="10"/>
        <color rgb="FFFF0000"/>
        <rFont val="Arial"/>
        <family val="2"/>
      </rPr>
      <t>PRODUTIVIDADE TECNOLÓGICA</t>
    </r>
  </si>
  <si>
    <r>
      <t xml:space="preserve">D10. PROPOSTAS DE BOLSAS APROVADAS NO ANO - </t>
    </r>
    <r>
      <rPr>
        <b/>
        <sz val="10"/>
        <color rgb="FFFF0000"/>
        <rFont val="Arial"/>
        <family val="2"/>
      </rPr>
      <t>OUTRO</t>
    </r>
  </si>
  <si>
    <t>CONTROLE DE PROJETOS, BOLSAS  E DEMAIS AUXÍLIOS (FOMENTO E OUTROS RECURSOS)</t>
  </si>
  <si>
    <r>
      <t xml:space="preserve">B10. PROPOSTAS DE BOLSAS ENVIADAS NO ANO - </t>
    </r>
    <r>
      <rPr>
        <b/>
        <sz val="10"/>
        <color rgb="FFFF0000"/>
        <rFont val="Arial"/>
        <family val="2"/>
      </rPr>
      <t>OUTRO</t>
    </r>
  </si>
  <si>
    <t>Auxílio publicação</t>
  </si>
  <si>
    <r>
      <t xml:space="preserve">A1. PROPOSTAS ENVIADAS NO ANO - PROJETOS DE PESQUISA (P&amp;D) - </t>
    </r>
    <r>
      <rPr>
        <b/>
        <sz val="10"/>
        <color rgb="FFFF6600"/>
        <rFont val="Arial"/>
        <family val="2"/>
      </rPr>
      <t>inclui auxílio Jovem Pesquisador</t>
    </r>
  </si>
  <si>
    <r>
      <t xml:space="preserve">B11. </t>
    </r>
    <r>
      <rPr>
        <b/>
        <sz val="10"/>
        <color rgb="FFFF0000"/>
        <rFont val="Arial"/>
        <family val="2"/>
      </rPr>
      <t xml:space="preserve">TOTAL </t>
    </r>
    <r>
      <rPr>
        <b/>
        <sz val="10"/>
        <color rgb="FF0070C0"/>
        <rFont val="Arial"/>
        <family val="2"/>
      </rPr>
      <t xml:space="preserve">DE PROPOSTAS DE BOLSAS ENVIADAS NO ANO </t>
    </r>
  </si>
  <si>
    <r>
      <t xml:space="preserve">C1. PROPOSTAS APROVADAS NO ANO - PROJETOS DE PESQUISA (P&amp;D) </t>
    </r>
    <r>
      <rPr>
        <b/>
        <sz val="10"/>
        <color rgb="FFFF6600"/>
        <rFont val="Arial"/>
        <family val="2"/>
      </rPr>
      <t>- inclui auxílio Jovem Pesquisador</t>
    </r>
  </si>
  <si>
    <r>
      <t xml:space="preserve">D11. </t>
    </r>
    <r>
      <rPr>
        <b/>
        <sz val="10"/>
        <color rgb="FFFF0000"/>
        <rFont val="Arial"/>
        <family val="2"/>
      </rPr>
      <t xml:space="preserve">TOTAL </t>
    </r>
    <r>
      <rPr>
        <b/>
        <sz val="10"/>
        <color rgb="FF0070C0"/>
        <rFont val="Arial"/>
        <family val="2"/>
      </rPr>
      <t xml:space="preserve">DE PROPOSTAS DE BOLSAS APROVADAS NO ANO </t>
    </r>
  </si>
  <si>
    <t>A12. PROPOSTAS ENVIADAS NO ANO - AUXÍLIO PUBLICAÇÃO</t>
  </si>
  <si>
    <t>A13. TOTAL DE PROPOSTAS ENVIADAS NO ANO</t>
  </si>
  <si>
    <t>C13. TOTAL DE PROPOSTAS APROVADAS NO ANO</t>
  </si>
  <si>
    <t>C12. PROPOSTAS APROVADAS NO ANO - AUXÍLIO PUBLICAÇÃO</t>
  </si>
  <si>
    <t>Previsão de conclusão</t>
  </si>
  <si>
    <r>
      <t xml:space="preserve">Cancelado em:
</t>
    </r>
    <r>
      <rPr>
        <sz val="10"/>
        <rFont val="Arial"/>
        <family val="2"/>
      </rPr>
      <t>(Preencher justificativa no campo observações)</t>
    </r>
  </si>
  <si>
    <t>FQ-07.54 (anexo ao PQ-07.02) - RA - revisão 03 de 02/02/26 - Página 2/8</t>
  </si>
  <si>
    <t>FQ-07.54 (anexo ao PQ-07.02) - RA - revisão 03 de 02/02/26 - Página 1/8</t>
  </si>
  <si>
    <t>FQ-07.54 (anexo ao PQ-07.02) - RA - revisão 03 de 02/02/26 - Página 3/8</t>
  </si>
  <si>
    <t>FQ-07.54 (anexo ao PQ-07.02) - RA - revisão 03 de 02/02/26 - Página 4/8</t>
  </si>
  <si>
    <t>FQ-07.54 (anexo ao PQ-07.02) - RA - revisão 03 de 02/02/26 - Página 5/8</t>
  </si>
  <si>
    <t>FQ-07.54 (anexo ao PQ-07.02) - RA - revisão 03 de 02/02/26 - Página 6/8</t>
  </si>
  <si>
    <t>FQ-07.54 (anexo ao PQ-07.02) - RA - revisão 03 de 02/02/26 - Página 7/8</t>
  </si>
  <si>
    <t>FQ-07.54 (anexo ao PQ-07.02) - RA - revisão 03 de 02/02/26 - Página 8/8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</si>
</sst>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4" x14ac:knownFonts="1">
    <font>
      <sz val="10"/>
      <name val="Arial"/>
    </font>
    <font>
      <sz val="10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61"/>
      <name val="Arial"/>
      <family val="2"/>
    </font>
    <font>
      <sz val="18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color indexed="61"/>
      <name val="Franklin Gothic Book"/>
      <family val="1"/>
      <scheme val="minor"/>
    </font>
    <font>
      <sz val="10"/>
      <name val="Franklin Gothic Book"/>
      <family val="1"/>
      <scheme val="minor"/>
    </font>
    <font>
      <sz val="14"/>
      <color rgb="FFFF0066"/>
      <name val="Arial"/>
      <family val="2"/>
    </font>
    <font>
      <sz val="10"/>
      <color rgb="FFCC0000"/>
      <name val="Arial"/>
      <family val="2"/>
    </font>
    <font>
      <b/>
      <sz val="10"/>
      <color rgb="FFFF0000"/>
      <name val="Arial"/>
      <family val="2"/>
    </font>
    <font>
      <sz val="10"/>
      <color rgb="FFCC0000"/>
      <name val="Franklin Gothic Book"/>
      <family val="1"/>
      <scheme val="minor"/>
    </font>
    <font>
      <sz val="10"/>
      <color rgb="FFFF0000"/>
      <name val="Arial"/>
      <family val="2"/>
    </font>
    <font>
      <sz val="14"/>
      <color rgb="FF008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70C0"/>
      <name val="Arial"/>
      <family val="2"/>
    </font>
    <font>
      <b/>
      <sz val="12"/>
      <color theme="0"/>
      <name val="Arial"/>
      <family val="2"/>
    </font>
    <font>
      <b/>
      <sz val="12"/>
      <color rgb="FFFF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rgb="FFFF0000"/>
      <name val="Arial"/>
      <family val="2"/>
    </font>
    <font>
      <b/>
      <sz val="10"/>
      <color rgb="FF00B050"/>
      <name val="Arial"/>
      <family val="2"/>
    </font>
    <font>
      <b/>
      <sz val="12"/>
      <color rgb="FF00B050"/>
      <name val="Arial"/>
      <family val="2"/>
    </font>
    <font>
      <sz val="12"/>
      <color rgb="FF00B050"/>
      <name val="Arial"/>
      <family val="2"/>
    </font>
    <font>
      <b/>
      <sz val="10"/>
      <color theme="0"/>
      <name val="Arial"/>
      <family val="2"/>
    </font>
    <font>
      <b/>
      <sz val="12"/>
      <color rgb="FF0066CC"/>
      <name val="Arial"/>
      <family val="2"/>
    </font>
    <font>
      <i/>
      <strike/>
      <sz val="10"/>
      <name val="Arial"/>
      <family val="2"/>
    </font>
    <font>
      <i/>
      <sz val="10"/>
      <name val="Arial"/>
      <family val="2"/>
    </font>
    <font>
      <b/>
      <sz val="12"/>
      <color rgb="FF0070C0"/>
      <name val="Arial"/>
      <family val="2"/>
    </font>
    <font>
      <sz val="10"/>
      <color theme="0"/>
      <name val="Arial"/>
      <family val="2"/>
    </font>
    <font>
      <sz val="10"/>
      <color theme="0"/>
      <name val="Franklin Gothic Book"/>
      <family val="1"/>
      <scheme val="minor"/>
    </font>
    <font>
      <b/>
      <sz val="8"/>
      <name val="Arial"/>
      <family val="2"/>
    </font>
    <font>
      <sz val="12"/>
      <color theme="0"/>
      <name val="Arial"/>
      <family val="2"/>
    </font>
    <font>
      <sz val="14"/>
      <color theme="0"/>
      <name val="Arial"/>
      <family val="2"/>
    </font>
    <font>
      <sz val="10"/>
      <color theme="0"/>
      <name val="Arial"/>
      <family val="2"/>
    </font>
    <font>
      <b/>
      <sz val="10"/>
      <color rgb="FFFF6600"/>
      <name val="Arial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9" fontId="6" fillId="0" borderId="1" applyFont="0" applyBorder="0" applyAlignment="0">
      <alignment horizontal="left" wrapText="1"/>
    </xf>
  </cellStyleXfs>
  <cellXfs count="185">
    <xf numFmtId="0" fontId="0" fillId="0" borderId="0" xfId="0"/>
    <xf numFmtId="0" fontId="4" fillId="0" borderId="0" xfId="0" applyFont="1"/>
    <xf numFmtId="0" fontId="0" fillId="0" borderId="4" xfId="0" applyBorder="1"/>
    <xf numFmtId="0" fontId="0" fillId="2" borderId="0" xfId="0" applyFill="1"/>
    <xf numFmtId="0" fontId="7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2" fontId="12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" fontId="16" fillId="0" borderId="0" xfId="0" applyNumberFormat="1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7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29" fillId="6" borderId="1" xfId="0" applyFont="1" applyFill="1" applyBorder="1" applyAlignment="1">
      <alignment horizontal="center"/>
    </xf>
    <xf numFmtId="4" fontId="29" fillId="6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Font="1" applyFill="1" applyBorder="1"/>
    <xf numFmtId="4" fontId="2" fillId="7" borderId="1" xfId="0" applyNumberFormat="1" applyFont="1" applyFill="1" applyBorder="1" applyAlignment="1">
      <alignment horizontal="center"/>
    </xf>
    <xf numFmtId="4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center"/>
    </xf>
    <xf numFmtId="14" fontId="7" fillId="0" borderId="1" xfId="0" applyNumberFormat="1" applyFont="1" applyBorder="1" applyAlignment="1" applyProtection="1">
      <alignment horizontal="center" vertical="center" wrapText="1"/>
      <protection locked="0"/>
    </xf>
    <xf numFmtId="1" fontId="7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4" fontId="7" fillId="0" borderId="1" xfId="0" applyNumberFormat="1" applyFont="1" applyBorder="1" applyAlignment="1" applyProtection="1">
      <alignment horizontal="center" vertical="center"/>
      <protection locked="0"/>
    </xf>
    <xf numFmtId="164" fontId="7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49" fontId="7" fillId="0" borderId="1" xfId="0" applyNumberFormat="1" applyFont="1" applyBorder="1" applyAlignment="1" applyProtection="1">
      <alignment horizontal="center" vertical="center" wrapText="1"/>
      <protection locked="0"/>
    </xf>
    <xf numFmtId="164" fontId="7" fillId="0" borderId="1" xfId="0" applyNumberFormat="1" applyFont="1" applyBorder="1" applyAlignment="1" applyProtection="1">
      <alignment horizontal="left" vertical="center" wrapText="1"/>
      <protection locked="0"/>
    </xf>
    <xf numFmtId="14" fontId="31" fillId="0" borderId="1" xfId="0" applyNumberFormat="1" applyFont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0" fontId="2" fillId="8" borderId="1" xfId="0" applyFont="1" applyFill="1" applyBorder="1" applyAlignment="1">
      <alignment horizontal="center" vertical="center"/>
    </xf>
    <xf numFmtId="4" fontId="7" fillId="9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Border="1" applyAlignment="1" applyProtection="1">
      <alignment horizontal="center" vertical="center" wrapText="1"/>
      <protection locked="0"/>
    </xf>
    <xf numFmtId="0" fontId="2" fillId="4" borderId="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2" fillId="5" borderId="0" xfId="0" applyFont="1" applyFill="1" applyAlignment="1">
      <alignment vertical="center"/>
    </xf>
    <xf numFmtId="0" fontId="30" fillId="0" borderId="5" xfId="0" applyFont="1" applyBorder="1" applyAlignment="1">
      <alignment horizontal="center" vertical="center"/>
    </xf>
    <xf numFmtId="0" fontId="30" fillId="0" borderId="5" xfId="0" applyFont="1" applyBorder="1" applyAlignment="1" applyProtection="1">
      <alignment vertical="center"/>
      <protection locked="0"/>
    </xf>
    <xf numFmtId="0" fontId="2" fillId="8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2" fillId="5" borderId="0" xfId="0" applyFont="1" applyFill="1" applyAlignment="1">
      <alignment vertical="center" wrapText="1"/>
    </xf>
    <xf numFmtId="0" fontId="30" fillId="0" borderId="0" xfId="0" applyFont="1" applyAlignment="1">
      <alignment vertical="center"/>
    </xf>
    <xf numFmtId="0" fontId="33" fillId="0" borderId="12" xfId="0" applyFont="1" applyBorder="1"/>
    <xf numFmtId="0" fontId="2" fillId="7" borderId="1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0" fontId="22" fillId="5" borderId="8" xfId="0" applyFont="1" applyFill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164" fontId="35" fillId="0" borderId="0" xfId="0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/>
    </xf>
    <xf numFmtId="4" fontId="7" fillId="0" borderId="1" xfId="0" applyNumberFormat="1" applyFont="1" applyBorder="1" applyAlignment="1">
      <alignment horizontal="center" vertical="center"/>
    </xf>
    <xf numFmtId="0" fontId="7" fillId="2" borderId="0" xfId="0" applyFont="1" applyFill="1"/>
    <xf numFmtId="3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29" fillId="6" borderId="1" xfId="0" applyFont="1" applyFill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2" fillId="5" borderId="10" xfId="0" applyFont="1" applyFill="1" applyBorder="1" applyAlignment="1">
      <alignment vertical="center" wrapText="1"/>
    </xf>
    <xf numFmtId="0" fontId="29" fillId="0" borderId="0" xfId="0" applyFont="1" applyAlignment="1">
      <alignment vertical="center" wrapText="1"/>
    </xf>
    <xf numFmtId="4" fontId="34" fillId="0" borderId="0" xfId="0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/>
    </xf>
    <xf numFmtId="2" fontId="35" fillId="0" borderId="0" xfId="0" applyNumberFormat="1" applyFont="1" applyAlignment="1">
      <alignment horizontal="center"/>
    </xf>
    <xf numFmtId="3" fontId="2" fillId="7" borderId="1" xfId="0" applyNumberFormat="1" applyFont="1" applyFill="1" applyBorder="1" applyAlignment="1">
      <alignment horizontal="center"/>
    </xf>
    <xf numFmtId="3" fontId="7" fillId="0" borderId="1" xfId="0" applyNumberFormat="1" applyFont="1" applyBorder="1" applyAlignment="1" applyProtection="1">
      <alignment horizontal="center" vertical="center" wrapText="1"/>
      <protection locked="0"/>
    </xf>
    <xf numFmtId="0" fontId="2" fillId="7" borderId="16" xfId="0" applyFont="1" applyFill="1" applyBorder="1" applyAlignment="1">
      <alignment horizontal="center"/>
    </xf>
    <xf numFmtId="0" fontId="7" fillId="0" borderId="9" xfId="0" applyFont="1" applyBorder="1"/>
    <xf numFmtId="0" fontId="7" fillId="0" borderId="8" xfId="0" applyFont="1" applyBorder="1"/>
    <xf numFmtId="0" fontId="7" fillId="0" borderId="17" xfId="0" applyFont="1" applyBorder="1"/>
    <xf numFmtId="0" fontId="7" fillId="0" borderId="18" xfId="0" applyFont="1" applyBorder="1"/>
    <xf numFmtId="0" fontId="7" fillId="0" borderId="19" xfId="0" applyFont="1" applyBorder="1"/>
    <xf numFmtId="0" fontId="0" fillId="0" borderId="18" xfId="0" applyBorder="1"/>
    <xf numFmtId="0" fontId="0" fillId="0" borderId="20" xfId="0" applyBorder="1"/>
    <xf numFmtId="0" fontId="7" fillId="0" borderId="22" xfId="0" applyFont="1" applyBorder="1"/>
    <xf numFmtId="2" fontId="0" fillId="0" borderId="1" xfId="0" applyNumberFormat="1" applyBorder="1" applyAlignment="1">
      <alignment horizontal="center"/>
    </xf>
    <xf numFmtId="2" fontId="2" fillId="7" borderId="1" xfId="0" applyNumberFormat="1" applyFont="1" applyFill="1" applyBorder="1" applyAlignment="1">
      <alignment horizontal="center"/>
    </xf>
    <xf numFmtId="1" fontId="7" fillId="0" borderId="1" xfId="0" applyNumberFormat="1" applyFont="1" applyBorder="1" applyAlignment="1" applyProtection="1">
      <alignment horizontal="left" vertical="center" wrapText="1"/>
      <protection locked="0"/>
    </xf>
    <xf numFmtId="0" fontId="7" fillId="0" borderId="21" xfId="0" applyFont="1" applyBorder="1"/>
    <xf numFmtId="4" fontId="29" fillId="6" borderId="1" xfId="0" applyNumberFormat="1" applyFont="1" applyFill="1" applyBorder="1" applyAlignment="1">
      <alignment horizontal="center" vertical="center"/>
    </xf>
    <xf numFmtId="4" fontId="7" fillId="10" borderId="1" xfId="0" applyNumberFormat="1" applyFont="1" applyFill="1" applyBorder="1" applyAlignment="1">
      <alignment horizontal="center" vertical="center"/>
    </xf>
    <xf numFmtId="14" fontId="7" fillId="0" borderId="1" xfId="0" applyNumberFormat="1" applyFont="1" applyBorder="1" applyAlignment="1" applyProtection="1">
      <alignment horizontal="left" vertical="center" wrapText="1"/>
      <protection locked="0"/>
    </xf>
    <xf numFmtId="4" fontId="7" fillId="0" borderId="1" xfId="0" quotePrefix="1" applyNumberFormat="1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 wrapText="1"/>
      <protection locked="0"/>
    </xf>
    <xf numFmtId="2" fontId="7" fillId="0" borderId="1" xfId="0" applyNumberFormat="1" applyFont="1" applyBorder="1" applyAlignment="1" applyProtection="1">
      <alignment horizontal="center" vertical="center" wrapText="1"/>
      <protection locked="0"/>
    </xf>
    <xf numFmtId="4" fontId="7" fillId="0" borderId="1" xfId="0" applyNumberFormat="1" applyFont="1" applyBorder="1" applyAlignment="1" applyProtection="1">
      <alignment horizontal="center" vertical="center" wrapText="1"/>
      <protection locked="0"/>
    </xf>
    <xf numFmtId="1" fontId="7" fillId="0" borderId="0" xfId="0" applyNumberFormat="1" applyFont="1" applyAlignment="1" applyProtection="1">
      <alignment horizontal="center" vertical="center" wrapText="1"/>
      <protection locked="0"/>
    </xf>
    <xf numFmtId="14" fontId="41" fillId="0" borderId="23" xfId="0" applyNumberFormat="1" applyFont="1" applyBorder="1" applyAlignment="1" applyProtection="1">
      <alignment horizontal="center"/>
      <protection locked="0"/>
    </xf>
    <xf numFmtId="14" fontId="22" fillId="0" borderId="0" xfId="0" applyNumberFormat="1" applyFont="1" applyAlignment="1">
      <alignment horizontal="center" vertical="center" wrapText="1"/>
    </xf>
    <xf numFmtId="14" fontId="1" fillId="0" borderId="23" xfId="0" applyNumberFormat="1" applyFont="1" applyBorder="1" applyAlignment="1" applyProtection="1">
      <alignment horizontal="center"/>
      <protection locked="0"/>
    </xf>
    <xf numFmtId="14" fontId="1" fillId="0" borderId="6" xfId="0" applyNumberFormat="1" applyFont="1" applyBorder="1" applyAlignment="1" applyProtection="1">
      <alignment horizontal="center"/>
      <protection locked="0"/>
    </xf>
    <xf numFmtId="14" fontId="41" fillId="0" borderId="6" xfId="0" applyNumberFormat="1" applyFont="1" applyBorder="1" applyAlignment="1" applyProtection="1">
      <alignment horizontal="center"/>
      <protection locked="0"/>
    </xf>
    <xf numFmtId="0" fontId="4" fillId="0" borderId="0" xfId="0" applyFont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1" fontId="16" fillId="0" borderId="0" xfId="0" applyNumberFormat="1" applyFont="1" applyAlignment="1">
      <alignment horizontal="center" vertical="center" wrapText="1"/>
    </xf>
    <xf numFmtId="2" fontId="12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37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18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" fillId="0" borderId="0" xfId="0" applyFont="1"/>
    <xf numFmtId="49" fontId="10" fillId="0" borderId="0" xfId="0" applyNumberFormat="1" applyFont="1" applyAlignment="1">
      <alignment horizontal="center" vertical="center" wrapText="1"/>
    </xf>
    <xf numFmtId="0" fontId="8" fillId="0" borderId="0" xfId="0" applyFont="1"/>
    <xf numFmtId="0" fontId="37" fillId="0" borderId="0" xfId="0" applyFont="1"/>
    <xf numFmtId="0" fontId="39" fillId="0" borderId="0" xfId="0" applyFont="1"/>
    <xf numFmtId="0" fontId="0" fillId="0" borderId="0" xfId="0" applyAlignment="1">
      <alignment horizontal="center" wrapText="1"/>
    </xf>
    <xf numFmtId="0" fontId="22" fillId="5" borderId="13" xfId="0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22" fillId="5" borderId="11" xfId="0" applyFont="1" applyFill="1" applyBorder="1" applyAlignment="1">
      <alignment horizontal="center" vertical="center"/>
    </xf>
    <xf numFmtId="0" fontId="9" fillId="0" borderId="0" xfId="0" applyFont="1" applyAlignment="1">
      <alignment wrapText="1"/>
    </xf>
    <xf numFmtId="0" fontId="8" fillId="0" borderId="0" xfId="0" applyFont="1"/>
    <xf numFmtId="0" fontId="0" fillId="0" borderId="0" xfId="0"/>
    <xf numFmtId="49" fontId="8" fillId="0" borderId="0" xfId="0" applyNumberFormat="1" applyFont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5" borderId="13" xfId="0" applyFont="1" applyFill="1" applyBorder="1" applyAlignment="1">
      <alignment horizontal="center" vertical="center" wrapText="1"/>
    </xf>
    <xf numFmtId="0" fontId="22" fillId="5" borderId="10" xfId="0" applyFont="1" applyFill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vertical="center"/>
    </xf>
    <xf numFmtId="0" fontId="7" fillId="0" borderId="0" xfId="0" applyFont="1" applyAlignment="1">
      <alignment horizontal="center"/>
    </xf>
    <xf numFmtId="0" fontId="27" fillId="0" borderId="13" xfId="0" applyFont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0" fontId="27" fillId="0" borderId="11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7" fillId="0" borderId="15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1" fillId="2" borderId="0" xfId="0" applyFont="1" applyFill="1" applyAlignment="1">
      <alignment horizontal="left"/>
    </xf>
    <xf numFmtId="0" fontId="2" fillId="7" borderId="1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2">
    <cellStyle name="Estilo 1" xfId="1" xr:uid="{00000000-0005-0000-0000-000000000000}"/>
    <cellStyle name="Normal" xfId="0" builtinId="0"/>
  </cellStyles>
  <dxfs count="19">
    <dxf>
      <font>
        <color auto="1"/>
      </font>
      <fill>
        <patternFill>
          <bgColor rgb="FFCCFFCC"/>
        </patternFill>
      </fill>
    </dxf>
    <dxf>
      <font>
        <color theme="0"/>
      </font>
      <numFmt numFmtId="19" formatCode="dd/mm/yyyy"/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0066CC"/>
      </font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theme="2" tint="-9.9948118533890809E-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 patternType="none">
          <bgColor auto="1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>
          <bgColor theme="2" tint="-9.9948118533890809E-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CCFFCC"/>
      <color rgb="FF0066CC"/>
      <color rgb="FFFF7C80"/>
      <color rgb="FFFF66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4</xdr:row>
          <xdr:rowOff>0</xdr:rowOff>
        </xdr:from>
        <xdr:to>
          <xdr:col>35</xdr:col>
          <xdr:colOff>581025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3</xdr:row>
          <xdr:rowOff>180975</xdr:rowOff>
        </xdr:from>
        <xdr:to>
          <xdr:col>37</xdr:col>
          <xdr:colOff>590550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152400</xdr:colOff>
          <xdr:row>5</xdr:row>
          <xdr:rowOff>9525</xdr:rowOff>
        </xdr:from>
        <xdr:to>
          <xdr:col>40</xdr:col>
          <xdr:colOff>590550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66675</xdr:colOff>
          <xdr:row>5</xdr:row>
          <xdr:rowOff>0</xdr:rowOff>
        </xdr:from>
        <xdr:to>
          <xdr:col>42</xdr:col>
          <xdr:colOff>600075</xdr:colOff>
          <xdr:row>6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Viagem">
  <a:themeElements>
    <a:clrScheme name="Técnica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Viagem">
      <a:majorFont>
        <a:latin typeface="Franklin Gothic Medium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Franklin Gothic Book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05000"/>
              </a:schemeClr>
            </a:duotone>
          </a:blip>
          <a:tile tx="0" ty="0" sx="95000" sy="95000" flip="none" algn="t"/>
        </a:blipFill>
        <a:blipFill>
          <a:blip xmlns:r="http://schemas.openxmlformats.org/officeDocument/2006/relationships" r:embed="rId2">
            <a:duotone>
              <a:schemeClr val="phClr">
                <a:shade val="30000"/>
                <a:satMod val="455000"/>
              </a:schemeClr>
              <a:schemeClr val="phClr">
                <a:tint val="95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GL122"/>
  <sheetViews>
    <sheetView tabSelected="1" zoomScale="85" zoomScaleNormal="85" zoomScaleSheetLayoutView="40" workbookViewId="0">
      <pane xSplit="6" ySplit="8" topLeftCell="O9" activePane="bottomRight" state="frozen"/>
      <selection activeCell="A16" sqref="A16"/>
      <selection pane="topRight" activeCell="A16" sqref="A16"/>
      <selection pane="bottomLeft" activeCell="A16" sqref="A16"/>
      <selection pane="bottomRight" activeCell="A16" sqref="A16"/>
    </sheetView>
  </sheetViews>
  <sheetFormatPr defaultRowHeight="12.75" x14ac:dyDescent="0.2"/>
  <cols>
    <col min="1" max="1" width="15" style="144" customWidth="1"/>
    <col min="2" max="2" width="14.140625" style="144" customWidth="1"/>
    <col min="3" max="3" width="6.140625" style="144" customWidth="1"/>
    <col min="4" max="4" width="11.42578125" style="144" customWidth="1"/>
    <col min="5" max="5" width="41.7109375" style="144" customWidth="1"/>
    <col min="6" max="6" width="24.5703125" style="144" customWidth="1"/>
    <col min="7" max="7" width="18.42578125" style="144" customWidth="1"/>
    <col min="8" max="8" width="19.7109375" style="144" customWidth="1"/>
    <col min="9" max="10" width="16.140625" style="144" customWidth="1"/>
    <col min="11" max="12" width="5.42578125" style="144" customWidth="1"/>
    <col min="13" max="13" width="14.5703125" customWidth="1"/>
    <col min="14" max="14" width="9.5703125" bestFit="1" customWidth="1"/>
    <col min="15" max="15" width="12" customWidth="1"/>
    <col min="16" max="16" width="15.7109375" bestFit="1" customWidth="1"/>
    <col min="17" max="17" width="17" bestFit="1" customWidth="1"/>
    <col min="18" max="18" width="25" bestFit="1" customWidth="1"/>
    <col min="19" max="21" width="25" customWidth="1"/>
    <col min="22" max="22" width="22" customWidth="1"/>
    <col min="23" max="23" width="5.85546875" style="78" hidden="1" customWidth="1"/>
    <col min="24" max="24" width="13.5703125" style="78" hidden="1" customWidth="1"/>
    <col min="25" max="26" width="13.5703125" style="79" hidden="1" customWidth="1"/>
    <col min="27" max="27" width="21.42578125" style="78" customWidth="1"/>
    <col min="28" max="28" width="16.7109375" style="78" customWidth="1"/>
    <col min="29" max="29" width="6.5703125" style="78" customWidth="1"/>
    <col min="30" max="31" width="4.5703125" customWidth="1"/>
    <col min="32" max="33" width="5.7109375" customWidth="1"/>
    <col min="34" max="34" width="10.7109375" customWidth="1"/>
  </cols>
  <sheetData>
    <row r="1" spans="1:34" ht="22.5" customHeight="1" thickBot="1" x14ac:dyDescent="0.25">
      <c r="A1" s="145" t="s">
        <v>139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7"/>
      <c r="W1" s="73"/>
      <c r="X1" s="73"/>
      <c r="Y1" s="73"/>
      <c r="Z1" s="73"/>
      <c r="AA1" s="73"/>
      <c r="AB1" s="73"/>
      <c r="AC1" s="61"/>
      <c r="AD1" s="61"/>
      <c r="AE1" s="61"/>
      <c r="AF1" s="61"/>
      <c r="AG1" s="61"/>
      <c r="AH1" s="61"/>
    </row>
    <row r="2" spans="1:34" ht="24" customHeight="1" x14ac:dyDescent="0.2">
      <c r="A2" s="62" t="s">
        <v>104</v>
      </c>
      <c r="B2" s="63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74"/>
      <c r="X2" s="74"/>
      <c r="Y2" s="75"/>
      <c r="Z2" s="75"/>
      <c r="AA2" s="74"/>
      <c r="AB2" s="74"/>
      <c r="AC2" s="76"/>
      <c r="AD2" s="60"/>
      <c r="AE2" s="60"/>
      <c r="AF2" s="60"/>
      <c r="AG2" s="60"/>
      <c r="AH2" s="60"/>
    </row>
    <row r="3" spans="1:34" ht="15.75" x14ac:dyDescent="0.2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8"/>
      <c r="N3" s="8"/>
      <c r="O3" s="8"/>
      <c r="P3" s="8"/>
      <c r="Q3" s="8"/>
      <c r="R3" s="8"/>
      <c r="S3" s="8"/>
      <c r="T3" s="8"/>
      <c r="U3" s="8"/>
      <c r="V3" s="8"/>
      <c r="W3" s="77"/>
      <c r="X3" s="77"/>
      <c r="Y3" s="77"/>
      <c r="Z3" s="77"/>
      <c r="AA3" s="77"/>
      <c r="AB3" s="77"/>
      <c r="AC3" s="77"/>
      <c r="AD3" s="8"/>
      <c r="AE3" s="8"/>
      <c r="AF3" s="8"/>
      <c r="AG3" s="8"/>
      <c r="AH3" s="8"/>
    </row>
    <row r="4" spans="1:34" ht="15" customHeight="1" x14ac:dyDescent="0.2">
      <c r="A4" s="154" t="s">
        <v>13</v>
      </c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6"/>
      <c r="M4" s="157" t="s">
        <v>14</v>
      </c>
      <c r="N4" s="157"/>
      <c r="O4" s="157"/>
      <c r="P4" s="157"/>
      <c r="Q4" s="157"/>
      <c r="R4" s="157"/>
      <c r="S4" s="157"/>
      <c r="T4" s="157"/>
      <c r="U4" s="157"/>
      <c r="V4" s="157"/>
      <c r="AD4" s="4"/>
      <c r="AE4" s="4"/>
      <c r="AF4" s="4"/>
      <c r="AG4" s="4"/>
      <c r="AH4" s="5"/>
    </row>
    <row r="5" spans="1:34" ht="25.5" x14ac:dyDescent="0.2">
      <c r="A5" s="59" t="s">
        <v>119</v>
      </c>
      <c r="B5" s="59" t="s">
        <v>7</v>
      </c>
      <c r="C5" s="59" t="s">
        <v>32</v>
      </c>
      <c r="D5" s="59" t="s">
        <v>8</v>
      </c>
      <c r="E5" s="59" t="s">
        <v>9</v>
      </c>
      <c r="F5" s="59" t="s">
        <v>12</v>
      </c>
      <c r="G5" s="59" t="s">
        <v>10</v>
      </c>
      <c r="H5" s="59" t="s">
        <v>11</v>
      </c>
      <c r="I5" s="59" t="s">
        <v>29</v>
      </c>
      <c r="J5" s="59" t="s">
        <v>30</v>
      </c>
      <c r="K5" s="59" t="s">
        <v>15</v>
      </c>
      <c r="L5" s="59" t="s">
        <v>31</v>
      </c>
      <c r="M5" s="57" t="s">
        <v>16</v>
      </c>
      <c r="N5" s="42" t="s">
        <v>17</v>
      </c>
      <c r="O5" s="42" t="s">
        <v>18</v>
      </c>
      <c r="P5" s="42" t="s">
        <v>19</v>
      </c>
      <c r="Q5" s="42" t="s">
        <v>20</v>
      </c>
      <c r="R5" s="42" t="s">
        <v>21</v>
      </c>
      <c r="S5" s="42" t="s">
        <v>105</v>
      </c>
      <c r="T5" s="42" t="s">
        <v>44</v>
      </c>
      <c r="U5" s="58" t="s">
        <v>45</v>
      </c>
      <c r="V5" s="42" t="s">
        <v>22</v>
      </c>
      <c r="W5" s="80"/>
      <c r="X5" s="80"/>
      <c r="Y5" s="81" t="s">
        <v>66</v>
      </c>
      <c r="Z5" s="81" t="s">
        <v>113</v>
      </c>
      <c r="AA5" s="82" t="s">
        <v>114</v>
      </c>
      <c r="AB5" s="82" t="s">
        <v>112</v>
      </c>
      <c r="AC5" s="80"/>
      <c r="AD5" s="6"/>
      <c r="AE5" s="6"/>
      <c r="AF5" s="6"/>
      <c r="AG5" s="6"/>
      <c r="AH5" s="5"/>
    </row>
    <row r="6" spans="1:34" x14ac:dyDescent="0.2">
      <c r="A6" s="44"/>
      <c r="B6" s="99"/>
      <c r="C6" s="46"/>
      <c r="D6" s="46"/>
      <c r="E6" s="46"/>
      <c r="F6" s="46"/>
      <c r="G6" s="46"/>
      <c r="H6" s="46"/>
      <c r="I6" s="46"/>
      <c r="J6" s="46"/>
      <c r="K6" s="46"/>
      <c r="L6" s="46"/>
      <c r="M6" s="47"/>
      <c r="N6" s="47"/>
      <c r="O6" s="47"/>
      <c r="P6" s="47"/>
      <c r="Q6" s="47"/>
      <c r="R6" s="47"/>
      <c r="S6" s="114">
        <f>SUM(M6:R6)</f>
        <v>0</v>
      </c>
      <c r="T6" s="119"/>
      <c r="U6" s="44"/>
      <c r="V6" s="49"/>
      <c r="W6" s="83" t="str">
        <f>IF(A6&gt;0,(MONTH(A6)),"-")</f>
        <v>-</v>
      </c>
      <c r="X6" s="83" t="str">
        <f>IF(I6='Pag 08_Legendas'!B$12,"P&amp;D&amp;I","Bolsa e auxílio")</f>
        <v>Bolsa e auxílio</v>
      </c>
      <c r="Y6" s="83" t="str">
        <f>IF(J6="Pibic","SIM","NÃO")</f>
        <v>NÃO</v>
      </c>
      <c r="Z6" s="83" t="str">
        <f>IF(J6="Pibiti","SIM","NÃO")</f>
        <v>NÃO</v>
      </c>
      <c r="AA6" s="83"/>
      <c r="AB6" s="83"/>
      <c r="AC6" s="83"/>
      <c r="AD6" s="9"/>
      <c r="AE6" s="9"/>
      <c r="AF6" s="9"/>
      <c r="AG6" s="9"/>
      <c r="AH6" s="16"/>
    </row>
    <row r="7" spans="1:34" x14ac:dyDescent="0.2">
      <c r="A7" s="44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  <c r="N7" s="47"/>
      <c r="O7" s="47"/>
      <c r="P7" s="47"/>
      <c r="Q7" s="47"/>
      <c r="R7" s="47"/>
      <c r="S7" s="114">
        <f t="shared" ref="S7:S115" si="0">SUM(M7:R7)</f>
        <v>0</v>
      </c>
      <c r="T7" s="119"/>
      <c r="U7" s="44"/>
      <c r="V7" s="49"/>
      <c r="W7" s="83" t="str">
        <f t="shared" ref="W7:W21" si="1">IF(A7&gt;0,(MONTH(A7)),"-")</f>
        <v>-</v>
      </c>
      <c r="X7" s="83" t="str">
        <f>IF(I7='Pag 08_Legendas'!B$12,"P&amp;D&amp;I","Bolsa e auxílio")</f>
        <v>Bolsa e auxílio</v>
      </c>
      <c r="Y7" s="83" t="str">
        <f t="shared" ref="Y7:Y21" si="2">IF(J7="Pibic","SIM","NÃO")</f>
        <v>NÃO</v>
      </c>
      <c r="Z7" s="83" t="str">
        <f t="shared" ref="Z7:Z21" si="3">IF(J7="Pibiti","SIM","NÃO")</f>
        <v>NÃO</v>
      </c>
      <c r="AA7" s="83"/>
      <c r="AB7" s="83"/>
      <c r="AC7" s="83"/>
      <c r="AD7" s="9"/>
      <c r="AE7" s="9"/>
      <c r="AF7" s="9"/>
      <c r="AG7" s="9"/>
      <c r="AH7" s="14"/>
    </row>
    <row r="8" spans="1:34" x14ac:dyDescent="0.2">
      <c r="A8" s="44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7"/>
      <c r="N8" s="47"/>
      <c r="O8" s="47"/>
      <c r="P8" s="47"/>
      <c r="Q8" s="47"/>
      <c r="R8" s="47"/>
      <c r="S8" s="114">
        <f t="shared" si="0"/>
        <v>0</v>
      </c>
      <c r="T8" s="119"/>
      <c r="U8" s="44"/>
      <c r="V8" s="49"/>
      <c r="W8" s="83" t="str">
        <f>IF(A95&gt;0,(MONTH(A95)),"-")</f>
        <v>-</v>
      </c>
      <c r="X8" s="83" t="str">
        <f>IF(I8='Pag 08_Legendas'!B$12,"P&amp;D&amp;I","Bolsa e auxílio")</f>
        <v>Bolsa e auxílio</v>
      </c>
      <c r="Y8" s="83" t="str">
        <f t="shared" si="2"/>
        <v>NÃO</v>
      </c>
      <c r="Z8" s="83" t="str">
        <f t="shared" si="3"/>
        <v>NÃO</v>
      </c>
      <c r="AA8" s="83"/>
      <c r="AB8" s="83"/>
      <c r="AC8" s="83"/>
      <c r="AD8" s="9"/>
      <c r="AE8" s="9"/>
      <c r="AF8" s="9"/>
      <c r="AG8" s="9"/>
      <c r="AH8" s="14"/>
    </row>
    <row r="9" spans="1:34" x14ac:dyDescent="0.2">
      <c r="A9" s="44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7"/>
      <c r="N9" s="47"/>
      <c r="O9" s="47"/>
      <c r="P9" s="47"/>
      <c r="Q9" s="47"/>
      <c r="R9" s="47"/>
      <c r="S9" s="114">
        <f t="shared" si="0"/>
        <v>0</v>
      </c>
      <c r="T9" s="119"/>
      <c r="U9" s="44"/>
      <c r="V9" s="49"/>
      <c r="W9" s="83" t="str">
        <f t="shared" si="1"/>
        <v>-</v>
      </c>
      <c r="X9" s="83" t="str">
        <f>IF(I9='Pag 08_Legendas'!B$12,"P&amp;D&amp;I","Bolsa e auxílio")</f>
        <v>Bolsa e auxílio</v>
      </c>
      <c r="Y9" s="83" t="str">
        <f t="shared" si="2"/>
        <v>NÃO</v>
      </c>
      <c r="Z9" s="83" t="str">
        <f t="shared" si="3"/>
        <v>NÃO</v>
      </c>
      <c r="AA9" s="83"/>
      <c r="AB9" s="83"/>
      <c r="AC9" s="83"/>
      <c r="AD9" s="9"/>
      <c r="AE9" s="9"/>
      <c r="AF9" s="9"/>
      <c r="AG9" s="9"/>
      <c r="AH9" s="14"/>
    </row>
    <row r="10" spans="1:34" x14ac:dyDescent="0.2">
      <c r="A10" s="44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7"/>
      <c r="N10" s="47"/>
      <c r="O10" s="47"/>
      <c r="P10" s="47"/>
      <c r="Q10" s="47"/>
      <c r="R10" s="47"/>
      <c r="S10" s="114">
        <f t="shared" si="0"/>
        <v>0</v>
      </c>
      <c r="T10" s="119"/>
      <c r="U10" s="44"/>
      <c r="V10" s="49"/>
      <c r="W10" s="83" t="str">
        <f t="shared" si="1"/>
        <v>-</v>
      </c>
      <c r="X10" s="83" t="str">
        <f>IF(I10='Pag 08_Legendas'!B$12,"P&amp;D&amp;I","Bolsa e auxílio")</f>
        <v>Bolsa e auxílio</v>
      </c>
      <c r="Y10" s="83" t="str">
        <f t="shared" si="2"/>
        <v>NÃO</v>
      </c>
      <c r="Z10" s="83" t="str">
        <f t="shared" si="3"/>
        <v>NÃO</v>
      </c>
      <c r="AA10" s="83"/>
      <c r="AB10" s="83"/>
      <c r="AC10" s="83"/>
      <c r="AD10" s="9"/>
      <c r="AE10" s="9"/>
      <c r="AF10" s="9"/>
      <c r="AG10" s="9"/>
      <c r="AH10" s="14"/>
    </row>
    <row r="11" spans="1:34" x14ac:dyDescent="0.2">
      <c r="A11" s="44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7"/>
      <c r="N11" s="47"/>
      <c r="O11" s="47"/>
      <c r="P11" s="47"/>
      <c r="Q11" s="47"/>
      <c r="R11" s="47"/>
      <c r="S11" s="114">
        <f t="shared" si="0"/>
        <v>0</v>
      </c>
      <c r="T11" s="119"/>
      <c r="U11" s="44"/>
      <c r="V11" s="49"/>
      <c r="W11" s="83" t="str">
        <f t="shared" si="1"/>
        <v>-</v>
      </c>
      <c r="X11" s="83" t="str">
        <f>IF(I11='Pag 08_Legendas'!B$12,"P&amp;D&amp;I","Bolsa e auxílio")</f>
        <v>Bolsa e auxílio</v>
      </c>
      <c r="Y11" s="83" t="str">
        <f t="shared" si="2"/>
        <v>NÃO</v>
      </c>
      <c r="Z11" s="83" t="str">
        <f t="shared" si="3"/>
        <v>NÃO</v>
      </c>
      <c r="AA11" s="83"/>
      <c r="AB11" s="83"/>
      <c r="AC11" s="83"/>
      <c r="AD11" s="9"/>
      <c r="AE11" s="9"/>
      <c r="AF11" s="9"/>
      <c r="AG11" s="9"/>
      <c r="AH11" s="14"/>
    </row>
    <row r="12" spans="1:34" x14ac:dyDescent="0.2">
      <c r="A12" s="44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7"/>
      <c r="N12" s="47"/>
      <c r="O12" s="47"/>
      <c r="P12" s="47"/>
      <c r="Q12" s="47"/>
      <c r="R12" s="47"/>
      <c r="S12" s="114">
        <f t="shared" si="0"/>
        <v>0</v>
      </c>
      <c r="T12" s="119"/>
      <c r="U12" s="44"/>
      <c r="V12" s="49"/>
      <c r="W12" s="83" t="str">
        <f t="shared" si="1"/>
        <v>-</v>
      </c>
      <c r="X12" s="83" t="str">
        <f>IF(I12='Pag 08_Legendas'!B$12,"P&amp;D&amp;I","Bolsa e auxílio")</f>
        <v>Bolsa e auxílio</v>
      </c>
      <c r="Y12" s="83" t="str">
        <f t="shared" si="2"/>
        <v>NÃO</v>
      </c>
      <c r="Z12" s="83" t="str">
        <f t="shared" si="3"/>
        <v>NÃO</v>
      </c>
      <c r="AA12" s="83"/>
      <c r="AB12" s="83"/>
      <c r="AC12" s="83"/>
      <c r="AD12" s="9"/>
      <c r="AE12" s="9"/>
      <c r="AF12" s="9"/>
      <c r="AG12" s="9"/>
      <c r="AH12" s="14"/>
    </row>
    <row r="13" spans="1:34" x14ac:dyDescent="0.2">
      <c r="A13" s="44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7"/>
      <c r="N13" s="47"/>
      <c r="O13" s="47"/>
      <c r="P13" s="47"/>
      <c r="Q13" s="47"/>
      <c r="R13" s="47"/>
      <c r="S13" s="114">
        <f t="shared" si="0"/>
        <v>0</v>
      </c>
      <c r="T13" s="119"/>
      <c r="U13" s="44"/>
      <c r="V13" s="49"/>
      <c r="W13" s="83" t="str">
        <f t="shared" si="1"/>
        <v>-</v>
      </c>
      <c r="X13" s="83" t="str">
        <f>IF(I13='Pag 08_Legendas'!B$12,"P&amp;D&amp;I","Bolsa e auxílio")</f>
        <v>Bolsa e auxílio</v>
      </c>
      <c r="Y13" s="83" t="str">
        <f t="shared" si="2"/>
        <v>NÃO</v>
      </c>
      <c r="Z13" s="83" t="str">
        <f t="shared" si="3"/>
        <v>NÃO</v>
      </c>
      <c r="AA13" s="83"/>
      <c r="AB13" s="83"/>
      <c r="AC13" s="83"/>
      <c r="AD13" s="9"/>
      <c r="AE13" s="9"/>
      <c r="AF13" s="9"/>
      <c r="AG13" s="9"/>
      <c r="AH13" s="14"/>
    </row>
    <row r="14" spans="1:34" x14ac:dyDescent="0.2">
      <c r="A14" s="44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7"/>
      <c r="N14" s="47"/>
      <c r="O14" s="47"/>
      <c r="P14" s="47"/>
      <c r="Q14" s="47"/>
      <c r="R14" s="47"/>
      <c r="S14" s="114">
        <f t="shared" si="0"/>
        <v>0</v>
      </c>
      <c r="T14" s="119"/>
      <c r="U14" s="44"/>
      <c r="V14" s="49"/>
      <c r="W14" s="83" t="str">
        <f t="shared" si="1"/>
        <v>-</v>
      </c>
      <c r="X14" s="83" t="str">
        <f>IF(I14='Pag 08_Legendas'!B$12,"P&amp;D&amp;I","Bolsa e auxílio")</f>
        <v>Bolsa e auxílio</v>
      </c>
      <c r="Y14" s="83" t="str">
        <f t="shared" si="2"/>
        <v>NÃO</v>
      </c>
      <c r="Z14" s="83" t="str">
        <f t="shared" si="3"/>
        <v>NÃO</v>
      </c>
      <c r="AA14" s="83"/>
      <c r="AB14" s="83"/>
      <c r="AC14" s="83"/>
      <c r="AD14" s="9"/>
      <c r="AE14" s="9"/>
      <c r="AF14" s="9"/>
      <c r="AG14" s="9"/>
      <c r="AH14" s="14"/>
    </row>
    <row r="15" spans="1:34" x14ac:dyDescent="0.2">
      <c r="A15" s="44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7"/>
      <c r="N15" s="47"/>
      <c r="O15" s="47"/>
      <c r="P15" s="47"/>
      <c r="Q15" s="47"/>
      <c r="R15" s="47"/>
      <c r="S15" s="114">
        <f t="shared" si="0"/>
        <v>0</v>
      </c>
      <c r="T15" s="119"/>
      <c r="U15" s="44"/>
      <c r="V15" s="49"/>
      <c r="W15" s="83" t="str">
        <f t="shared" si="1"/>
        <v>-</v>
      </c>
      <c r="X15" s="83" t="str">
        <f>IF(I15='Pag 08_Legendas'!B$12,"P&amp;D&amp;I","Bolsa e auxílio")</f>
        <v>Bolsa e auxílio</v>
      </c>
      <c r="Y15" s="83" t="str">
        <f t="shared" si="2"/>
        <v>NÃO</v>
      </c>
      <c r="Z15" s="83" t="str">
        <f t="shared" si="3"/>
        <v>NÃO</v>
      </c>
      <c r="AA15" s="83"/>
      <c r="AB15" s="83"/>
      <c r="AC15" s="83"/>
      <c r="AD15" s="9"/>
      <c r="AE15" s="9"/>
      <c r="AF15" s="9"/>
      <c r="AG15" s="9"/>
      <c r="AH15" s="14"/>
    </row>
    <row r="16" spans="1:34" x14ac:dyDescent="0.2">
      <c r="A16" s="44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7"/>
      <c r="N16" s="47"/>
      <c r="O16" s="47"/>
      <c r="P16" s="47"/>
      <c r="Q16" s="47"/>
      <c r="R16" s="47"/>
      <c r="S16" s="114">
        <f t="shared" si="0"/>
        <v>0</v>
      </c>
      <c r="T16" s="119"/>
      <c r="U16" s="44"/>
      <c r="V16" s="49"/>
      <c r="W16" s="83" t="str">
        <f t="shared" si="1"/>
        <v>-</v>
      </c>
      <c r="X16" s="83" t="str">
        <f>IF(I16='Pag 08_Legendas'!B$12,"P&amp;D&amp;I","Bolsa e auxílio")</f>
        <v>Bolsa e auxílio</v>
      </c>
      <c r="Y16" s="83" t="str">
        <f t="shared" si="2"/>
        <v>NÃO</v>
      </c>
      <c r="Z16" s="83" t="str">
        <f t="shared" si="3"/>
        <v>NÃO</v>
      </c>
      <c r="AA16" s="83"/>
      <c r="AB16" s="83"/>
      <c r="AC16" s="83"/>
      <c r="AD16" s="9"/>
      <c r="AE16" s="9"/>
      <c r="AF16" s="9"/>
      <c r="AG16" s="9"/>
      <c r="AH16" s="14"/>
    </row>
    <row r="17" spans="1:34" x14ac:dyDescent="0.2">
      <c r="A17" s="44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7"/>
      <c r="N17" s="47"/>
      <c r="O17" s="47"/>
      <c r="P17" s="47"/>
      <c r="Q17" s="47"/>
      <c r="R17" s="47"/>
      <c r="S17" s="114">
        <f t="shared" si="0"/>
        <v>0</v>
      </c>
      <c r="T17" s="119"/>
      <c r="U17" s="44"/>
      <c r="V17" s="49"/>
      <c r="W17" s="83" t="str">
        <f t="shared" si="1"/>
        <v>-</v>
      </c>
      <c r="X17" s="83" t="str">
        <f>IF(I17='Pag 08_Legendas'!B$12,"P&amp;D&amp;I","Bolsa e auxílio")</f>
        <v>Bolsa e auxílio</v>
      </c>
      <c r="Y17" s="83" t="str">
        <f t="shared" si="2"/>
        <v>NÃO</v>
      </c>
      <c r="Z17" s="83" t="str">
        <f t="shared" si="3"/>
        <v>NÃO</v>
      </c>
      <c r="AA17" s="83"/>
      <c r="AB17" s="83"/>
      <c r="AC17" s="83"/>
      <c r="AD17" s="9"/>
      <c r="AE17" s="9"/>
      <c r="AF17" s="9"/>
      <c r="AG17" s="9"/>
      <c r="AH17" s="14"/>
    </row>
    <row r="18" spans="1:34" x14ac:dyDescent="0.2">
      <c r="A18" s="44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7"/>
      <c r="N18" s="47"/>
      <c r="O18" s="47"/>
      <c r="P18" s="47"/>
      <c r="Q18" s="47"/>
      <c r="R18" s="47"/>
      <c r="S18" s="114">
        <f t="shared" si="0"/>
        <v>0</v>
      </c>
      <c r="T18" s="119"/>
      <c r="U18" s="44"/>
      <c r="V18" s="49"/>
      <c r="W18" s="83" t="str">
        <f t="shared" si="1"/>
        <v>-</v>
      </c>
      <c r="X18" s="83" t="str">
        <f>IF(I18='Pag 08_Legendas'!B$12,"P&amp;D&amp;I","Bolsa e auxílio")</f>
        <v>Bolsa e auxílio</v>
      </c>
      <c r="Y18" s="83" t="str">
        <f t="shared" si="2"/>
        <v>NÃO</v>
      </c>
      <c r="Z18" s="83" t="str">
        <f t="shared" si="3"/>
        <v>NÃO</v>
      </c>
      <c r="AA18" s="83"/>
      <c r="AB18" s="83"/>
      <c r="AC18" s="83"/>
      <c r="AD18" s="9"/>
      <c r="AE18" s="9"/>
      <c r="AF18" s="9"/>
      <c r="AG18" s="9"/>
      <c r="AH18" s="14"/>
    </row>
    <row r="19" spans="1:34" x14ac:dyDescent="0.2">
      <c r="A19" s="44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7"/>
      <c r="N19" s="47"/>
      <c r="O19" s="47"/>
      <c r="P19" s="47"/>
      <c r="Q19" s="47"/>
      <c r="R19" s="47"/>
      <c r="S19" s="114">
        <f t="shared" si="0"/>
        <v>0</v>
      </c>
      <c r="T19" s="119"/>
      <c r="U19" s="44"/>
      <c r="V19" s="49"/>
      <c r="W19" s="83" t="str">
        <f t="shared" si="1"/>
        <v>-</v>
      </c>
      <c r="X19" s="83" t="str">
        <f>IF(I19='Pag 08_Legendas'!B$12,"P&amp;D&amp;I","Bolsa e auxílio")</f>
        <v>Bolsa e auxílio</v>
      </c>
      <c r="Y19" s="83" t="str">
        <f t="shared" si="2"/>
        <v>NÃO</v>
      </c>
      <c r="Z19" s="83" t="str">
        <f t="shared" si="3"/>
        <v>NÃO</v>
      </c>
      <c r="AA19" s="83"/>
      <c r="AB19" s="83"/>
      <c r="AC19" s="83"/>
      <c r="AD19" s="9"/>
      <c r="AE19" s="9"/>
      <c r="AF19" s="9"/>
      <c r="AG19" s="9"/>
      <c r="AH19" s="14"/>
    </row>
    <row r="20" spans="1:34" x14ac:dyDescent="0.2">
      <c r="A20" s="44"/>
      <c r="B20" s="99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7"/>
      <c r="N20" s="47"/>
      <c r="O20" s="47"/>
      <c r="P20" s="47"/>
      <c r="Q20" s="47"/>
      <c r="R20" s="47"/>
      <c r="S20" s="114">
        <f t="shared" si="0"/>
        <v>0</v>
      </c>
      <c r="T20" s="119"/>
      <c r="U20" s="44"/>
      <c r="V20" s="49"/>
      <c r="W20" s="83" t="str">
        <f t="shared" si="1"/>
        <v>-</v>
      </c>
      <c r="X20" s="83" t="str">
        <f>IF(I20='Pag 08_Legendas'!B$12,"P&amp;D&amp;I","Bolsa e auxílio")</f>
        <v>Bolsa e auxílio</v>
      </c>
      <c r="Y20" s="83" t="str">
        <f t="shared" si="2"/>
        <v>NÃO</v>
      </c>
      <c r="Z20" s="83" t="str">
        <f t="shared" si="3"/>
        <v>NÃO</v>
      </c>
      <c r="AA20" s="83"/>
      <c r="AB20" s="83"/>
      <c r="AC20" s="83"/>
      <c r="AD20" s="9"/>
      <c r="AE20" s="9"/>
      <c r="AF20" s="9"/>
      <c r="AG20" s="9"/>
      <c r="AH20" s="14"/>
    </row>
    <row r="21" spans="1:34" x14ac:dyDescent="0.2">
      <c r="A21" s="44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7"/>
      <c r="N21" s="47"/>
      <c r="O21" s="47"/>
      <c r="P21" s="47"/>
      <c r="Q21" s="47"/>
      <c r="R21" s="47"/>
      <c r="S21" s="114">
        <f t="shared" si="0"/>
        <v>0</v>
      </c>
      <c r="T21" s="119"/>
      <c r="U21" s="44"/>
      <c r="V21" s="49"/>
      <c r="W21" s="83" t="str">
        <f t="shared" si="1"/>
        <v>-</v>
      </c>
      <c r="X21" s="83" t="str">
        <f>IF(I21='Pag 08_Legendas'!B$12,"P&amp;D&amp;I","Bolsa e auxílio")</f>
        <v>Bolsa e auxílio</v>
      </c>
      <c r="Y21" s="83" t="str">
        <f t="shared" si="2"/>
        <v>NÃO</v>
      </c>
      <c r="Z21" s="83" t="str">
        <f t="shared" si="3"/>
        <v>NÃO</v>
      </c>
      <c r="AA21" s="83"/>
      <c r="AB21" s="83"/>
      <c r="AC21" s="83"/>
      <c r="AD21" s="9"/>
      <c r="AE21" s="9"/>
      <c r="AF21" s="9"/>
      <c r="AG21" s="9"/>
      <c r="AH21" s="14"/>
    </row>
    <row r="22" spans="1:34" x14ac:dyDescent="0.2">
      <c r="A22" s="44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7"/>
      <c r="N22" s="47"/>
      <c r="O22" s="47"/>
      <c r="P22" s="47"/>
      <c r="Q22" s="47"/>
      <c r="R22" s="47"/>
      <c r="S22" s="114">
        <f t="shared" si="0"/>
        <v>0</v>
      </c>
      <c r="T22" s="119"/>
      <c r="U22" s="44"/>
      <c r="V22" s="49"/>
      <c r="W22" s="83" t="str">
        <f t="shared" ref="W22:W87" si="4">IF(A22&gt;0,(MONTH(A22)),"-")</f>
        <v>-</v>
      </c>
      <c r="X22" s="83" t="str">
        <f>IF(I22='Pag 08_Legendas'!B$12,"P&amp;D&amp;I","Bolsa e auxílio")</f>
        <v>Bolsa e auxílio</v>
      </c>
      <c r="Y22" s="83" t="str">
        <f t="shared" ref="Y22:Y87" si="5">IF(J22="Pibic","SIM","NÃO")</f>
        <v>NÃO</v>
      </c>
      <c r="Z22" s="83" t="str">
        <f t="shared" ref="Z22:Z87" si="6">IF(J22="Pibiti","SIM","NÃO")</f>
        <v>NÃO</v>
      </c>
      <c r="AA22" s="83"/>
      <c r="AB22" s="83"/>
      <c r="AC22" s="83"/>
      <c r="AD22" s="9"/>
      <c r="AE22" s="9"/>
      <c r="AF22" s="9"/>
      <c r="AG22" s="9"/>
      <c r="AH22" s="14"/>
    </row>
    <row r="23" spans="1:34" x14ac:dyDescent="0.2">
      <c r="A23" s="44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7"/>
      <c r="N23" s="47"/>
      <c r="O23" s="47"/>
      <c r="P23" s="47"/>
      <c r="Q23" s="47"/>
      <c r="R23" s="47"/>
      <c r="S23" s="114">
        <f t="shared" si="0"/>
        <v>0</v>
      </c>
      <c r="T23" s="119"/>
      <c r="U23" s="44"/>
      <c r="V23" s="49"/>
      <c r="W23" s="83" t="str">
        <f t="shared" si="4"/>
        <v>-</v>
      </c>
      <c r="X23" s="83" t="str">
        <f>IF(I23='Pag 08_Legendas'!B$12,"P&amp;D&amp;I","Bolsa e auxílio")</f>
        <v>Bolsa e auxílio</v>
      </c>
      <c r="Y23" s="83" t="str">
        <f t="shared" si="5"/>
        <v>NÃO</v>
      </c>
      <c r="Z23" s="83" t="str">
        <f t="shared" si="6"/>
        <v>NÃO</v>
      </c>
      <c r="AA23" s="83"/>
      <c r="AB23" s="83"/>
      <c r="AC23" s="83"/>
      <c r="AD23" s="9"/>
      <c r="AE23" s="9"/>
      <c r="AF23" s="9"/>
      <c r="AG23" s="9"/>
      <c r="AH23" s="14"/>
    </row>
    <row r="24" spans="1:34" x14ac:dyDescent="0.2">
      <c r="A24" s="44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7"/>
      <c r="N24" s="47"/>
      <c r="O24" s="47"/>
      <c r="P24" s="47"/>
      <c r="Q24" s="47"/>
      <c r="R24" s="47"/>
      <c r="S24" s="114">
        <f t="shared" si="0"/>
        <v>0</v>
      </c>
      <c r="T24" s="119"/>
      <c r="U24" s="44"/>
      <c r="V24" s="115"/>
      <c r="W24" s="83" t="str">
        <f t="shared" si="4"/>
        <v>-</v>
      </c>
      <c r="X24" s="83" t="str">
        <f>IF(I24='Pag 08_Legendas'!B$12,"P&amp;D&amp;I","Bolsa e auxílio")</f>
        <v>Bolsa e auxílio</v>
      </c>
      <c r="Y24" s="83" t="str">
        <f t="shared" si="5"/>
        <v>NÃO</v>
      </c>
      <c r="Z24" s="83" t="str">
        <f t="shared" si="6"/>
        <v>NÃO</v>
      </c>
      <c r="AA24" s="83"/>
      <c r="AB24" s="83"/>
      <c r="AC24" s="83"/>
      <c r="AD24" s="9"/>
      <c r="AE24" s="9"/>
      <c r="AF24" s="9"/>
      <c r="AG24" s="9"/>
      <c r="AH24" s="14"/>
    </row>
    <row r="25" spans="1:34" x14ac:dyDescent="0.2">
      <c r="A25" s="44"/>
      <c r="B25" s="99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7"/>
      <c r="N25" s="47"/>
      <c r="O25" s="47"/>
      <c r="P25" s="47"/>
      <c r="Q25" s="47"/>
      <c r="R25" s="47"/>
      <c r="S25" s="114">
        <f t="shared" si="0"/>
        <v>0</v>
      </c>
      <c r="T25" s="119"/>
      <c r="U25" s="44"/>
      <c r="V25" s="49"/>
      <c r="W25" s="83" t="str">
        <f t="shared" si="4"/>
        <v>-</v>
      </c>
      <c r="X25" s="83" t="str">
        <f>IF(I25='Pag 08_Legendas'!B$12,"P&amp;D&amp;I","Bolsa e auxílio")</f>
        <v>Bolsa e auxílio</v>
      </c>
      <c r="Y25" s="83" t="str">
        <f t="shared" si="5"/>
        <v>NÃO</v>
      </c>
      <c r="Z25" s="83" t="str">
        <f t="shared" si="6"/>
        <v>NÃO</v>
      </c>
      <c r="AA25" s="83"/>
      <c r="AB25" s="83"/>
      <c r="AC25" s="83"/>
      <c r="AD25" s="9"/>
      <c r="AE25" s="9"/>
      <c r="AF25" s="9"/>
      <c r="AG25" s="9"/>
      <c r="AH25" s="14"/>
    </row>
    <row r="26" spans="1:34" x14ac:dyDescent="0.2">
      <c r="A26" s="44"/>
      <c r="B26" s="99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116"/>
      <c r="N26" s="47"/>
      <c r="O26" s="47"/>
      <c r="P26" s="47"/>
      <c r="Q26" s="47"/>
      <c r="R26" s="47"/>
      <c r="S26" s="114">
        <f t="shared" si="0"/>
        <v>0</v>
      </c>
      <c r="T26" s="119"/>
      <c r="U26" s="44"/>
      <c r="V26" s="49"/>
      <c r="W26" s="83" t="str">
        <f t="shared" ref="W26:W27" si="7">IF(A26&gt;0,(MONTH(A26)),"-")</f>
        <v>-</v>
      </c>
      <c r="X26" s="83" t="str">
        <f>IF(I26='Pag 08_Legendas'!B$12,"P&amp;D&amp;I","Bolsa e auxílio")</f>
        <v>Bolsa e auxílio</v>
      </c>
      <c r="Y26" s="83" t="str">
        <f t="shared" ref="Y26:Y27" si="8">IF(J26="Pibic","SIM","NÃO")</f>
        <v>NÃO</v>
      </c>
      <c r="Z26" s="83" t="str">
        <f t="shared" ref="Z26:Z27" si="9">IF(J26="Pibiti","SIM","NÃO")</f>
        <v>NÃO</v>
      </c>
      <c r="AA26" s="83"/>
      <c r="AB26" s="83"/>
      <c r="AC26" s="83"/>
      <c r="AD26" s="9"/>
      <c r="AE26" s="9"/>
      <c r="AF26" s="9"/>
      <c r="AG26" s="9"/>
      <c r="AH26" s="14"/>
    </row>
    <row r="27" spans="1:34" x14ac:dyDescent="0.2">
      <c r="A27" s="44"/>
      <c r="B27" s="99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7"/>
      <c r="N27" s="47"/>
      <c r="O27" s="47"/>
      <c r="P27" s="47"/>
      <c r="Q27" s="47"/>
      <c r="R27" s="47"/>
      <c r="S27" s="114">
        <f t="shared" si="0"/>
        <v>0</v>
      </c>
      <c r="T27" s="119"/>
      <c r="U27" s="44"/>
      <c r="V27" s="49"/>
      <c r="W27" s="83" t="str">
        <f t="shared" si="7"/>
        <v>-</v>
      </c>
      <c r="X27" s="83" t="str">
        <f>IF(I27='Pag 08_Legendas'!B$12,"P&amp;D&amp;I","Bolsa e auxílio")</f>
        <v>Bolsa e auxílio</v>
      </c>
      <c r="Y27" s="83" t="str">
        <f t="shared" si="8"/>
        <v>NÃO</v>
      </c>
      <c r="Z27" s="83" t="str">
        <f t="shared" si="9"/>
        <v>NÃO</v>
      </c>
      <c r="AA27" s="83"/>
      <c r="AB27" s="83"/>
      <c r="AC27" s="83"/>
      <c r="AD27" s="9"/>
      <c r="AE27" s="9"/>
      <c r="AF27" s="9"/>
      <c r="AG27" s="9"/>
      <c r="AH27" s="14"/>
    </row>
    <row r="28" spans="1:34" x14ac:dyDescent="0.2">
      <c r="A28" s="44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7"/>
      <c r="N28" s="47"/>
      <c r="O28" s="47"/>
      <c r="P28" s="47"/>
      <c r="Q28" s="47"/>
      <c r="R28" s="47"/>
      <c r="S28" s="114">
        <f t="shared" ref="S28:S59" si="10">SUM(M28:R28)</f>
        <v>0</v>
      </c>
      <c r="T28" s="119"/>
      <c r="U28" s="44"/>
      <c r="V28" s="49"/>
      <c r="W28" s="83" t="str">
        <f t="shared" ref="W28:W59" si="11">IF(A28&gt;0,(MONTH(A28)),"-")</f>
        <v>-</v>
      </c>
      <c r="X28" s="83" t="str">
        <f>IF(I28='Pag 08_Legendas'!B$12,"P&amp;D&amp;I","Bolsa e auxílio")</f>
        <v>Bolsa e auxílio</v>
      </c>
      <c r="Y28" s="83" t="str">
        <f t="shared" ref="Y28:Y59" si="12">IF(J28="Pibic","SIM","NÃO")</f>
        <v>NÃO</v>
      </c>
      <c r="Z28" s="83" t="str">
        <f t="shared" ref="Z28:Z59" si="13">IF(J28="Pibiti","SIM","NÃO")</f>
        <v>NÃO</v>
      </c>
      <c r="AA28" s="83"/>
      <c r="AB28" s="83"/>
      <c r="AC28" s="83"/>
      <c r="AD28" s="9"/>
      <c r="AE28" s="9"/>
      <c r="AF28" s="9"/>
      <c r="AG28" s="9"/>
      <c r="AH28" s="14"/>
    </row>
    <row r="29" spans="1:34" x14ac:dyDescent="0.2">
      <c r="A29" s="44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7"/>
      <c r="N29" s="47"/>
      <c r="O29" s="47"/>
      <c r="P29" s="47"/>
      <c r="Q29" s="47"/>
      <c r="R29" s="47"/>
      <c r="S29" s="114">
        <f t="shared" si="10"/>
        <v>0</v>
      </c>
      <c r="T29" s="119"/>
      <c r="U29" s="44"/>
      <c r="V29" s="49"/>
      <c r="W29" s="83" t="str">
        <f t="shared" si="11"/>
        <v>-</v>
      </c>
      <c r="X29" s="83" t="str">
        <f>IF(I29='Pag 08_Legendas'!B$12,"P&amp;D&amp;I","Bolsa e auxílio")</f>
        <v>Bolsa e auxílio</v>
      </c>
      <c r="Y29" s="83" t="str">
        <f t="shared" si="12"/>
        <v>NÃO</v>
      </c>
      <c r="Z29" s="83" t="str">
        <f t="shared" si="13"/>
        <v>NÃO</v>
      </c>
      <c r="AA29" s="83"/>
      <c r="AB29" s="83"/>
      <c r="AC29" s="83"/>
      <c r="AD29" s="9"/>
      <c r="AE29" s="9"/>
      <c r="AF29" s="9"/>
      <c r="AG29" s="9"/>
      <c r="AH29" s="14"/>
    </row>
    <row r="30" spans="1:34" x14ac:dyDescent="0.2">
      <c r="A30" s="44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7"/>
      <c r="N30" s="47"/>
      <c r="O30" s="47"/>
      <c r="P30" s="47"/>
      <c r="Q30" s="47"/>
      <c r="R30" s="47"/>
      <c r="S30" s="114">
        <f t="shared" si="10"/>
        <v>0</v>
      </c>
      <c r="T30" s="119"/>
      <c r="U30" s="44"/>
      <c r="V30" s="49"/>
      <c r="W30" s="83" t="str">
        <f t="shared" si="11"/>
        <v>-</v>
      </c>
      <c r="X30" s="83" t="str">
        <f>IF(I30='Pag 08_Legendas'!B$12,"P&amp;D&amp;I","Bolsa e auxílio")</f>
        <v>Bolsa e auxílio</v>
      </c>
      <c r="Y30" s="83" t="str">
        <f t="shared" si="12"/>
        <v>NÃO</v>
      </c>
      <c r="Z30" s="83" t="str">
        <f t="shared" si="13"/>
        <v>NÃO</v>
      </c>
      <c r="AA30" s="83"/>
      <c r="AB30" s="83"/>
      <c r="AC30" s="83"/>
      <c r="AD30" s="9"/>
      <c r="AE30" s="9"/>
      <c r="AF30" s="9"/>
      <c r="AG30" s="9"/>
      <c r="AH30" s="14"/>
    </row>
    <row r="31" spans="1:34" x14ac:dyDescent="0.2">
      <c r="A31" s="44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7"/>
      <c r="N31" s="47"/>
      <c r="O31" s="47"/>
      <c r="P31" s="47"/>
      <c r="Q31" s="47"/>
      <c r="R31" s="47"/>
      <c r="S31" s="114">
        <f t="shared" si="10"/>
        <v>0</v>
      </c>
      <c r="T31" s="119"/>
      <c r="U31" s="44"/>
      <c r="V31" s="49"/>
      <c r="W31" s="83" t="str">
        <f t="shared" si="11"/>
        <v>-</v>
      </c>
      <c r="X31" s="83" t="str">
        <f>IF(I31='Pag 08_Legendas'!B$12,"P&amp;D&amp;I","Bolsa e auxílio")</f>
        <v>Bolsa e auxílio</v>
      </c>
      <c r="Y31" s="83" t="str">
        <f t="shared" si="12"/>
        <v>NÃO</v>
      </c>
      <c r="Z31" s="83" t="str">
        <f t="shared" si="13"/>
        <v>NÃO</v>
      </c>
      <c r="AA31" s="83"/>
      <c r="AB31" s="83"/>
      <c r="AC31" s="83"/>
      <c r="AD31" s="9"/>
      <c r="AE31" s="9"/>
      <c r="AF31" s="9"/>
      <c r="AG31" s="9"/>
      <c r="AH31" s="14"/>
    </row>
    <row r="32" spans="1:34" x14ac:dyDescent="0.2">
      <c r="A32" s="44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7"/>
      <c r="N32" s="47"/>
      <c r="O32" s="47"/>
      <c r="P32" s="47"/>
      <c r="Q32" s="47"/>
      <c r="R32" s="47"/>
      <c r="S32" s="114">
        <f t="shared" si="10"/>
        <v>0</v>
      </c>
      <c r="T32" s="119"/>
      <c r="U32" s="44"/>
      <c r="V32" s="49"/>
      <c r="W32" s="83" t="str">
        <f t="shared" si="11"/>
        <v>-</v>
      </c>
      <c r="X32" s="83" t="str">
        <f>IF(I32='Pag 08_Legendas'!B$12,"P&amp;D&amp;I","Bolsa e auxílio")</f>
        <v>Bolsa e auxílio</v>
      </c>
      <c r="Y32" s="83" t="str">
        <f t="shared" si="12"/>
        <v>NÃO</v>
      </c>
      <c r="Z32" s="83" t="str">
        <f t="shared" si="13"/>
        <v>NÃO</v>
      </c>
      <c r="AA32" s="83"/>
      <c r="AB32" s="83"/>
      <c r="AC32" s="83"/>
      <c r="AD32" s="9"/>
      <c r="AE32" s="9"/>
      <c r="AF32" s="9"/>
      <c r="AG32" s="9"/>
      <c r="AH32" s="14"/>
    </row>
    <row r="33" spans="1:34" x14ac:dyDescent="0.2">
      <c r="A33" s="44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7"/>
      <c r="N33" s="47"/>
      <c r="O33" s="47"/>
      <c r="P33" s="47"/>
      <c r="Q33" s="47"/>
      <c r="R33" s="47"/>
      <c r="S33" s="114">
        <f t="shared" si="10"/>
        <v>0</v>
      </c>
      <c r="T33" s="119"/>
      <c r="U33" s="44"/>
      <c r="V33" s="49"/>
      <c r="W33" s="83" t="str">
        <f t="shared" si="11"/>
        <v>-</v>
      </c>
      <c r="X33" s="83" t="str">
        <f>IF(I33='Pag 08_Legendas'!B$12,"P&amp;D&amp;I","Bolsa e auxílio")</f>
        <v>Bolsa e auxílio</v>
      </c>
      <c r="Y33" s="83" t="str">
        <f t="shared" si="12"/>
        <v>NÃO</v>
      </c>
      <c r="Z33" s="83" t="str">
        <f t="shared" si="13"/>
        <v>NÃO</v>
      </c>
      <c r="AA33" s="83"/>
      <c r="AB33" s="83"/>
      <c r="AC33" s="83"/>
      <c r="AD33" s="9"/>
      <c r="AE33" s="9"/>
      <c r="AF33" s="9"/>
      <c r="AG33" s="9"/>
      <c r="AH33" s="14"/>
    </row>
    <row r="34" spans="1:34" x14ac:dyDescent="0.2">
      <c r="A34" s="44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7"/>
      <c r="N34" s="47"/>
      <c r="O34" s="47"/>
      <c r="P34" s="47"/>
      <c r="Q34" s="47"/>
      <c r="R34" s="47"/>
      <c r="S34" s="114">
        <f t="shared" si="10"/>
        <v>0</v>
      </c>
      <c r="T34" s="119"/>
      <c r="U34" s="44"/>
      <c r="V34" s="49"/>
      <c r="W34" s="83" t="str">
        <f t="shared" si="11"/>
        <v>-</v>
      </c>
      <c r="X34" s="83" t="str">
        <f>IF(I34='Pag 08_Legendas'!B$12,"P&amp;D&amp;I","Bolsa e auxílio")</f>
        <v>Bolsa e auxílio</v>
      </c>
      <c r="Y34" s="83" t="str">
        <f t="shared" si="12"/>
        <v>NÃO</v>
      </c>
      <c r="Z34" s="83" t="str">
        <f t="shared" si="13"/>
        <v>NÃO</v>
      </c>
      <c r="AA34" s="83"/>
      <c r="AB34" s="83"/>
      <c r="AC34" s="83"/>
      <c r="AD34" s="9"/>
      <c r="AE34" s="9"/>
      <c r="AF34" s="9"/>
      <c r="AG34" s="9"/>
      <c r="AH34" s="14"/>
    </row>
    <row r="35" spans="1:34" x14ac:dyDescent="0.2">
      <c r="A35" s="44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7"/>
      <c r="N35" s="47"/>
      <c r="O35" s="47"/>
      <c r="P35" s="47"/>
      <c r="Q35" s="47"/>
      <c r="R35" s="47"/>
      <c r="S35" s="114">
        <f t="shared" si="10"/>
        <v>0</v>
      </c>
      <c r="T35" s="119"/>
      <c r="U35" s="44"/>
      <c r="V35" s="49"/>
      <c r="W35" s="83" t="str">
        <f t="shared" si="11"/>
        <v>-</v>
      </c>
      <c r="X35" s="83" t="str">
        <f>IF(I35='Pag 08_Legendas'!B$12,"P&amp;D&amp;I","Bolsa e auxílio")</f>
        <v>Bolsa e auxílio</v>
      </c>
      <c r="Y35" s="83" t="str">
        <f t="shared" si="12"/>
        <v>NÃO</v>
      </c>
      <c r="Z35" s="83" t="str">
        <f t="shared" si="13"/>
        <v>NÃO</v>
      </c>
      <c r="AA35" s="83"/>
      <c r="AB35" s="83"/>
      <c r="AC35" s="83"/>
      <c r="AD35" s="9"/>
      <c r="AE35" s="9"/>
      <c r="AF35" s="9"/>
      <c r="AG35" s="9"/>
      <c r="AH35" s="14"/>
    </row>
    <row r="36" spans="1:34" x14ac:dyDescent="0.2">
      <c r="A36" s="44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7"/>
      <c r="N36" s="47"/>
      <c r="O36" s="47"/>
      <c r="P36" s="47"/>
      <c r="Q36" s="47"/>
      <c r="R36" s="47"/>
      <c r="S36" s="114">
        <f t="shared" si="10"/>
        <v>0</v>
      </c>
      <c r="T36" s="119"/>
      <c r="U36" s="44"/>
      <c r="V36" s="49"/>
      <c r="W36" s="83" t="str">
        <f t="shared" si="11"/>
        <v>-</v>
      </c>
      <c r="X36" s="83" t="str">
        <f>IF(I36='Pag 08_Legendas'!B$12,"P&amp;D&amp;I","Bolsa e auxílio")</f>
        <v>Bolsa e auxílio</v>
      </c>
      <c r="Y36" s="83" t="str">
        <f t="shared" si="12"/>
        <v>NÃO</v>
      </c>
      <c r="Z36" s="83" t="str">
        <f t="shared" si="13"/>
        <v>NÃO</v>
      </c>
      <c r="AA36" s="83"/>
      <c r="AB36" s="83"/>
      <c r="AC36" s="83"/>
      <c r="AD36" s="9"/>
      <c r="AE36" s="9"/>
      <c r="AF36" s="9"/>
      <c r="AG36" s="9"/>
      <c r="AH36" s="14"/>
    </row>
    <row r="37" spans="1:34" x14ac:dyDescent="0.2">
      <c r="A37" s="44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/>
      <c r="N37" s="47"/>
      <c r="O37" s="47"/>
      <c r="P37" s="47"/>
      <c r="Q37" s="47"/>
      <c r="R37" s="47"/>
      <c r="S37" s="114">
        <f t="shared" si="10"/>
        <v>0</v>
      </c>
      <c r="T37" s="119"/>
      <c r="U37" s="44"/>
      <c r="V37" s="49"/>
      <c r="W37" s="83" t="str">
        <f t="shared" si="11"/>
        <v>-</v>
      </c>
      <c r="X37" s="83" t="str">
        <f>IF(I37='Pag 08_Legendas'!B$12,"P&amp;D&amp;I","Bolsa e auxílio")</f>
        <v>Bolsa e auxílio</v>
      </c>
      <c r="Y37" s="83" t="str">
        <f t="shared" si="12"/>
        <v>NÃO</v>
      </c>
      <c r="Z37" s="83" t="str">
        <f t="shared" si="13"/>
        <v>NÃO</v>
      </c>
      <c r="AA37" s="83"/>
      <c r="AB37" s="83"/>
      <c r="AC37" s="83"/>
      <c r="AD37" s="9"/>
      <c r="AE37" s="9"/>
      <c r="AF37" s="9"/>
      <c r="AG37" s="9"/>
      <c r="AH37" s="14"/>
    </row>
    <row r="38" spans="1:34" x14ac:dyDescent="0.2">
      <c r="A38" s="44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7"/>
      <c r="N38" s="47"/>
      <c r="O38" s="47"/>
      <c r="P38" s="47"/>
      <c r="Q38" s="47"/>
      <c r="R38" s="47"/>
      <c r="S38" s="114">
        <f t="shared" si="10"/>
        <v>0</v>
      </c>
      <c r="T38" s="119"/>
      <c r="U38" s="44"/>
      <c r="V38" s="49"/>
      <c r="W38" s="83" t="str">
        <f t="shared" si="11"/>
        <v>-</v>
      </c>
      <c r="X38" s="83" t="str">
        <f>IF(I38='Pag 08_Legendas'!B$12,"P&amp;D&amp;I","Bolsa e auxílio")</f>
        <v>Bolsa e auxílio</v>
      </c>
      <c r="Y38" s="83" t="str">
        <f t="shared" si="12"/>
        <v>NÃO</v>
      </c>
      <c r="Z38" s="83" t="str">
        <f t="shared" si="13"/>
        <v>NÃO</v>
      </c>
      <c r="AA38" s="83"/>
      <c r="AB38" s="83"/>
      <c r="AC38" s="83"/>
      <c r="AD38" s="9"/>
      <c r="AE38" s="9"/>
      <c r="AF38" s="9"/>
      <c r="AG38" s="9"/>
      <c r="AH38" s="14"/>
    </row>
    <row r="39" spans="1:34" x14ac:dyDescent="0.2">
      <c r="A39" s="44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7"/>
      <c r="N39" s="47"/>
      <c r="O39" s="47"/>
      <c r="P39" s="47"/>
      <c r="Q39" s="47"/>
      <c r="R39" s="47"/>
      <c r="S39" s="114">
        <f t="shared" si="10"/>
        <v>0</v>
      </c>
      <c r="T39" s="119"/>
      <c r="U39" s="44"/>
      <c r="V39" s="49"/>
      <c r="W39" s="83" t="str">
        <f t="shared" si="11"/>
        <v>-</v>
      </c>
      <c r="X39" s="83" t="str">
        <f>IF(I39='Pag 08_Legendas'!B$12,"P&amp;D&amp;I","Bolsa e auxílio")</f>
        <v>Bolsa e auxílio</v>
      </c>
      <c r="Y39" s="83" t="str">
        <f t="shared" si="12"/>
        <v>NÃO</v>
      </c>
      <c r="Z39" s="83" t="str">
        <f t="shared" si="13"/>
        <v>NÃO</v>
      </c>
      <c r="AA39" s="83"/>
      <c r="AB39" s="83"/>
      <c r="AC39" s="83"/>
      <c r="AD39" s="9"/>
      <c r="AE39" s="9"/>
      <c r="AF39" s="9"/>
      <c r="AG39" s="9"/>
      <c r="AH39" s="14"/>
    </row>
    <row r="40" spans="1:34" x14ac:dyDescent="0.2">
      <c r="A40" s="44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7"/>
      <c r="N40" s="47"/>
      <c r="O40" s="47"/>
      <c r="P40" s="47"/>
      <c r="Q40" s="47"/>
      <c r="R40" s="47"/>
      <c r="S40" s="114">
        <f t="shared" si="10"/>
        <v>0</v>
      </c>
      <c r="T40" s="119"/>
      <c r="U40" s="44"/>
      <c r="V40" s="49"/>
      <c r="W40" s="83" t="str">
        <f t="shared" si="11"/>
        <v>-</v>
      </c>
      <c r="X40" s="83" t="str">
        <f>IF(I40='Pag 08_Legendas'!B$12,"P&amp;D&amp;I","Bolsa e auxílio")</f>
        <v>Bolsa e auxílio</v>
      </c>
      <c r="Y40" s="83" t="str">
        <f t="shared" si="12"/>
        <v>NÃO</v>
      </c>
      <c r="Z40" s="83" t="str">
        <f t="shared" si="13"/>
        <v>NÃO</v>
      </c>
      <c r="AA40" s="83"/>
      <c r="AB40" s="83"/>
      <c r="AC40" s="83"/>
      <c r="AD40" s="9"/>
      <c r="AE40" s="9"/>
      <c r="AF40" s="9"/>
      <c r="AG40" s="9"/>
      <c r="AH40" s="14"/>
    </row>
    <row r="41" spans="1:34" x14ac:dyDescent="0.2">
      <c r="A41" s="44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7"/>
      <c r="N41" s="47"/>
      <c r="O41" s="47"/>
      <c r="P41" s="47"/>
      <c r="Q41" s="47"/>
      <c r="R41" s="47"/>
      <c r="S41" s="114">
        <f t="shared" si="10"/>
        <v>0</v>
      </c>
      <c r="T41" s="119"/>
      <c r="U41" s="44"/>
      <c r="V41" s="49"/>
      <c r="W41" s="83" t="str">
        <f t="shared" si="11"/>
        <v>-</v>
      </c>
      <c r="X41" s="83" t="str">
        <f>IF(I41='Pag 08_Legendas'!B$12,"P&amp;D&amp;I","Bolsa e auxílio")</f>
        <v>Bolsa e auxílio</v>
      </c>
      <c r="Y41" s="83" t="str">
        <f t="shared" si="12"/>
        <v>NÃO</v>
      </c>
      <c r="Z41" s="83" t="str">
        <f t="shared" si="13"/>
        <v>NÃO</v>
      </c>
      <c r="AA41" s="83"/>
      <c r="AB41" s="83"/>
      <c r="AC41" s="83"/>
      <c r="AD41" s="9"/>
      <c r="AE41" s="9"/>
      <c r="AF41" s="9"/>
      <c r="AG41" s="9"/>
      <c r="AH41" s="14"/>
    </row>
    <row r="42" spans="1:34" x14ac:dyDescent="0.2">
      <c r="A42" s="44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7"/>
      <c r="N42" s="47"/>
      <c r="O42" s="47"/>
      <c r="P42" s="47"/>
      <c r="Q42" s="47"/>
      <c r="R42" s="47"/>
      <c r="S42" s="114">
        <f t="shared" si="10"/>
        <v>0</v>
      </c>
      <c r="T42" s="119"/>
      <c r="U42" s="44"/>
      <c r="V42" s="49"/>
      <c r="W42" s="83" t="str">
        <f t="shared" si="11"/>
        <v>-</v>
      </c>
      <c r="X42" s="83" t="str">
        <f>IF(I42='Pag 08_Legendas'!B$12,"P&amp;D&amp;I","Bolsa e auxílio")</f>
        <v>Bolsa e auxílio</v>
      </c>
      <c r="Y42" s="83" t="str">
        <f t="shared" si="12"/>
        <v>NÃO</v>
      </c>
      <c r="Z42" s="83" t="str">
        <f t="shared" si="13"/>
        <v>NÃO</v>
      </c>
      <c r="AA42" s="83"/>
      <c r="AB42" s="83"/>
      <c r="AC42" s="83"/>
      <c r="AD42" s="9"/>
      <c r="AE42" s="9"/>
      <c r="AF42" s="9"/>
      <c r="AG42" s="9"/>
      <c r="AH42" s="14"/>
    </row>
    <row r="43" spans="1:34" x14ac:dyDescent="0.2">
      <c r="A43" s="44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7"/>
      <c r="N43" s="47"/>
      <c r="O43" s="47"/>
      <c r="P43" s="47"/>
      <c r="Q43" s="47"/>
      <c r="R43" s="47"/>
      <c r="S43" s="114">
        <f t="shared" si="10"/>
        <v>0</v>
      </c>
      <c r="T43" s="119"/>
      <c r="U43" s="44"/>
      <c r="V43" s="49"/>
      <c r="W43" s="83" t="str">
        <f t="shared" si="11"/>
        <v>-</v>
      </c>
      <c r="X43" s="83" t="str">
        <f>IF(I43='Pag 08_Legendas'!B$12,"P&amp;D&amp;I","Bolsa e auxílio")</f>
        <v>Bolsa e auxílio</v>
      </c>
      <c r="Y43" s="83" t="str">
        <f t="shared" si="12"/>
        <v>NÃO</v>
      </c>
      <c r="Z43" s="83" t="str">
        <f t="shared" si="13"/>
        <v>NÃO</v>
      </c>
      <c r="AA43" s="83"/>
      <c r="AB43" s="83"/>
      <c r="AC43" s="83"/>
      <c r="AD43" s="9"/>
      <c r="AE43" s="9"/>
      <c r="AF43" s="9"/>
      <c r="AG43" s="9"/>
      <c r="AH43" s="14"/>
    </row>
    <row r="44" spans="1:34" x14ac:dyDescent="0.2">
      <c r="A44" s="44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7"/>
      <c r="N44" s="47"/>
      <c r="O44" s="47"/>
      <c r="P44" s="47"/>
      <c r="Q44" s="47"/>
      <c r="R44" s="47"/>
      <c r="S44" s="114">
        <f t="shared" si="10"/>
        <v>0</v>
      </c>
      <c r="T44" s="119"/>
      <c r="U44" s="44"/>
      <c r="V44" s="49"/>
      <c r="W44" s="83" t="str">
        <f t="shared" si="11"/>
        <v>-</v>
      </c>
      <c r="X44" s="83" t="str">
        <f>IF(I44='Pag 08_Legendas'!B$12,"P&amp;D&amp;I","Bolsa e auxílio")</f>
        <v>Bolsa e auxílio</v>
      </c>
      <c r="Y44" s="83" t="str">
        <f t="shared" si="12"/>
        <v>NÃO</v>
      </c>
      <c r="Z44" s="83" t="str">
        <f t="shared" si="13"/>
        <v>NÃO</v>
      </c>
      <c r="AA44" s="83"/>
      <c r="AB44" s="83"/>
      <c r="AC44" s="83"/>
      <c r="AD44" s="9"/>
      <c r="AE44" s="9"/>
      <c r="AF44" s="9"/>
      <c r="AG44" s="9"/>
      <c r="AH44" s="14"/>
    </row>
    <row r="45" spans="1:34" x14ac:dyDescent="0.2">
      <c r="A45" s="44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7"/>
      <c r="N45" s="47"/>
      <c r="O45" s="47"/>
      <c r="P45" s="47"/>
      <c r="Q45" s="47"/>
      <c r="R45" s="47"/>
      <c r="S45" s="114">
        <f t="shared" si="10"/>
        <v>0</v>
      </c>
      <c r="T45" s="119"/>
      <c r="U45" s="44"/>
      <c r="V45" s="49"/>
      <c r="W45" s="83" t="str">
        <f t="shared" si="11"/>
        <v>-</v>
      </c>
      <c r="X45" s="83" t="str">
        <f>IF(I45='Pag 08_Legendas'!B$12,"P&amp;D&amp;I","Bolsa e auxílio")</f>
        <v>Bolsa e auxílio</v>
      </c>
      <c r="Y45" s="83" t="str">
        <f t="shared" si="12"/>
        <v>NÃO</v>
      </c>
      <c r="Z45" s="83" t="str">
        <f t="shared" si="13"/>
        <v>NÃO</v>
      </c>
      <c r="AA45" s="83"/>
      <c r="AB45" s="83"/>
      <c r="AC45" s="83"/>
      <c r="AD45" s="9"/>
      <c r="AE45" s="9"/>
      <c r="AF45" s="9"/>
      <c r="AG45" s="9"/>
      <c r="AH45" s="14"/>
    </row>
    <row r="46" spans="1:34" x14ac:dyDescent="0.2">
      <c r="A46" s="44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7"/>
      <c r="N46" s="47"/>
      <c r="O46" s="47"/>
      <c r="P46" s="47"/>
      <c r="Q46" s="47"/>
      <c r="R46" s="47"/>
      <c r="S46" s="114">
        <f t="shared" si="10"/>
        <v>0</v>
      </c>
      <c r="T46" s="119"/>
      <c r="U46" s="44"/>
      <c r="V46" s="49"/>
      <c r="W46" s="83" t="str">
        <f t="shared" si="11"/>
        <v>-</v>
      </c>
      <c r="X46" s="83" t="str">
        <f>IF(I46='Pag 08_Legendas'!B$12,"P&amp;D&amp;I","Bolsa e auxílio")</f>
        <v>Bolsa e auxílio</v>
      </c>
      <c r="Y46" s="83" t="str">
        <f t="shared" si="12"/>
        <v>NÃO</v>
      </c>
      <c r="Z46" s="83" t="str">
        <f t="shared" si="13"/>
        <v>NÃO</v>
      </c>
      <c r="AA46" s="83"/>
      <c r="AB46" s="83"/>
      <c r="AC46" s="83"/>
      <c r="AD46" s="9"/>
      <c r="AE46" s="9"/>
      <c r="AF46" s="9"/>
      <c r="AG46" s="9"/>
      <c r="AH46" s="14"/>
    </row>
    <row r="47" spans="1:34" x14ac:dyDescent="0.2">
      <c r="A47" s="44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7"/>
      <c r="N47" s="47"/>
      <c r="O47" s="47"/>
      <c r="P47" s="47"/>
      <c r="Q47" s="47"/>
      <c r="R47" s="47"/>
      <c r="S47" s="114">
        <f t="shared" si="10"/>
        <v>0</v>
      </c>
      <c r="T47" s="119"/>
      <c r="U47" s="44"/>
      <c r="V47" s="49"/>
      <c r="W47" s="83" t="str">
        <f t="shared" si="11"/>
        <v>-</v>
      </c>
      <c r="X47" s="83" t="str">
        <f>IF(I47='Pag 08_Legendas'!B$12,"P&amp;D&amp;I","Bolsa e auxílio")</f>
        <v>Bolsa e auxílio</v>
      </c>
      <c r="Y47" s="83" t="str">
        <f t="shared" si="12"/>
        <v>NÃO</v>
      </c>
      <c r="Z47" s="83" t="str">
        <f t="shared" si="13"/>
        <v>NÃO</v>
      </c>
      <c r="AA47" s="83"/>
      <c r="AB47" s="83"/>
      <c r="AC47" s="83"/>
      <c r="AD47" s="9"/>
      <c r="AE47" s="9"/>
      <c r="AF47" s="9"/>
      <c r="AG47" s="9"/>
      <c r="AH47" s="14"/>
    </row>
    <row r="48" spans="1:34" x14ac:dyDescent="0.2">
      <c r="A48" s="44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7"/>
      <c r="N48" s="47"/>
      <c r="O48" s="47"/>
      <c r="P48" s="47"/>
      <c r="Q48" s="47"/>
      <c r="R48" s="47"/>
      <c r="S48" s="114">
        <f t="shared" si="10"/>
        <v>0</v>
      </c>
      <c r="T48" s="119"/>
      <c r="U48" s="44"/>
      <c r="V48" s="49"/>
      <c r="W48" s="83" t="str">
        <f t="shared" si="11"/>
        <v>-</v>
      </c>
      <c r="X48" s="83" t="str">
        <f>IF(I48='Pag 08_Legendas'!B$12,"P&amp;D&amp;I","Bolsa e auxílio")</f>
        <v>Bolsa e auxílio</v>
      </c>
      <c r="Y48" s="83" t="str">
        <f t="shared" si="12"/>
        <v>NÃO</v>
      </c>
      <c r="Z48" s="83" t="str">
        <f t="shared" si="13"/>
        <v>NÃO</v>
      </c>
      <c r="AA48" s="83"/>
      <c r="AB48" s="83"/>
      <c r="AC48" s="83"/>
      <c r="AD48" s="9"/>
      <c r="AE48" s="9"/>
      <c r="AF48" s="9"/>
      <c r="AG48" s="9"/>
      <c r="AH48" s="14"/>
    </row>
    <row r="49" spans="1:34" x14ac:dyDescent="0.2">
      <c r="A49" s="44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7"/>
      <c r="N49" s="47"/>
      <c r="O49" s="47"/>
      <c r="P49" s="47"/>
      <c r="Q49" s="47"/>
      <c r="R49" s="47"/>
      <c r="S49" s="114">
        <f t="shared" si="10"/>
        <v>0</v>
      </c>
      <c r="T49" s="119"/>
      <c r="U49" s="44"/>
      <c r="V49" s="49"/>
      <c r="W49" s="83" t="str">
        <f t="shared" si="11"/>
        <v>-</v>
      </c>
      <c r="X49" s="83" t="str">
        <f>IF(I49='Pag 08_Legendas'!B$12,"P&amp;D&amp;I","Bolsa e auxílio")</f>
        <v>Bolsa e auxílio</v>
      </c>
      <c r="Y49" s="83" t="str">
        <f t="shared" si="12"/>
        <v>NÃO</v>
      </c>
      <c r="Z49" s="83" t="str">
        <f t="shared" si="13"/>
        <v>NÃO</v>
      </c>
      <c r="AA49" s="83"/>
      <c r="AB49" s="83"/>
      <c r="AC49" s="83"/>
      <c r="AD49" s="9"/>
      <c r="AE49" s="9"/>
      <c r="AF49" s="9"/>
      <c r="AG49" s="9"/>
      <c r="AH49" s="14"/>
    </row>
    <row r="50" spans="1:34" x14ac:dyDescent="0.2">
      <c r="A50" s="44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7"/>
      <c r="N50" s="47"/>
      <c r="O50" s="47"/>
      <c r="P50" s="47"/>
      <c r="Q50" s="47"/>
      <c r="R50" s="47"/>
      <c r="S50" s="114">
        <f t="shared" si="10"/>
        <v>0</v>
      </c>
      <c r="T50" s="119"/>
      <c r="U50" s="44"/>
      <c r="V50" s="49"/>
      <c r="W50" s="83" t="str">
        <f t="shared" si="11"/>
        <v>-</v>
      </c>
      <c r="X50" s="83" t="str">
        <f>IF(I50='Pag 08_Legendas'!B$12,"P&amp;D&amp;I","Bolsa e auxílio")</f>
        <v>Bolsa e auxílio</v>
      </c>
      <c r="Y50" s="83" t="str">
        <f t="shared" si="12"/>
        <v>NÃO</v>
      </c>
      <c r="Z50" s="83" t="str">
        <f t="shared" si="13"/>
        <v>NÃO</v>
      </c>
      <c r="AA50" s="83"/>
      <c r="AB50" s="83"/>
      <c r="AC50" s="83"/>
      <c r="AD50" s="9"/>
      <c r="AE50" s="9"/>
      <c r="AF50" s="9"/>
      <c r="AG50" s="9"/>
      <c r="AH50" s="14"/>
    </row>
    <row r="51" spans="1:34" x14ac:dyDescent="0.2">
      <c r="A51" s="44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7"/>
      <c r="N51" s="47"/>
      <c r="O51" s="47"/>
      <c r="P51" s="47"/>
      <c r="Q51" s="47"/>
      <c r="R51" s="47"/>
      <c r="S51" s="114">
        <f t="shared" si="10"/>
        <v>0</v>
      </c>
      <c r="T51" s="119"/>
      <c r="U51" s="44"/>
      <c r="V51" s="49"/>
      <c r="W51" s="83" t="str">
        <f t="shared" si="11"/>
        <v>-</v>
      </c>
      <c r="X51" s="83" t="str">
        <f>IF(I51='Pag 08_Legendas'!B$12,"P&amp;D&amp;I","Bolsa e auxílio")</f>
        <v>Bolsa e auxílio</v>
      </c>
      <c r="Y51" s="83" t="str">
        <f t="shared" si="12"/>
        <v>NÃO</v>
      </c>
      <c r="Z51" s="83" t="str">
        <f t="shared" si="13"/>
        <v>NÃO</v>
      </c>
      <c r="AA51" s="83"/>
      <c r="AB51" s="83"/>
      <c r="AC51" s="83"/>
      <c r="AD51" s="9"/>
      <c r="AE51" s="9"/>
      <c r="AF51" s="9"/>
      <c r="AG51" s="9"/>
      <c r="AH51" s="14"/>
    </row>
    <row r="52" spans="1:34" x14ac:dyDescent="0.2">
      <c r="A52" s="44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7"/>
      <c r="N52" s="47"/>
      <c r="O52" s="47"/>
      <c r="P52" s="47"/>
      <c r="Q52" s="47"/>
      <c r="R52" s="47"/>
      <c r="S52" s="114">
        <f t="shared" si="10"/>
        <v>0</v>
      </c>
      <c r="T52" s="119"/>
      <c r="U52" s="44"/>
      <c r="V52" s="49"/>
      <c r="W52" s="83" t="str">
        <f t="shared" si="11"/>
        <v>-</v>
      </c>
      <c r="X52" s="83" t="str">
        <f>IF(I52='Pag 08_Legendas'!B$12,"P&amp;D&amp;I","Bolsa e auxílio")</f>
        <v>Bolsa e auxílio</v>
      </c>
      <c r="Y52" s="83" t="str">
        <f t="shared" si="12"/>
        <v>NÃO</v>
      </c>
      <c r="Z52" s="83" t="str">
        <f t="shared" si="13"/>
        <v>NÃO</v>
      </c>
      <c r="AA52" s="83"/>
      <c r="AB52" s="83"/>
      <c r="AC52" s="83"/>
      <c r="AD52" s="9"/>
      <c r="AE52" s="9"/>
      <c r="AF52" s="9"/>
      <c r="AG52" s="9"/>
      <c r="AH52" s="14"/>
    </row>
    <row r="53" spans="1:34" x14ac:dyDescent="0.2">
      <c r="A53" s="44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7"/>
      <c r="N53" s="47"/>
      <c r="O53" s="47"/>
      <c r="P53" s="47"/>
      <c r="Q53" s="47"/>
      <c r="R53" s="47"/>
      <c r="S53" s="114">
        <f t="shared" si="10"/>
        <v>0</v>
      </c>
      <c r="T53" s="119"/>
      <c r="U53" s="44"/>
      <c r="V53" s="49"/>
      <c r="W53" s="83" t="str">
        <f t="shared" si="11"/>
        <v>-</v>
      </c>
      <c r="X53" s="83" t="str">
        <f>IF(I53='Pag 08_Legendas'!B$12,"P&amp;D&amp;I","Bolsa e auxílio")</f>
        <v>Bolsa e auxílio</v>
      </c>
      <c r="Y53" s="83" t="str">
        <f t="shared" si="12"/>
        <v>NÃO</v>
      </c>
      <c r="Z53" s="83" t="str">
        <f t="shared" si="13"/>
        <v>NÃO</v>
      </c>
      <c r="AA53" s="83"/>
      <c r="AB53" s="83"/>
      <c r="AC53" s="83"/>
      <c r="AD53" s="9"/>
      <c r="AE53" s="9"/>
      <c r="AF53" s="9"/>
      <c r="AG53" s="9"/>
      <c r="AH53" s="14"/>
    </row>
    <row r="54" spans="1:34" x14ac:dyDescent="0.2">
      <c r="A54" s="44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7"/>
      <c r="N54" s="47"/>
      <c r="O54" s="47"/>
      <c r="P54" s="47"/>
      <c r="Q54" s="47"/>
      <c r="R54" s="47"/>
      <c r="S54" s="114">
        <f t="shared" si="10"/>
        <v>0</v>
      </c>
      <c r="T54" s="119"/>
      <c r="U54" s="44"/>
      <c r="V54" s="49"/>
      <c r="W54" s="83" t="str">
        <f t="shared" si="11"/>
        <v>-</v>
      </c>
      <c r="X54" s="83" t="str">
        <f>IF(I54='Pag 08_Legendas'!B$12,"P&amp;D&amp;I","Bolsa e auxílio")</f>
        <v>Bolsa e auxílio</v>
      </c>
      <c r="Y54" s="83" t="str">
        <f t="shared" si="12"/>
        <v>NÃO</v>
      </c>
      <c r="Z54" s="83" t="str">
        <f t="shared" si="13"/>
        <v>NÃO</v>
      </c>
      <c r="AA54" s="83"/>
      <c r="AB54" s="83"/>
      <c r="AC54" s="83"/>
      <c r="AD54" s="9"/>
      <c r="AE54" s="9"/>
      <c r="AF54" s="9"/>
      <c r="AG54" s="9"/>
      <c r="AH54" s="14"/>
    </row>
    <row r="55" spans="1:34" x14ac:dyDescent="0.2">
      <c r="A55" s="44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7"/>
      <c r="N55" s="47"/>
      <c r="O55" s="47"/>
      <c r="P55" s="47"/>
      <c r="Q55" s="47"/>
      <c r="R55" s="47"/>
      <c r="S55" s="114">
        <f t="shared" si="10"/>
        <v>0</v>
      </c>
      <c r="T55" s="119"/>
      <c r="U55" s="44"/>
      <c r="V55" s="49"/>
      <c r="W55" s="83" t="str">
        <f t="shared" si="11"/>
        <v>-</v>
      </c>
      <c r="X55" s="83" t="str">
        <f>IF(I55='Pag 08_Legendas'!B$12,"P&amp;D&amp;I","Bolsa e auxílio")</f>
        <v>Bolsa e auxílio</v>
      </c>
      <c r="Y55" s="83" t="str">
        <f t="shared" si="12"/>
        <v>NÃO</v>
      </c>
      <c r="Z55" s="83" t="str">
        <f t="shared" si="13"/>
        <v>NÃO</v>
      </c>
      <c r="AA55" s="83"/>
      <c r="AB55" s="83"/>
      <c r="AC55" s="83"/>
      <c r="AD55" s="9"/>
      <c r="AE55" s="9"/>
      <c r="AF55" s="9"/>
      <c r="AG55" s="9"/>
      <c r="AH55" s="14"/>
    </row>
    <row r="56" spans="1:34" x14ac:dyDescent="0.2">
      <c r="A56" s="44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7"/>
      <c r="N56" s="47"/>
      <c r="O56" s="47"/>
      <c r="P56" s="47"/>
      <c r="Q56" s="47"/>
      <c r="R56" s="47"/>
      <c r="S56" s="114">
        <f t="shared" si="10"/>
        <v>0</v>
      </c>
      <c r="T56" s="119"/>
      <c r="U56" s="44"/>
      <c r="V56" s="49"/>
      <c r="W56" s="83" t="str">
        <f t="shared" si="11"/>
        <v>-</v>
      </c>
      <c r="X56" s="83" t="str">
        <f>IF(I56='Pag 08_Legendas'!B$12,"P&amp;D&amp;I","Bolsa e auxílio")</f>
        <v>Bolsa e auxílio</v>
      </c>
      <c r="Y56" s="83" t="str">
        <f t="shared" si="12"/>
        <v>NÃO</v>
      </c>
      <c r="Z56" s="83" t="str">
        <f t="shared" si="13"/>
        <v>NÃO</v>
      </c>
      <c r="AA56" s="83"/>
      <c r="AB56" s="83"/>
      <c r="AC56" s="83"/>
      <c r="AD56" s="9"/>
      <c r="AE56" s="9"/>
      <c r="AF56" s="9"/>
      <c r="AG56" s="9"/>
      <c r="AH56" s="14"/>
    </row>
    <row r="57" spans="1:34" x14ac:dyDescent="0.2">
      <c r="A57" s="44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7"/>
      <c r="N57" s="47"/>
      <c r="O57" s="47"/>
      <c r="P57" s="47"/>
      <c r="Q57" s="47"/>
      <c r="R57" s="47"/>
      <c r="S57" s="114">
        <f t="shared" si="10"/>
        <v>0</v>
      </c>
      <c r="T57" s="119"/>
      <c r="U57" s="44"/>
      <c r="V57" s="49"/>
      <c r="W57" s="83" t="str">
        <f t="shared" si="11"/>
        <v>-</v>
      </c>
      <c r="X57" s="83" t="str">
        <f>IF(I57='Pag 08_Legendas'!B$12,"P&amp;D&amp;I","Bolsa e auxílio")</f>
        <v>Bolsa e auxílio</v>
      </c>
      <c r="Y57" s="83" t="str">
        <f t="shared" si="12"/>
        <v>NÃO</v>
      </c>
      <c r="Z57" s="83" t="str">
        <f t="shared" si="13"/>
        <v>NÃO</v>
      </c>
      <c r="AA57" s="83"/>
      <c r="AB57" s="83"/>
      <c r="AC57" s="83"/>
      <c r="AD57" s="9"/>
      <c r="AE57" s="9"/>
      <c r="AF57" s="9"/>
      <c r="AG57" s="9"/>
      <c r="AH57" s="14"/>
    </row>
    <row r="58" spans="1:34" x14ac:dyDescent="0.2">
      <c r="A58" s="44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7"/>
      <c r="N58" s="47"/>
      <c r="O58" s="47"/>
      <c r="P58" s="47"/>
      <c r="Q58" s="47"/>
      <c r="R58" s="47"/>
      <c r="S58" s="114">
        <f t="shared" si="10"/>
        <v>0</v>
      </c>
      <c r="T58" s="119"/>
      <c r="U58" s="44"/>
      <c r="V58" s="49"/>
      <c r="W58" s="83" t="str">
        <f t="shared" si="11"/>
        <v>-</v>
      </c>
      <c r="X58" s="83" t="str">
        <f>IF(I58='Pag 08_Legendas'!B$12,"P&amp;D&amp;I","Bolsa e auxílio")</f>
        <v>Bolsa e auxílio</v>
      </c>
      <c r="Y58" s="83" t="str">
        <f t="shared" si="12"/>
        <v>NÃO</v>
      </c>
      <c r="Z58" s="83" t="str">
        <f t="shared" si="13"/>
        <v>NÃO</v>
      </c>
      <c r="AA58" s="83"/>
      <c r="AB58" s="83"/>
      <c r="AC58" s="83"/>
      <c r="AD58" s="9"/>
      <c r="AE58" s="9"/>
      <c r="AF58" s="9"/>
      <c r="AG58" s="9"/>
      <c r="AH58" s="14"/>
    </row>
    <row r="59" spans="1:34" x14ac:dyDescent="0.2">
      <c r="A59" s="44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7"/>
      <c r="N59" s="47"/>
      <c r="O59" s="47"/>
      <c r="P59" s="47"/>
      <c r="Q59" s="47"/>
      <c r="R59" s="47"/>
      <c r="S59" s="114">
        <f t="shared" si="10"/>
        <v>0</v>
      </c>
      <c r="T59" s="119"/>
      <c r="U59" s="44"/>
      <c r="V59" s="49"/>
      <c r="W59" s="83" t="str">
        <f t="shared" si="11"/>
        <v>-</v>
      </c>
      <c r="X59" s="83" t="str">
        <f>IF(I59='Pag 08_Legendas'!B$12,"P&amp;D&amp;I","Bolsa e auxílio")</f>
        <v>Bolsa e auxílio</v>
      </c>
      <c r="Y59" s="83" t="str">
        <f t="shared" si="12"/>
        <v>NÃO</v>
      </c>
      <c r="Z59" s="83" t="str">
        <f t="shared" si="13"/>
        <v>NÃO</v>
      </c>
      <c r="AA59" s="83"/>
      <c r="AB59" s="83"/>
      <c r="AC59" s="83"/>
      <c r="AD59" s="9"/>
      <c r="AE59" s="9"/>
      <c r="AF59" s="9"/>
      <c r="AG59" s="9"/>
      <c r="AH59" s="14"/>
    </row>
    <row r="60" spans="1:34" x14ac:dyDescent="0.2">
      <c r="A60" s="44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7"/>
      <c r="N60" s="47"/>
      <c r="O60" s="47"/>
      <c r="P60" s="47"/>
      <c r="Q60" s="47"/>
      <c r="R60" s="47"/>
      <c r="S60" s="114">
        <f t="shared" ref="S60:S78" si="14">SUM(M60:R60)</f>
        <v>0</v>
      </c>
      <c r="T60" s="119"/>
      <c r="U60" s="44"/>
      <c r="V60" s="49"/>
      <c r="W60" s="83" t="str">
        <f t="shared" ref="W60:W78" si="15">IF(A60&gt;0,(MONTH(A60)),"-")</f>
        <v>-</v>
      </c>
      <c r="X60" s="83" t="str">
        <f>IF(I60='Pag 08_Legendas'!B$12,"P&amp;D&amp;I","Bolsa e auxílio")</f>
        <v>Bolsa e auxílio</v>
      </c>
      <c r="Y60" s="83" t="str">
        <f t="shared" ref="Y60:Y78" si="16">IF(J60="Pibic","SIM","NÃO")</f>
        <v>NÃO</v>
      </c>
      <c r="Z60" s="83" t="str">
        <f t="shared" ref="Z60:Z78" si="17">IF(J60="Pibiti","SIM","NÃO")</f>
        <v>NÃO</v>
      </c>
      <c r="AA60" s="83"/>
      <c r="AB60" s="83"/>
      <c r="AC60" s="83"/>
      <c r="AD60" s="9"/>
      <c r="AE60" s="9"/>
      <c r="AF60" s="9"/>
      <c r="AG60" s="9"/>
      <c r="AH60" s="14"/>
    </row>
    <row r="61" spans="1:34" x14ac:dyDescent="0.2">
      <c r="A61" s="44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7"/>
      <c r="N61" s="47"/>
      <c r="O61" s="47"/>
      <c r="P61" s="47"/>
      <c r="Q61" s="47"/>
      <c r="R61" s="47"/>
      <c r="S61" s="114">
        <f t="shared" si="14"/>
        <v>0</v>
      </c>
      <c r="T61" s="119"/>
      <c r="U61" s="44"/>
      <c r="V61" s="49"/>
      <c r="W61" s="83" t="str">
        <f t="shared" si="15"/>
        <v>-</v>
      </c>
      <c r="X61" s="83" t="str">
        <f>IF(I61='Pag 08_Legendas'!B$12,"P&amp;D&amp;I","Bolsa e auxílio")</f>
        <v>Bolsa e auxílio</v>
      </c>
      <c r="Y61" s="83" t="str">
        <f t="shared" si="16"/>
        <v>NÃO</v>
      </c>
      <c r="Z61" s="83" t="str">
        <f t="shared" si="17"/>
        <v>NÃO</v>
      </c>
      <c r="AA61" s="83"/>
      <c r="AB61" s="83"/>
      <c r="AC61" s="83"/>
      <c r="AD61" s="9"/>
      <c r="AE61" s="9"/>
      <c r="AF61" s="9"/>
      <c r="AG61" s="9"/>
      <c r="AH61" s="14"/>
    </row>
    <row r="62" spans="1:34" x14ac:dyDescent="0.2">
      <c r="A62" s="44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7"/>
      <c r="N62" s="47"/>
      <c r="O62" s="47"/>
      <c r="P62" s="47"/>
      <c r="Q62" s="47"/>
      <c r="R62" s="47"/>
      <c r="S62" s="114">
        <f t="shared" si="14"/>
        <v>0</v>
      </c>
      <c r="T62" s="119"/>
      <c r="U62" s="44"/>
      <c r="V62" s="49"/>
      <c r="W62" s="83" t="str">
        <f t="shared" si="15"/>
        <v>-</v>
      </c>
      <c r="X62" s="83" t="str">
        <f>IF(I62='Pag 08_Legendas'!B$12,"P&amp;D&amp;I","Bolsa e auxílio")</f>
        <v>Bolsa e auxílio</v>
      </c>
      <c r="Y62" s="83" t="str">
        <f t="shared" si="16"/>
        <v>NÃO</v>
      </c>
      <c r="Z62" s="83" t="str">
        <f t="shared" si="17"/>
        <v>NÃO</v>
      </c>
      <c r="AA62" s="83"/>
      <c r="AB62" s="83"/>
      <c r="AC62" s="83"/>
      <c r="AD62" s="9"/>
      <c r="AE62" s="9"/>
      <c r="AF62" s="9"/>
      <c r="AG62" s="9"/>
      <c r="AH62" s="14"/>
    </row>
    <row r="63" spans="1:34" x14ac:dyDescent="0.2">
      <c r="A63" s="44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7"/>
      <c r="N63" s="47"/>
      <c r="O63" s="47"/>
      <c r="P63" s="47"/>
      <c r="Q63" s="47"/>
      <c r="R63" s="47"/>
      <c r="S63" s="114">
        <f t="shared" si="14"/>
        <v>0</v>
      </c>
      <c r="T63" s="119"/>
      <c r="U63" s="44"/>
      <c r="V63" s="49"/>
      <c r="W63" s="83" t="str">
        <f t="shared" si="15"/>
        <v>-</v>
      </c>
      <c r="X63" s="83" t="str">
        <f>IF(I63='Pag 08_Legendas'!B$12,"P&amp;D&amp;I","Bolsa e auxílio")</f>
        <v>Bolsa e auxílio</v>
      </c>
      <c r="Y63" s="83" t="str">
        <f t="shared" si="16"/>
        <v>NÃO</v>
      </c>
      <c r="Z63" s="83" t="str">
        <f t="shared" si="17"/>
        <v>NÃO</v>
      </c>
      <c r="AA63" s="83"/>
      <c r="AB63" s="83"/>
      <c r="AC63" s="83"/>
      <c r="AD63" s="9"/>
      <c r="AE63" s="9"/>
      <c r="AF63" s="9"/>
      <c r="AG63" s="9"/>
      <c r="AH63" s="14"/>
    </row>
    <row r="64" spans="1:34" x14ac:dyDescent="0.2">
      <c r="A64" s="44"/>
      <c r="B64" s="99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7"/>
      <c r="N64" s="47"/>
      <c r="O64" s="47"/>
      <c r="P64" s="47"/>
      <c r="Q64" s="47"/>
      <c r="R64" s="47"/>
      <c r="S64" s="114">
        <f t="shared" si="14"/>
        <v>0</v>
      </c>
      <c r="T64" s="119"/>
      <c r="U64" s="44"/>
      <c r="V64" s="49"/>
      <c r="W64" s="83" t="str">
        <f t="shared" si="15"/>
        <v>-</v>
      </c>
      <c r="X64" s="83" t="str">
        <f>IF(I64='Pag 08_Legendas'!B$12,"P&amp;D&amp;I","Bolsa e auxílio")</f>
        <v>Bolsa e auxílio</v>
      </c>
      <c r="Y64" s="83" t="str">
        <f t="shared" si="16"/>
        <v>NÃO</v>
      </c>
      <c r="Z64" s="83" t="str">
        <f t="shared" si="17"/>
        <v>NÃO</v>
      </c>
      <c r="AA64" s="83"/>
      <c r="AB64" s="83"/>
      <c r="AC64" s="83"/>
      <c r="AD64" s="9"/>
      <c r="AE64" s="9"/>
      <c r="AF64" s="9"/>
      <c r="AG64" s="9"/>
      <c r="AH64" s="14"/>
    </row>
    <row r="65" spans="1:34" x14ac:dyDescent="0.2">
      <c r="A65" s="44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7"/>
      <c r="N65" s="47"/>
      <c r="O65" s="47"/>
      <c r="P65" s="47"/>
      <c r="Q65" s="47"/>
      <c r="R65" s="47"/>
      <c r="S65" s="114">
        <f t="shared" si="14"/>
        <v>0</v>
      </c>
      <c r="T65" s="119"/>
      <c r="U65" s="44"/>
      <c r="V65" s="49"/>
      <c r="W65" s="83" t="str">
        <f t="shared" si="15"/>
        <v>-</v>
      </c>
      <c r="X65" s="83" t="str">
        <f>IF(I65='Pag 08_Legendas'!B$12,"P&amp;D&amp;I","Bolsa e auxílio")</f>
        <v>Bolsa e auxílio</v>
      </c>
      <c r="Y65" s="83" t="str">
        <f t="shared" si="16"/>
        <v>NÃO</v>
      </c>
      <c r="Z65" s="83" t="str">
        <f t="shared" si="17"/>
        <v>NÃO</v>
      </c>
      <c r="AA65" s="83"/>
      <c r="AB65" s="83"/>
      <c r="AC65" s="83"/>
      <c r="AD65" s="9"/>
      <c r="AE65" s="9"/>
      <c r="AF65" s="9"/>
      <c r="AG65" s="9"/>
      <c r="AH65" s="14"/>
    </row>
    <row r="66" spans="1:34" x14ac:dyDescent="0.2">
      <c r="A66" s="44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7"/>
      <c r="N66" s="47"/>
      <c r="O66" s="47"/>
      <c r="P66" s="47"/>
      <c r="Q66" s="47"/>
      <c r="R66" s="47"/>
      <c r="S66" s="114">
        <f t="shared" si="14"/>
        <v>0</v>
      </c>
      <c r="T66" s="119"/>
      <c r="U66" s="44"/>
      <c r="V66" s="49"/>
      <c r="W66" s="83" t="str">
        <f t="shared" si="15"/>
        <v>-</v>
      </c>
      <c r="X66" s="83" t="str">
        <f>IF(I66='Pag 08_Legendas'!B$12,"P&amp;D&amp;I","Bolsa e auxílio")</f>
        <v>Bolsa e auxílio</v>
      </c>
      <c r="Y66" s="83" t="str">
        <f t="shared" si="16"/>
        <v>NÃO</v>
      </c>
      <c r="Z66" s="83" t="str">
        <f t="shared" si="17"/>
        <v>NÃO</v>
      </c>
      <c r="AA66" s="83"/>
      <c r="AB66" s="83"/>
      <c r="AC66" s="83"/>
      <c r="AD66" s="9"/>
      <c r="AE66" s="9"/>
      <c r="AF66" s="9"/>
      <c r="AG66" s="9"/>
      <c r="AH66" s="14"/>
    </row>
    <row r="67" spans="1:34" x14ac:dyDescent="0.2">
      <c r="A67" s="44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7"/>
      <c r="N67" s="47"/>
      <c r="O67" s="47"/>
      <c r="P67" s="47"/>
      <c r="Q67" s="47"/>
      <c r="R67" s="47"/>
      <c r="S67" s="114">
        <f t="shared" si="14"/>
        <v>0</v>
      </c>
      <c r="T67" s="119"/>
      <c r="U67" s="44"/>
      <c r="V67" s="49"/>
      <c r="W67" s="83" t="str">
        <f t="shared" si="15"/>
        <v>-</v>
      </c>
      <c r="X67" s="83" t="str">
        <f>IF(I67='Pag 08_Legendas'!B$12,"P&amp;D&amp;I","Bolsa e auxílio")</f>
        <v>Bolsa e auxílio</v>
      </c>
      <c r="Y67" s="83" t="str">
        <f t="shared" si="16"/>
        <v>NÃO</v>
      </c>
      <c r="Z67" s="83" t="str">
        <f t="shared" si="17"/>
        <v>NÃO</v>
      </c>
      <c r="AA67" s="83"/>
      <c r="AB67" s="83"/>
      <c r="AC67" s="83"/>
      <c r="AD67" s="9"/>
      <c r="AE67" s="9"/>
      <c r="AF67" s="9"/>
      <c r="AG67" s="9"/>
      <c r="AH67" s="14"/>
    </row>
    <row r="68" spans="1:34" x14ac:dyDescent="0.2">
      <c r="A68" s="44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7"/>
      <c r="N68" s="47"/>
      <c r="O68" s="47"/>
      <c r="P68" s="47"/>
      <c r="Q68" s="47"/>
      <c r="R68" s="47"/>
      <c r="S68" s="114">
        <f t="shared" si="14"/>
        <v>0</v>
      </c>
      <c r="T68" s="119"/>
      <c r="U68" s="44"/>
      <c r="V68" s="49"/>
      <c r="W68" s="83" t="str">
        <f t="shared" si="15"/>
        <v>-</v>
      </c>
      <c r="X68" s="83" t="str">
        <f>IF(I68='Pag 08_Legendas'!B$12,"P&amp;D&amp;I","Bolsa e auxílio")</f>
        <v>Bolsa e auxílio</v>
      </c>
      <c r="Y68" s="83" t="str">
        <f t="shared" si="16"/>
        <v>NÃO</v>
      </c>
      <c r="Z68" s="83" t="str">
        <f t="shared" si="17"/>
        <v>NÃO</v>
      </c>
      <c r="AA68" s="83"/>
      <c r="AB68" s="83"/>
      <c r="AC68" s="83"/>
      <c r="AD68" s="9"/>
      <c r="AE68" s="9"/>
      <c r="AF68" s="9"/>
      <c r="AG68" s="9"/>
      <c r="AH68" s="14"/>
    </row>
    <row r="69" spans="1:34" x14ac:dyDescent="0.2">
      <c r="A69" s="44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7"/>
      <c r="N69" s="47"/>
      <c r="O69" s="47"/>
      <c r="P69" s="47"/>
      <c r="Q69" s="47"/>
      <c r="R69" s="47"/>
      <c r="S69" s="114">
        <f t="shared" si="14"/>
        <v>0</v>
      </c>
      <c r="T69" s="119"/>
      <c r="U69" s="44"/>
      <c r="V69" s="49"/>
      <c r="W69" s="83" t="str">
        <f t="shared" si="15"/>
        <v>-</v>
      </c>
      <c r="X69" s="83" t="str">
        <f>IF(I69='Pag 08_Legendas'!B$12,"P&amp;D&amp;I","Bolsa e auxílio")</f>
        <v>Bolsa e auxílio</v>
      </c>
      <c r="Y69" s="83" t="str">
        <f t="shared" si="16"/>
        <v>NÃO</v>
      </c>
      <c r="Z69" s="83" t="str">
        <f t="shared" si="17"/>
        <v>NÃO</v>
      </c>
      <c r="AA69" s="83"/>
      <c r="AB69" s="83"/>
      <c r="AC69" s="83"/>
      <c r="AD69" s="9"/>
      <c r="AE69" s="9"/>
      <c r="AF69" s="9"/>
      <c r="AG69" s="9"/>
      <c r="AH69" s="14"/>
    </row>
    <row r="70" spans="1:34" x14ac:dyDescent="0.2">
      <c r="A70" s="44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7"/>
      <c r="N70" s="47"/>
      <c r="O70" s="47"/>
      <c r="P70" s="47"/>
      <c r="Q70" s="47"/>
      <c r="R70" s="47"/>
      <c r="S70" s="114">
        <f t="shared" si="14"/>
        <v>0</v>
      </c>
      <c r="T70" s="119"/>
      <c r="U70" s="44"/>
      <c r="V70" s="49"/>
      <c r="W70" s="83" t="str">
        <f t="shared" si="15"/>
        <v>-</v>
      </c>
      <c r="X70" s="83" t="str">
        <f>IF(I70='Pag 08_Legendas'!B$12,"P&amp;D&amp;I","Bolsa e auxílio")</f>
        <v>Bolsa e auxílio</v>
      </c>
      <c r="Y70" s="83" t="str">
        <f t="shared" si="16"/>
        <v>NÃO</v>
      </c>
      <c r="Z70" s="83" t="str">
        <f t="shared" si="17"/>
        <v>NÃO</v>
      </c>
      <c r="AA70" s="83"/>
      <c r="AB70" s="83"/>
      <c r="AC70" s="83"/>
      <c r="AD70" s="9"/>
      <c r="AE70" s="9"/>
      <c r="AF70" s="9"/>
      <c r="AG70" s="9"/>
      <c r="AH70" s="14"/>
    </row>
    <row r="71" spans="1:34" x14ac:dyDescent="0.2">
      <c r="A71" s="44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7"/>
      <c r="N71" s="47"/>
      <c r="O71" s="47"/>
      <c r="P71" s="47"/>
      <c r="Q71" s="47"/>
      <c r="R71" s="47"/>
      <c r="S71" s="114">
        <f t="shared" si="14"/>
        <v>0</v>
      </c>
      <c r="T71" s="119"/>
      <c r="U71" s="44"/>
      <c r="V71" s="49"/>
      <c r="W71" s="83" t="str">
        <f t="shared" si="15"/>
        <v>-</v>
      </c>
      <c r="X71" s="83" t="str">
        <f>IF(I71='Pag 08_Legendas'!B$12,"P&amp;D&amp;I","Bolsa e auxílio")</f>
        <v>Bolsa e auxílio</v>
      </c>
      <c r="Y71" s="83" t="str">
        <f t="shared" si="16"/>
        <v>NÃO</v>
      </c>
      <c r="Z71" s="83" t="str">
        <f t="shared" si="17"/>
        <v>NÃO</v>
      </c>
      <c r="AA71" s="83"/>
      <c r="AB71" s="83"/>
      <c r="AC71" s="83"/>
      <c r="AD71" s="9"/>
      <c r="AE71" s="9"/>
      <c r="AF71" s="9"/>
      <c r="AG71" s="9"/>
      <c r="AH71" s="14"/>
    </row>
    <row r="72" spans="1:34" x14ac:dyDescent="0.2">
      <c r="A72" s="44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7"/>
      <c r="N72" s="47"/>
      <c r="O72" s="47"/>
      <c r="P72" s="47"/>
      <c r="Q72" s="47"/>
      <c r="R72" s="47"/>
      <c r="S72" s="114">
        <f t="shared" si="14"/>
        <v>0</v>
      </c>
      <c r="T72" s="119"/>
      <c r="U72" s="44"/>
      <c r="V72" s="49"/>
      <c r="W72" s="83" t="str">
        <f t="shared" si="15"/>
        <v>-</v>
      </c>
      <c r="X72" s="83" t="str">
        <f>IF(I72='Pag 08_Legendas'!B$12,"P&amp;D&amp;I","Bolsa e auxílio")</f>
        <v>Bolsa e auxílio</v>
      </c>
      <c r="Y72" s="83" t="str">
        <f t="shared" si="16"/>
        <v>NÃO</v>
      </c>
      <c r="Z72" s="83" t="str">
        <f t="shared" si="17"/>
        <v>NÃO</v>
      </c>
      <c r="AA72" s="83"/>
      <c r="AB72" s="83"/>
      <c r="AC72" s="83"/>
      <c r="AD72" s="9"/>
      <c r="AE72" s="9"/>
      <c r="AF72" s="9"/>
      <c r="AG72" s="9"/>
      <c r="AH72" s="14"/>
    </row>
    <row r="73" spans="1:34" x14ac:dyDescent="0.2">
      <c r="A73" s="44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7"/>
      <c r="N73" s="47"/>
      <c r="O73" s="47"/>
      <c r="P73" s="47"/>
      <c r="Q73" s="47"/>
      <c r="R73" s="47"/>
      <c r="S73" s="114">
        <f t="shared" si="14"/>
        <v>0</v>
      </c>
      <c r="T73" s="119"/>
      <c r="U73" s="44"/>
      <c r="V73" s="49"/>
      <c r="W73" s="83" t="str">
        <f t="shared" si="15"/>
        <v>-</v>
      </c>
      <c r="X73" s="83" t="str">
        <f>IF(I73='Pag 08_Legendas'!B$12,"P&amp;D&amp;I","Bolsa e auxílio")</f>
        <v>Bolsa e auxílio</v>
      </c>
      <c r="Y73" s="83" t="str">
        <f t="shared" si="16"/>
        <v>NÃO</v>
      </c>
      <c r="Z73" s="83" t="str">
        <f t="shared" si="17"/>
        <v>NÃO</v>
      </c>
      <c r="AA73" s="83"/>
      <c r="AB73" s="83"/>
      <c r="AC73" s="83"/>
      <c r="AD73" s="9"/>
      <c r="AE73" s="9"/>
      <c r="AF73" s="9"/>
      <c r="AG73" s="9"/>
      <c r="AH73" s="14"/>
    </row>
    <row r="74" spans="1:34" x14ac:dyDescent="0.2">
      <c r="A74" s="44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7"/>
      <c r="N74" s="47"/>
      <c r="O74" s="47"/>
      <c r="P74" s="47"/>
      <c r="Q74" s="47"/>
      <c r="R74" s="47"/>
      <c r="S74" s="114">
        <f t="shared" si="14"/>
        <v>0</v>
      </c>
      <c r="T74" s="119"/>
      <c r="U74" s="44"/>
      <c r="V74" s="49"/>
      <c r="W74" s="83" t="str">
        <f t="shared" si="15"/>
        <v>-</v>
      </c>
      <c r="X74" s="83" t="str">
        <f>IF(I74='Pag 08_Legendas'!B$12,"P&amp;D&amp;I","Bolsa e auxílio")</f>
        <v>Bolsa e auxílio</v>
      </c>
      <c r="Y74" s="83" t="str">
        <f t="shared" si="16"/>
        <v>NÃO</v>
      </c>
      <c r="Z74" s="83" t="str">
        <f t="shared" si="17"/>
        <v>NÃO</v>
      </c>
      <c r="AA74" s="83"/>
      <c r="AB74" s="83"/>
      <c r="AC74" s="83"/>
      <c r="AD74" s="9"/>
      <c r="AE74" s="9"/>
      <c r="AF74" s="9"/>
      <c r="AG74" s="9"/>
      <c r="AH74" s="14"/>
    </row>
    <row r="75" spans="1:34" x14ac:dyDescent="0.2">
      <c r="A75" s="44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7"/>
      <c r="N75" s="47"/>
      <c r="O75" s="47"/>
      <c r="P75" s="47"/>
      <c r="Q75" s="47"/>
      <c r="R75" s="47"/>
      <c r="S75" s="114">
        <f t="shared" si="14"/>
        <v>0</v>
      </c>
      <c r="T75" s="119"/>
      <c r="U75" s="44"/>
      <c r="V75" s="49"/>
      <c r="W75" s="83" t="str">
        <f t="shared" si="15"/>
        <v>-</v>
      </c>
      <c r="X75" s="83" t="str">
        <f>IF(I75='Pag 08_Legendas'!B$12,"P&amp;D&amp;I","Bolsa e auxílio")</f>
        <v>Bolsa e auxílio</v>
      </c>
      <c r="Y75" s="83" t="str">
        <f t="shared" si="16"/>
        <v>NÃO</v>
      </c>
      <c r="Z75" s="83" t="str">
        <f t="shared" si="17"/>
        <v>NÃO</v>
      </c>
      <c r="AA75" s="83"/>
      <c r="AB75" s="83"/>
      <c r="AC75" s="83"/>
      <c r="AD75" s="9"/>
      <c r="AE75" s="9"/>
      <c r="AF75" s="9"/>
      <c r="AG75" s="9"/>
      <c r="AH75" s="14"/>
    </row>
    <row r="76" spans="1:34" x14ac:dyDescent="0.2">
      <c r="A76" s="44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7"/>
      <c r="N76" s="47"/>
      <c r="O76" s="47"/>
      <c r="P76" s="47"/>
      <c r="Q76" s="47"/>
      <c r="R76" s="47"/>
      <c r="S76" s="114">
        <f t="shared" si="14"/>
        <v>0</v>
      </c>
      <c r="T76" s="119"/>
      <c r="U76" s="44"/>
      <c r="V76" s="49"/>
      <c r="W76" s="83" t="str">
        <f t="shared" si="15"/>
        <v>-</v>
      </c>
      <c r="X76" s="83" t="str">
        <f>IF(I76='Pag 08_Legendas'!B$12,"P&amp;D&amp;I","Bolsa e auxílio")</f>
        <v>Bolsa e auxílio</v>
      </c>
      <c r="Y76" s="83" t="str">
        <f t="shared" si="16"/>
        <v>NÃO</v>
      </c>
      <c r="Z76" s="83" t="str">
        <f t="shared" si="17"/>
        <v>NÃO</v>
      </c>
      <c r="AA76" s="83"/>
      <c r="AB76" s="83"/>
      <c r="AC76" s="83"/>
      <c r="AD76" s="9"/>
      <c r="AE76" s="9"/>
      <c r="AF76" s="9"/>
      <c r="AG76" s="9"/>
      <c r="AH76" s="14"/>
    </row>
    <row r="77" spans="1:34" x14ac:dyDescent="0.2">
      <c r="A77" s="44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7"/>
      <c r="N77" s="47"/>
      <c r="O77" s="47"/>
      <c r="P77" s="47"/>
      <c r="Q77" s="47"/>
      <c r="R77" s="47"/>
      <c r="S77" s="114">
        <f t="shared" si="14"/>
        <v>0</v>
      </c>
      <c r="T77" s="119"/>
      <c r="U77" s="44"/>
      <c r="V77" s="49"/>
      <c r="W77" s="83" t="str">
        <f t="shared" si="15"/>
        <v>-</v>
      </c>
      <c r="X77" s="83" t="str">
        <f>IF(I77='Pag 08_Legendas'!B$12,"P&amp;D&amp;I","Bolsa e auxílio")</f>
        <v>Bolsa e auxílio</v>
      </c>
      <c r="Y77" s="83" t="str">
        <f t="shared" si="16"/>
        <v>NÃO</v>
      </c>
      <c r="Z77" s="83" t="str">
        <f t="shared" si="17"/>
        <v>NÃO</v>
      </c>
      <c r="AA77" s="83"/>
      <c r="AB77" s="83"/>
      <c r="AC77" s="83"/>
      <c r="AD77" s="9"/>
      <c r="AE77" s="9"/>
      <c r="AF77" s="9"/>
      <c r="AG77" s="9"/>
      <c r="AH77" s="14"/>
    </row>
    <row r="78" spans="1:34" x14ac:dyDescent="0.2">
      <c r="A78" s="44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7"/>
      <c r="N78" s="47"/>
      <c r="O78" s="47"/>
      <c r="P78" s="47"/>
      <c r="Q78" s="47"/>
      <c r="R78" s="47"/>
      <c r="S78" s="114">
        <f t="shared" si="14"/>
        <v>0</v>
      </c>
      <c r="T78" s="119"/>
      <c r="U78" s="44"/>
      <c r="V78" s="49"/>
      <c r="W78" s="83" t="str">
        <f t="shared" si="15"/>
        <v>-</v>
      </c>
      <c r="X78" s="83" t="str">
        <f>IF(I78='Pag 08_Legendas'!B$12,"P&amp;D&amp;I","Bolsa e auxílio")</f>
        <v>Bolsa e auxílio</v>
      </c>
      <c r="Y78" s="83" t="str">
        <f t="shared" si="16"/>
        <v>NÃO</v>
      </c>
      <c r="Z78" s="83" t="str">
        <f t="shared" si="17"/>
        <v>NÃO</v>
      </c>
      <c r="AA78" s="83"/>
      <c r="AB78" s="83"/>
      <c r="AC78" s="83"/>
      <c r="AD78" s="9"/>
      <c r="AE78" s="9"/>
      <c r="AF78" s="9"/>
      <c r="AG78" s="9"/>
      <c r="AH78" s="14"/>
    </row>
    <row r="79" spans="1:34" x14ac:dyDescent="0.2">
      <c r="A79" s="44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7"/>
      <c r="N79" s="47"/>
      <c r="O79" s="47"/>
      <c r="P79" s="47"/>
      <c r="Q79" s="47"/>
      <c r="R79" s="47"/>
      <c r="S79" s="114">
        <f t="shared" si="0"/>
        <v>0</v>
      </c>
      <c r="T79" s="119"/>
      <c r="U79" s="44"/>
      <c r="V79" s="49"/>
      <c r="W79" s="83" t="str">
        <f t="shared" si="4"/>
        <v>-</v>
      </c>
      <c r="X79" s="83" t="str">
        <f>IF(I79='Pag 08_Legendas'!B$12,"P&amp;D&amp;I","Bolsa e auxílio")</f>
        <v>Bolsa e auxílio</v>
      </c>
      <c r="Y79" s="83" t="str">
        <f t="shared" si="5"/>
        <v>NÃO</v>
      </c>
      <c r="Z79" s="83" t="str">
        <f t="shared" si="6"/>
        <v>NÃO</v>
      </c>
      <c r="AA79" s="83"/>
      <c r="AB79" s="83"/>
      <c r="AC79" s="83"/>
      <c r="AD79" s="9"/>
      <c r="AE79" s="9"/>
      <c r="AF79" s="9"/>
      <c r="AG79" s="9"/>
      <c r="AH79" s="14"/>
    </row>
    <row r="80" spans="1:34" x14ac:dyDescent="0.2">
      <c r="A80" s="44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7"/>
      <c r="N80" s="47"/>
      <c r="O80" s="47"/>
      <c r="P80" s="47"/>
      <c r="Q80" s="47"/>
      <c r="R80" s="47"/>
      <c r="S80" s="114">
        <f t="shared" si="0"/>
        <v>0</v>
      </c>
      <c r="T80" s="119"/>
      <c r="U80" s="44"/>
      <c r="V80" s="49"/>
      <c r="W80" s="83" t="str">
        <f t="shared" si="4"/>
        <v>-</v>
      </c>
      <c r="X80" s="83" t="str">
        <f>IF(I80='Pag 08_Legendas'!B$12,"P&amp;D&amp;I","Bolsa e auxílio")</f>
        <v>Bolsa e auxílio</v>
      </c>
      <c r="Y80" s="83" t="str">
        <f t="shared" si="5"/>
        <v>NÃO</v>
      </c>
      <c r="Z80" s="83" t="str">
        <f t="shared" si="6"/>
        <v>NÃO</v>
      </c>
      <c r="AA80" s="83"/>
      <c r="AB80" s="83"/>
      <c r="AC80" s="83"/>
      <c r="AD80" s="9"/>
      <c r="AE80" s="9"/>
      <c r="AF80" s="9"/>
      <c r="AG80" s="9"/>
      <c r="AH80" s="14"/>
    </row>
    <row r="81" spans="1:194" x14ac:dyDescent="0.2">
      <c r="A81" s="44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7"/>
      <c r="N81" s="47"/>
      <c r="O81" s="47"/>
      <c r="P81" s="47"/>
      <c r="Q81" s="47"/>
      <c r="R81" s="47"/>
      <c r="S81" s="114">
        <f t="shared" si="0"/>
        <v>0</v>
      </c>
      <c r="T81" s="119"/>
      <c r="U81" s="44"/>
      <c r="V81" s="49"/>
      <c r="W81" s="83" t="str">
        <f t="shared" si="4"/>
        <v>-</v>
      </c>
      <c r="X81" s="83" t="str">
        <f>IF(I81='Pag 08_Legendas'!B$12,"P&amp;D&amp;I","Bolsa e auxílio")</f>
        <v>Bolsa e auxílio</v>
      </c>
      <c r="Y81" s="83" t="str">
        <f t="shared" si="5"/>
        <v>NÃO</v>
      </c>
      <c r="Z81" s="83" t="str">
        <f t="shared" si="6"/>
        <v>NÃO</v>
      </c>
      <c r="AA81" s="83"/>
      <c r="AB81" s="83"/>
      <c r="AC81" s="83"/>
      <c r="AD81" s="9"/>
      <c r="AE81" s="9"/>
      <c r="AF81" s="9"/>
      <c r="AG81" s="9"/>
      <c r="AH81" s="14"/>
    </row>
    <row r="82" spans="1:194" x14ac:dyDescent="0.2">
      <c r="A82" s="44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7"/>
      <c r="N82" s="47"/>
      <c r="O82" s="47"/>
      <c r="P82" s="47"/>
      <c r="Q82" s="47"/>
      <c r="R82" s="47"/>
      <c r="S82" s="114">
        <f t="shared" si="0"/>
        <v>0</v>
      </c>
      <c r="T82" s="119"/>
      <c r="U82" s="44"/>
      <c r="V82" s="49"/>
      <c r="W82" s="83" t="str">
        <f t="shared" si="4"/>
        <v>-</v>
      </c>
      <c r="X82" s="83" t="str">
        <f>IF(I82='Pag 08_Legendas'!B$12,"P&amp;D&amp;I","Bolsa e auxílio")</f>
        <v>Bolsa e auxílio</v>
      </c>
      <c r="Y82" s="83" t="str">
        <f t="shared" si="5"/>
        <v>NÃO</v>
      </c>
      <c r="Z82" s="83" t="str">
        <f t="shared" si="6"/>
        <v>NÃO</v>
      </c>
      <c r="AA82" s="83"/>
      <c r="AB82" s="83"/>
      <c r="AC82" s="83"/>
      <c r="AD82" s="9"/>
      <c r="AE82" s="9"/>
      <c r="AF82" s="9"/>
      <c r="AG82" s="9"/>
      <c r="AH82" s="14"/>
    </row>
    <row r="83" spans="1:194" x14ac:dyDescent="0.2">
      <c r="A83" s="44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7"/>
      <c r="N83" s="47"/>
      <c r="O83" s="47"/>
      <c r="P83" s="47"/>
      <c r="Q83" s="47"/>
      <c r="R83" s="47"/>
      <c r="S83" s="114">
        <f t="shared" si="0"/>
        <v>0</v>
      </c>
      <c r="T83" s="119"/>
      <c r="U83" s="44"/>
      <c r="V83" s="49"/>
      <c r="W83" s="83" t="str">
        <f t="shared" si="4"/>
        <v>-</v>
      </c>
      <c r="X83" s="83" t="str">
        <f>IF(I83='Pag 08_Legendas'!B$12,"P&amp;D&amp;I","Bolsa e auxílio")</f>
        <v>Bolsa e auxílio</v>
      </c>
      <c r="Y83" s="83" t="str">
        <f t="shared" si="5"/>
        <v>NÃO</v>
      </c>
      <c r="Z83" s="83" t="str">
        <f t="shared" si="6"/>
        <v>NÃO</v>
      </c>
      <c r="AA83" s="83"/>
      <c r="AB83" s="83"/>
      <c r="AC83" s="83"/>
      <c r="AD83" s="9"/>
      <c r="AE83" s="9"/>
      <c r="AF83" s="9"/>
      <c r="AG83" s="9"/>
      <c r="AH83" s="14"/>
    </row>
    <row r="84" spans="1:194" x14ac:dyDescent="0.2">
      <c r="A84" s="44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7"/>
      <c r="N84" s="47"/>
      <c r="O84" s="47"/>
      <c r="P84" s="47"/>
      <c r="Q84" s="47"/>
      <c r="R84" s="47"/>
      <c r="S84" s="114">
        <f t="shared" si="0"/>
        <v>0</v>
      </c>
      <c r="T84" s="119"/>
      <c r="U84" s="44"/>
      <c r="V84" s="49"/>
      <c r="W84" s="83" t="str">
        <f t="shared" si="4"/>
        <v>-</v>
      </c>
      <c r="X84" s="83" t="str">
        <f>IF(I84='Pag 08_Legendas'!B$12,"P&amp;D&amp;I","Bolsa e auxílio")</f>
        <v>Bolsa e auxílio</v>
      </c>
      <c r="Y84" s="83" t="str">
        <f t="shared" si="5"/>
        <v>NÃO</v>
      </c>
      <c r="Z84" s="83" t="str">
        <f t="shared" si="6"/>
        <v>NÃO</v>
      </c>
      <c r="AA84" s="83"/>
      <c r="AB84" s="83"/>
      <c r="AC84" s="83"/>
      <c r="AD84" s="9"/>
      <c r="AE84" s="9"/>
      <c r="AF84" s="9"/>
      <c r="AG84" s="9"/>
      <c r="AH84" s="14"/>
    </row>
    <row r="85" spans="1:194" x14ac:dyDescent="0.2">
      <c r="A85" s="44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7"/>
      <c r="N85" s="47"/>
      <c r="O85" s="47"/>
      <c r="P85" s="47"/>
      <c r="Q85" s="47"/>
      <c r="R85" s="47"/>
      <c r="S85" s="114">
        <f t="shared" si="0"/>
        <v>0</v>
      </c>
      <c r="T85" s="119"/>
      <c r="U85" s="44"/>
      <c r="V85" s="49"/>
      <c r="W85" s="83" t="str">
        <f t="shared" si="4"/>
        <v>-</v>
      </c>
      <c r="X85" s="83" t="str">
        <f>IF(I85='Pag 08_Legendas'!B$12,"P&amp;D&amp;I","Bolsa e auxílio")</f>
        <v>Bolsa e auxílio</v>
      </c>
      <c r="Y85" s="83" t="str">
        <f t="shared" si="5"/>
        <v>NÃO</v>
      </c>
      <c r="Z85" s="83" t="str">
        <f t="shared" si="6"/>
        <v>NÃO</v>
      </c>
      <c r="AA85" s="83"/>
      <c r="AB85" s="83"/>
      <c r="AC85" s="83"/>
      <c r="AD85" s="9"/>
      <c r="AE85" s="9"/>
      <c r="AF85" s="9"/>
      <c r="AG85" s="9"/>
      <c r="AH85" s="14"/>
    </row>
    <row r="86" spans="1:194" x14ac:dyDescent="0.2">
      <c r="A86" s="44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7"/>
      <c r="N86" s="47"/>
      <c r="O86" s="47"/>
      <c r="P86" s="47"/>
      <c r="Q86" s="47"/>
      <c r="R86" s="47"/>
      <c r="S86" s="114">
        <f t="shared" si="0"/>
        <v>0</v>
      </c>
      <c r="T86" s="119"/>
      <c r="U86" s="44"/>
      <c r="V86" s="49"/>
      <c r="W86" s="83" t="str">
        <f t="shared" si="4"/>
        <v>-</v>
      </c>
      <c r="X86" s="83" t="str">
        <f>IF(I86='Pag 08_Legendas'!B$12,"P&amp;D&amp;I","Bolsa e auxílio")</f>
        <v>Bolsa e auxílio</v>
      </c>
      <c r="Y86" s="83" t="str">
        <f t="shared" si="5"/>
        <v>NÃO</v>
      </c>
      <c r="Z86" s="83" t="str">
        <f t="shared" si="6"/>
        <v>NÃO</v>
      </c>
      <c r="AA86" s="83"/>
      <c r="AB86" s="83"/>
      <c r="AC86" s="83"/>
      <c r="AD86" s="9"/>
      <c r="AE86" s="9"/>
      <c r="AF86" s="9"/>
      <c r="AG86" s="9"/>
      <c r="AH86" s="14"/>
    </row>
    <row r="87" spans="1:194" x14ac:dyDescent="0.2">
      <c r="A87" s="44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7"/>
      <c r="N87" s="47"/>
      <c r="O87" s="47"/>
      <c r="P87" s="47"/>
      <c r="Q87" s="47"/>
      <c r="R87" s="47"/>
      <c r="S87" s="114">
        <f t="shared" si="0"/>
        <v>0</v>
      </c>
      <c r="T87" s="119"/>
      <c r="U87" s="44"/>
      <c r="V87" s="49"/>
      <c r="W87" s="83" t="str">
        <f t="shared" si="4"/>
        <v>-</v>
      </c>
      <c r="X87" s="83" t="str">
        <f>IF(I87='Pag 08_Legendas'!B$12,"P&amp;D&amp;I","Bolsa e auxílio")</f>
        <v>Bolsa e auxílio</v>
      </c>
      <c r="Y87" s="83" t="str">
        <f t="shared" si="5"/>
        <v>NÃO</v>
      </c>
      <c r="Z87" s="83" t="str">
        <f t="shared" si="6"/>
        <v>NÃO</v>
      </c>
      <c r="AA87" s="83"/>
      <c r="AB87" s="83"/>
      <c r="AC87" s="83"/>
      <c r="AD87" s="9"/>
      <c r="AE87" s="9"/>
      <c r="AF87" s="9"/>
      <c r="AG87" s="9"/>
      <c r="AH87" s="14"/>
    </row>
    <row r="88" spans="1:194" x14ac:dyDescent="0.2">
      <c r="A88" s="44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7"/>
      <c r="N88" s="47"/>
      <c r="O88" s="47"/>
      <c r="P88" s="47"/>
      <c r="Q88" s="47"/>
      <c r="R88" s="47"/>
      <c r="S88" s="114">
        <f t="shared" si="0"/>
        <v>0</v>
      </c>
      <c r="T88" s="119"/>
      <c r="U88" s="44"/>
      <c r="V88" s="49"/>
      <c r="W88" s="83" t="str">
        <f t="shared" ref="W88:W120" si="18">IF(A88&gt;0,(MONTH(A88)),"-")</f>
        <v>-</v>
      </c>
      <c r="X88" s="83" t="str">
        <f>IF(I88='Pag 08_Legendas'!B$12,"P&amp;D&amp;I","Bolsa e auxílio")</f>
        <v>Bolsa e auxílio</v>
      </c>
      <c r="Y88" s="83" t="str">
        <f t="shared" ref="Y88:Y120" si="19">IF(J88="Pibic","SIM","NÃO")</f>
        <v>NÃO</v>
      </c>
      <c r="Z88" s="83" t="str">
        <f t="shared" ref="Z88:Z120" si="20">IF(J88="Pibiti","SIM","NÃO")</f>
        <v>NÃO</v>
      </c>
      <c r="AA88" s="83"/>
      <c r="AB88" s="83"/>
      <c r="AC88" s="83"/>
      <c r="AD88" s="9"/>
      <c r="AE88" s="9"/>
      <c r="AF88" s="9"/>
      <c r="AG88" s="9"/>
      <c r="AH88" s="14"/>
    </row>
    <row r="89" spans="1:194" x14ac:dyDescent="0.2">
      <c r="A89" s="44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7"/>
      <c r="N89" s="47"/>
      <c r="O89" s="47"/>
      <c r="P89" s="47"/>
      <c r="Q89" s="47"/>
      <c r="R89" s="47"/>
      <c r="S89" s="114">
        <f t="shared" si="0"/>
        <v>0</v>
      </c>
      <c r="T89" s="119"/>
      <c r="U89" s="44"/>
      <c r="V89" s="49"/>
      <c r="W89" s="83" t="str">
        <f t="shared" si="18"/>
        <v>-</v>
      </c>
      <c r="X89" s="83" t="str">
        <f>IF(I89='Pag 08_Legendas'!B$12,"P&amp;D&amp;I","Bolsa e auxílio")</f>
        <v>Bolsa e auxílio</v>
      </c>
      <c r="Y89" s="83" t="str">
        <f t="shared" si="19"/>
        <v>NÃO</v>
      </c>
      <c r="Z89" s="83" t="str">
        <f t="shared" si="20"/>
        <v>NÃO</v>
      </c>
      <c r="AA89" s="83"/>
      <c r="AB89" s="83"/>
      <c r="AC89" s="83"/>
      <c r="AD89" s="9"/>
      <c r="AE89" s="9"/>
      <c r="AF89" s="9"/>
      <c r="AG89" s="9"/>
      <c r="AH89" s="14"/>
    </row>
    <row r="90" spans="1:194" x14ac:dyDescent="0.2">
      <c r="A90" s="44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7"/>
      <c r="N90" s="47"/>
      <c r="O90" s="47"/>
      <c r="P90" s="47"/>
      <c r="Q90" s="47"/>
      <c r="R90" s="47"/>
      <c r="S90" s="114">
        <f t="shared" si="0"/>
        <v>0</v>
      </c>
      <c r="T90" s="119"/>
      <c r="U90" s="44"/>
      <c r="V90" s="49"/>
      <c r="W90" s="83" t="str">
        <f t="shared" si="18"/>
        <v>-</v>
      </c>
      <c r="X90" s="83" t="str">
        <f>IF(I90='Pag 08_Legendas'!B$12,"P&amp;D&amp;I","Bolsa e auxílio")</f>
        <v>Bolsa e auxílio</v>
      </c>
      <c r="Y90" s="83" t="str">
        <f t="shared" si="19"/>
        <v>NÃO</v>
      </c>
      <c r="Z90" s="83" t="str">
        <f t="shared" si="20"/>
        <v>NÃO</v>
      </c>
      <c r="AA90" s="83"/>
      <c r="AB90" s="83"/>
      <c r="AC90" s="83"/>
      <c r="AD90" s="9"/>
      <c r="AE90" s="9"/>
      <c r="AF90" s="9"/>
      <c r="AG90" s="9"/>
      <c r="AH90" s="14"/>
    </row>
    <row r="91" spans="1:194" x14ac:dyDescent="0.2">
      <c r="A91" s="44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7"/>
      <c r="N91" s="47"/>
      <c r="O91" s="47"/>
      <c r="P91" s="47"/>
      <c r="Q91" s="47"/>
      <c r="R91" s="47"/>
      <c r="S91" s="114">
        <f t="shared" si="0"/>
        <v>0</v>
      </c>
      <c r="T91" s="119"/>
      <c r="U91" s="44"/>
      <c r="V91" s="49"/>
      <c r="W91" s="83" t="str">
        <f t="shared" si="18"/>
        <v>-</v>
      </c>
      <c r="X91" s="83" t="str">
        <f>IF(I91='Pag 08_Legendas'!B$12,"P&amp;D&amp;I","Bolsa e auxílio")</f>
        <v>Bolsa e auxílio</v>
      </c>
      <c r="Y91" s="83" t="str">
        <f t="shared" si="19"/>
        <v>NÃO</v>
      </c>
      <c r="Z91" s="83" t="str">
        <f t="shared" si="20"/>
        <v>NÃO</v>
      </c>
      <c r="AA91" s="83"/>
      <c r="AB91" s="83"/>
      <c r="AC91" s="83"/>
      <c r="AD91" s="9"/>
      <c r="AE91" s="9"/>
      <c r="AF91" s="9"/>
      <c r="AG91" s="9"/>
      <c r="AH91" s="14"/>
    </row>
    <row r="92" spans="1:194" x14ac:dyDescent="0.2">
      <c r="A92" s="44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7"/>
      <c r="N92" s="47"/>
      <c r="O92" s="47"/>
      <c r="P92" s="47"/>
      <c r="Q92" s="47"/>
      <c r="R92" s="47"/>
      <c r="S92" s="114">
        <f t="shared" si="0"/>
        <v>0</v>
      </c>
      <c r="T92" s="119"/>
      <c r="U92" s="44"/>
      <c r="V92" s="49"/>
      <c r="W92" s="83" t="str">
        <f t="shared" si="18"/>
        <v>-</v>
      </c>
      <c r="X92" s="83" t="str">
        <f>IF(I92='Pag 08_Legendas'!B$12,"P&amp;D&amp;I","Bolsa e auxílio")</f>
        <v>Bolsa e auxílio</v>
      </c>
      <c r="Y92" s="83" t="str">
        <f t="shared" si="19"/>
        <v>NÃO</v>
      </c>
      <c r="Z92" s="83" t="str">
        <f t="shared" si="20"/>
        <v>NÃO</v>
      </c>
      <c r="AA92" s="83"/>
      <c r="AB92" s="83"/>
      <c r="AC92" s="83"/>
      <c r="AD92" s="9"/>
      <c r="AE92" s="9"/>
      <c r="AF92" s="9"/>
      <c r="AG92" s="9"/>
      <c r="AH92" s="14"/>
    </row>
    <row r="93" spans="1:194" x14ac:dyDescent="0.2">
      <c r="A93" s="44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7"/>
      <c r="N93" s="47"/>
      <c r="O93" s="47"/>
      <c r="P93" s="47"/>
      <c r="Q93" s="47"/>
      <c r="R93" s="47"/>
      <c r="S93" s="114">
        <f t="shared" si="0"/>
        <v>0</v>
      </c>
      <c r="T93" s="119"/>
      <c r="U93" s="44"/>
      <c r="V93" s="49"/>
      <c r="W93" s="83" t="str">
        <f t="shared" si="18"/>
        <v>-</v>
      </c>
      <c r="X93" s="83" t="str">
        <f>IF(I93='Pag 08_Legendas'!B$12,"P&amp;D&amp;I","Bolsa e auxílio")</f>
        <v>Bolsa e auxílio</v>
      </c>
      <c r="Y93" s="83" t="str">
        <f t="shared" si="19"/>
        <v>NÃO</v>
      </c>
      <c r="Z93" s="83" t="str">
        <f t="shared" si="20"/>
        <v>NÃO</v>
      </c>
      <c r="AA93" s="83"/>
      <c r="AB93" s="83"/>
      <c r="AC93" s="83"/>
      <c r="AD93" s="9"/>
      <c r="AE93" s="9"/>
      <c r="AF93" s="9"/>
      <c r="AG93" s="9"/>
      <c r="AH93" s="14"/>
    </row>
    <row r="94" spans="1:194" x14ac:dyDescent="0.2">
      <c r="A94" s="44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7"/>
      <c r="N94" s="47"/>
      <c r="O94" s="47"/>
      <c r="P94" s="47"/>
      <c r="Q94" s="47"/>
      <c r="R94" s="47"/>
      <c r="S94" s="114">
        <f t="shared" si="0"/>
        <v>0</v>
      </c>
      <c r="T94" s="119"/>
      <c r="U94" s="44"/>
      <c r="V94" s="49"/>
      <c r="W94" s="83" t="str">
        <f t="shared" si="18"/>
        <v>-</v>
      </c>
      <c r="X94" s="83" t="str">
        <f>IF(I94='Pag 08_Legendas'!B$12,"P&amp;D&amp;I","Bolsa e auxílio")</f>
        <v>Bolsa e auxílio</v>
      </c>
      <c r="Y94" s="83" t="str">
        <f t="shared" si="19"/>
        <v>NÃO</v>
      </c>
      <c r="Z94" s="83" t="str">
        <f t="shared" si="20"/>
        <v>NÃO</v>
      </c>
      <c r="AA94" s="83"/>
      <c r="AB94" s="83"/>
      <c r="AC94" s="83"/>
      <c r="AD94" s="9"/>
      <c r="AE94" s="9"/>
      <c r="AF94" s="9"/>
      <c r="AG94" s="9"/>
      <c r="AH94" s="14"/>
    </row>
    <row r="95" spans="1:194" s="2" customFormat="1" ht="13.5" x14ac:dyDescent="0.2">
      <c r="A95" s="44"/>
      <c r="B95" s="50"/>
      <c r="C95" s="48"/>
      <c r="D95" s="50"/>
      <c r="E95" s="46"/>
      <c r="F95" s="48"/>
      <c r="G95" s="48"/>
      <c r="H95" s="48"/>
      <c r="I95" s="48"/>
      <c r="J95" s="46"/>
      <c r="K95" s="48"/>
      <c r="L95" s="48"/>
      <c r="M95" s="47"/>
      <c r="N95" s="47"/>
      <c r="O95" s="47"/>
      <c r="P95" s="47"/>
      <c r="Q95" s="47"/>
      <c r="R95" s="47"/>
      <c r="S95" s="114">
        <f t="shared" si="0"/>
        <v>0</v>
      </c>
      <c r="T95" s="119"/>
      <c r="U95" s="44"/>
      <c r="V95" s="51"/>
      <c r="W95" s="83" t="e">
        <f>IF(#REF!&gt;0,(MONTH(#REF!)),"-")</f>
        <v>#REF!</v>
      </c>
      <c r="X95" s="83" t="str">
        <f>IF(I95='Pag 08_Legendas'!B$12,"P&amp;D&amp;I","Bolsa e auxílio")</f>
        <v>Bolsa e auxílio</v>
      </c>
      <c r="Y95" s="83" t="str">
        <f t="shared" si="19"/>
        <v>NÃO</v>
      </c>
      <c r="Z95" s="83" t="str">
        <f t="shared" si="20"/>
        <v>NÃO</v>
      </c>
      <c r="AA95" s="84"/>
      <c r="AB95" s="84"/>
      <c r="AC95" s="84"/>
      <c r="AD95" s="10"/>
      <c r="AE95" s="11"/>
      <c r="AF95" s="10"/>
      <c r="AG95" s="11"/>
      <c r="AH95" s="11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</row>
    <row r="96" spans="1:194" ht="13.5" x14ac:dyDescent="0.2">
      <c r="A96" s="44"/>
      <c r="B96" s="50"/>
      <c r="C96" s="48"/>
      <c r="D96" s="50"/>
      <c r="E96" s="46"/>
      <c r="F96" s="48"/>
      <c r="G96" s="48"/>
      <c r="H96" s="48"/>
      <c r="I96" s="48"/>
      <c r="J96" s="46"/>
      <c r="K96" s="48"/>
      <c r="L96" s="48"/>
      <c r="M96" s="47"/>
      <c r="N96" s="47"/>
      <c r="O96" s="47"/>
      <c r="P96" s="47"/>
      <c r="Q96" s="47"/>
      <c r="R96" s="47"/>
      <c r="S96" s="114">
        <f t="shared" si="0"/>
        <v>0</v>
      </c>
      <c r="T96" s="119"/>
      <c r="U96" s="44"/>
      <c r="V96" s="51"/>
      <c r="W96" s="83" t="str">
        <f t="shared" si="18"/>
        <v>-</v>
      </c>
      <c r="X96" s="83" t="str">
        <f>IF(I96='Pag 08_Legendas'!B$12,"P&amp;D&amp;I","Bolsa e auxílio")</f>
        <v>Bolsa e auxílio</v>
      </c>
      <c r="Y96" s="83" t="str">
        <f t="shared" si="19"/>
        <v>NÃO</v>
      </c>
      <c r="Z96" s="83" t="str">
        <f t="shared" si="20"/>
        <v>NÃO</v>
      </c>
      <c r="AA96" s="84"/>
      <c r="AB96" s="84"/>
      <c r="AC96" s="84"/>
      <c r="AD96" s="10"/>
      <c r="AE96" s="11"/>
      <c r="AF96" s="10"/>
      <c r="AG96" s="11"/>
      <c r="AH96" s="11"/>
    </row>
    <row r="97" spans="1:34" ht="13.5" x14ac:dyDescent="0.2">
      <c r="A97" s="44"/>
      <c r="B97" s="46"/>
      <c r="C97" s="48"/>
      <c r="D97" s="46"/>
      <c r="E97" s="46"/>
      <c r="F97" s="48"/>
      <c r="G97" s="48"/>
      <c r="H97" s="48"/>
      <c r="I97" s="48"/>
      <c r="J97" s="46"/>
      <c r="K97" s="48"/>
      <c r="L97" s="48"/>
      <c r="M97" s="47"/>
      <c r="N97" s="47"/>
      <c r="O97" s="47"/>
      <c r="P97" s="47"/>
      <c r="Q97" s="47"/>
      <c r="R97" s="47"/>
      <c r="S97" s="114">
        <f t="shared" si="0"/>
        <v>0</v>
      </c>
      <c r="T97" s="119"/>
      <c r="U97" s="44"/>
      <c r="V97" s="51"/>
      <c r="W97" s="83" t="str">
        <f t="shared" si="18"/>
        <v>-</v>
      </c>
      <c r="X97" s="83" t="str">
        <f>IF(I97='Pag 08_Legendas'!B$12,"P&amp;D&amp;I","Bolsa e auxílio")</f>
        <v>Bolsa e auxílio</v>
      </c>
      <c r="Y97" s="83" t="str">
        <f t="shared" si="19"/>
        <v>NÃO</v>
      </c>
      <c r="Z97" s="83" t="str">
        <f t="shared" si="20"/>
        <v>NÃO</v>
      </c>
      <c r="AA97" s="84"/>
      <c r="AB97" s="84"/>
      <c r="AC97" s="84"/>
      <c r="AD97" s="10"/>
      <c r="AE97" s="11"/>
      <c r="AF97" s="10"/>
      <c r="AG97" s="11"/>
      <c r="AH97" s="11"/>
    </row>
    <row r="98" spans="1:34" ht="13.5" x14ac:dyDescent="0.2">
      <c r="A98" s="44"/>
      <c r="B98" s="46"/>
      <c r="C98" s="48"/>
      <c r="D98" s="46"/>
      <c r="E98" s="46"/>
      <c r="F98" s="48"/>
      <c r="G98" s="48"/>
      <c r="H98" s="48"/>
      <c r="I98" s="48"/>
      <c r="J98" s="46"/>
      <c r="K98" s="48"/>
      <c r="L98" s="48"/>
      <c r="M98" s="47"/>
      <c r="N98" s="47"/>
      <c r="O98" s="47"/>
      <c r="P98" s="47"/>
      <c r="Q98" s="47"/>
      <c r="R98" s="47"/>
      <c r="S98" s="114">
        <f t="shared" si="0"/>
        <v>0</v>
      </c>
      <c r="T98" s="119"/>
      <c r="U98" s="44"/>
      <c r="V98" s="51"/>
      <c r="W98" s="83" t="str">
        <f t="shared" si="18"/>
        <v>-</v>
      </c>
      <c r="X98" s="83" t="str">
        <f>IF(I98='Pag 08_Legendas'!B$12,"P&amp;D&amp;I","Bolsa e auxílio")</f>
        <v>Bolsa e auxílio</v>
      </c>
      <c r="Y98" s="83" t="str">
        <f t="shared" si="19"/>
        <v>NÃO</v>
      </c>
      <c r="Z98" s="83" t="str">
        <f t="shared" si="20"/>
        <v>NÃO</v>
      </c>
      <c r="AA98" s="84"/>
      <c r="AB98" s="84"/>
      <c r="AC98" s="84"/>
      <c r="AD98" s="10"/>
      <c r="AE98" s="11"/>
      <c r="AF98" s="10"/>
      <c r="AG98" s="11"/>
      <c r="AH98" s="11"/>
    </row>
    <row r="99" spans="1:34" ht="13.5" x14ac:dyDescent="0.2">
      <c r="A99" s="44"/>
      <c r="B99" s="46"/>
      <c r="C99" s="48"/>
      <c r="D99" s="46"/>
      <c r="E99" s="46"/>
      <c r="F99" s="48"/>
      <c r="G99" s="48"/>
      <c r="H99" s="48"/>
      <c r="I99" s="48"/>
      <c r="J99" s="46"/>
      <c r="K99" s="48"/>
      <c r="L99" s="48"/>
      <c r="M99" s="47"/>
      <c r="N99" s="47"/>
      <c r="O99" s="47"/>
      <c r="P99" s="47"/>
      <c r="Q99" s="47"/>
      <c r="R99" s="47"/>
      <c r="S99" s="114">
        <f t="shared" si="0"/>
        <v>0</v>
      </c>
      <c r="T99" s="119"/>
      <c r="U99" s="44"/>
      <c r="V99" s="51"/>
      <c r="W99" s="83" t="str">
        <f t="shared" si="18"/>
        <v>-</v>
      </c>
      <c r="X99" s="83" t="str">
        <f>IF(I99='Pag 08_Legendas'!B$12,"P&amp;D&amp;I","Bolsa e auxílio")</f>
        <v>Bolsa e auxílio</v>
      </c>
      <c r="Y99" s="83" t="str">
        <f t="shared" si="19"/>
        <v>NÃO</v>
      </c>
      <c r="Z99" s="83" t="str">
        <f t="shared" si="20"/>
        <v>NÃO</v>
      </c>
      <c r="AA99" s="84"/>
      <c r="AB99" s="84"/>
      <c r="AC99" s="84"/>
      <c r="AD99" s="10"/>
      <c r="AE99" s="11"/>
      <c r="AF99" s="10"/>
      <c r="AG99" s="11"/>
      <c r="AH99" s="11"/>
    </row>
    <row r="100" spans="1:34" ht="13.5" x14ac:dyDescent="0.2">
      <c r="A100" s="44"/>
      <c r="B100" s="46"/>
      <c r="C100" s="48"/>
      <c r="D100" s="46"/>
      <c r="E100" s="46"/>
      <c r="F100" s="48"/>
      <c r="G100" s="48"/>
      <c r="H100" s="48"/>
      <c r="I100" s="48"/>
      <c r="J100" s="48"/>
      <c r="K100" s="48"/>
      <c r="L100" s="48"/>
      <c r="M100" s="47"/>
      <c r="N100" s="47"/>
      <c r="O100" s="47"/>
      <c r="P100" s="47"/>
      <c r="Q100" s="47"/>
      <c r="R100" s="47"/>
      <c r="S100" s="114">
        <f t="shared" si="0"/>
        <v>0</v>
      </c>
      <c r="T100" s="119"/>
      <c r="U100" s="44"/>
      <c r="V100" s="51"/>
      <c r="W100" s="83" t="str">
        <f t="shared" si="18"/>
        <v>-</v>
      </c>
      <c r="X100" s="83" t="str">
        <f>IF(I100='Pag 08_Legendas'!B$12,"P&amp;D&amp;I","Bolsa e auxílio")</f>
        <v>Bolsa e auxílio</v>
      </c>
      <c r="Y100" s="83" t="str">
        <f t="shared" si="19"/>
        <v>NÃO</v>
      </c>
      <c r="Z100" s="83" t="str">
        <f t="shared" si="20"/>
        <v>NÃO</v>
      </c>
      <c r="AA100" s="84"/>
      <c r="AB100" s="84"/>
      <c r="AC100" s="84"/>
      <c r="AD100" s="10"/>
      <c r="AE100" s="11"/>
      <c r="AF100" s="10"/>
      <c r="AG100" s="11"/>
      <c r="AH100" s="11"/>
    </row>
    <row r="101" spans="1:34" ht="13.5" x14ac:dyDescent="0.2">
      <c r="A101" s="44"/>
      <c r="B101" s="46"/>
      <c r="C101" s="48"/>
      <c r="D101" s="46"/>
      <c r="E101" s="46"/>
      <c r="F101" s="48"/>
      <c r="G101" s="48"/>
      <c r="H101" s="48"/>
      <c r="I101" s="48"/>
      <c r="J101" s="48"/>
      <c r="K101" s="48"/>
      <c r="L101" s="48"/>
      <c r="M101" s="47"/>
      <c r="N101" s="47"/>
      <c r="O101" s="47"/>
      <c r="P101" s="47"/>
      <c r="Q101" s="47"/>
      <c r="R101" s="47"/>
      <c r="S101" s="114">
        <f t="shared" si="0"/>
        <v>0</v>
      </c>
      <c r="T101" s="119"/>
      <c r="U101" s="44"/>
      <c r="V101" s="51"/>
      <c r="W101" s="83" t="str">
        <f t="shared" si="18"/>
        <v>-</v>
      </c>
      <c r="X101" s="83" t="str">
        <f>IF(I101='Pag 08_Legendas'!B$12,"P&amp;D&amp;I","Bolsa e auxílio")</f>
        <v>Bolsa e auxílio</v>
      </c>
      <c r="Y101" s="83" t="str">
        <f t="shared" si="19"/>
        <v>NÃO</v>
      </c>
      <c r="Z101" s="83" t="str">
        <f t="shared" si="20"/>
        <v>NÃO</v>
      </c>
      <c r="AA101" s="84"/>
      <c r="AB101" s="84"/>
      <c r="AC101" s="84"/>
      <c r="AD101" s="10"/>
      <c r="AE101" s="11"/>
      <c r="AF101" s="10"/>
      <c r="AG101" s="11"/>
      <c r="AH101" s="11"/>
    </row>
    <row r="102" spans="1:34" ht="13.5" x14ac:dyDescent="0.2">
      <c r="A102" s="44"/>
      <c r="B102" s="46"/>
      <c r="C102" s="48"/>
      <c r="D102" s="46"/>
      <c r="E102" s="46"/>
      <c r="F102" s="48"/>
      <c r="G102" s="48"/>
      <c r="H102" s="48"/>
      <c r="I102" s="48"/>
      <c r="J102" s="48"/>
      <c r="K102" s="48"/>
      <c r="L102" s="48"/>
      <c r="M102" s="47"/>
      <c r="N102" s="47"/>
      <c r="O102" s="47"/>
      <c r="P102" s="47"/>
      <c r="Q102" s="47"/>
      <c r="R102" s="47"/>
      <c r="S102" s="114">
        <f t="shared" si="0"/>
        <v>0</v>
      </c>
      <c r="T102" s="119"/>
      <c r="U102" s="44"/>
      <c r="V102" s="51"/>
      <c r="W102" s="83" t="str">
        <f t="shared" si="18"/>
        <v>-</v>
      </c>
      <c r="X102" s="83" t="str">
        <f>IF(I102='Pag 08_Legendas'!B$12,"P&amp;D&amp;I","Bolsa e auxílio")</f>
        <v>Bolsa e auxílio</v>
      </c>
      <c r="Y102" s="83" t="str">
        <f t="shared" si="19"/>
        <v>NÃO</v>
      </c>
      <c r="Z102" s="83" t="str">
        <f t="shared" si="20"/>
        <v>NÃO</v>
      </c>
      <c r="AA102" s="84"/>
      <c r="AB102" s="84"/>
      <c r="AC102" s="84"/>
      <c r="AD102" s="10"/>
      <c r="AE102" s="11"/>
      <c r="AF102" s="10"/>
      <c r="AG102" s="11"/>
      <c r="AH102" s="11"/>
    </row>
    <row r="103" spans="1:34" ht="13.5" x14ac:dyDescent="0.2">
      <c r="A103" s="44"/>
      <c r="B103" s="46"/>
      <c r="C103" s="48"/>
      <c r="D103" s="46"/>
      <c r="E103" s="46"/>
      <c r="F103" s="48"/>
      <c r="G103" s="48"/>
      <c r="H103" s="48"/>
      <c r="I103" s="48"/>
      <c r="J103" s="48"/>
      <c r="K103" s="48"/>
      <c r="L103" s="48"/>
      <c r="M103" s="47"/>
      <c r="N103" s="47"/>
      <c r="O103" s="47"/>
      <c r="P103" s="47"/>
      <c r="Q103" s="47"/>
      <c r="R103" s="47"/>
      <c r="S103" s="114">
        <f t="shared" si="0"/>
        <v>0</v>
      </c>
      <c r="T103" s="119"/>
      <c r="U103" s="44"/>
      <c r="V103" s="51"/>
      <c r="W103" s="83" t="str">
        <f t="shared" si="18"/>
        <v>-</v>
      </c>
      <c r="X103" s="83" t="str">
        <f>IF(I103='Pag 08_Legendas'!B$12,"P&amp;D&amp;I","Bolsa e auxílio")</f>
        <v>Bolsa e auxílio</v>
      </c>
      <c r="Y103" s="83" t="str">
        <f t="shared" si="19"/>
        <v>NÃO</v>
      </c>
      <c r="Z103" s="83" t="str">
        <f t="shared" si="20"/>
        <v>NÃO</v>
      </c>
      <c r="AA103" s="84"/>
      <c r="AB103" s="84"/>
      <c r="AC103" s="84"/>
      <c r="AD103" s="10"/>
      <c r="AE103" s="11"/>
      <c r="AF103" s="10"/>
      <c r="AG103" s="11"/>
      <c r="AH103" s="11"/>
    </row>
    <row r="104" spans="1:34" ht="13.5" x14ac:dyDescent="0.2">
      <c r="A104" s="44"/>
      <c r="B104" s="46"/>
      <c r="C104" s="48"/>
      <c r="D104" s="46"/>
      <c r="E104" s="46"/>
      <c r="F104" s="48"/>
      <c r="G104" s="48"/>
      <c r="H104" s="48"/>
      <c r="I104" s="48"/>
      <c r="J104" s="48"/>
      <c r="K104" s="48"/>
      <c r="L104" s="48"/>
      <c r="M104" s="47"/>
      <c r="N104" s="47"/>
      <c r="O104" s="47"/>
      <c r="P104" s="47"/>
      <c r="Q104" s="47"/>
      <c r="R104" s="47"/>
      <c r="S104" s="114">
        <f t="shared" si="0"/>
        <v>0</v>
      </c>
      <c r="T104" s="119"/>
      <c r="U104" s="44"/>
      <c r="V104" s="51"/>
      <c r="W104" s="83" t="str">
        <f t="shared" si="18"/>
        <v>-</v>
      </c>
      <c r="X104" s="83" t="str">
        <f>IF(I104='Pag 08_Legendas'!B$12,"P&amp;D&amp;I","Bolsa e auxílio")</f>
        <v>Bolsa e auxílio</v>
      </c>
      <c r="Y104" s="83" t="str">
        <f t="shared" si="19"/>
        <v>NÃO</v>
      </c>
      <c r="Z104" s="83" t="str">
        <f t="shared" si="20"/>
        <v>NÃO</v>
      </c>
      <c r="AA104" s="84"/>
      <c r="AB104" s="84"/>
      <c r="AC104" s="84"/>
      <c r="AD104" s="10"/>
      <c r="AE104" s="11"/>
      <c r="AF104" s="10"/>
      <c r="AG104" s="11"/>
      <c r="AH104" s="11"/>
    </row>
    <row r="105" spans="1:34" ht="13.5" x14ac:dyDescent="0.2">
      <c r="A105" s="52"/>
      <c r="B105" s="53"/>
      <c r="C105" s="48"/>
      <c r="D105" s="53"/>
      <c r="E105" s="46"/>
      <c r="F105" s="48"/>
      <c r="G105" s="48"/>
      <c r="H105" s="48"/>
      <c r="I105" s="48"/>
      <c r="J105" s="48"/>
      <c r="K105" s="48"/>
      <c r="L105" s="48"/>
      <c r="M105" s="47"/>
      <c r="N105" s="47"/>
      <c r="O105" s="47"/>
      <c r="P105" s="47"/>
      <c r="Q105" s="47"/>
      <c r="R105" s="47"/>
      <c r="S105" s="114">
        <f t="shared" si="0"/>
        <v>0</v>
      </c>
      <c r="T105" s="119"/>
      <c r="U105" s="44"/>
      <c r="V105" s="51"/>
      <c r="W105" s="83" t="str">
        <f t="shared" si="18"/>
        <v>-</v>
      </c>
      <c r="X105" s="83" t="str">
        <f>IF(I105='Pag 08_Legendas'!B$12,"P&amp;D&amp;I","Bolsa e auxílio")</f>
        <v>Bolsa e auxílio</v>
      </c>
      <c r="Y105" s="83" t="str">
        <f t="shared" si="19"/>
        <v>NÃO</v>
      </c>
      <c r="Z105" s="83" t="str">
        <f t="shared" si="20"/>
        <v>NÃO</v>
      </c>
      <c r="AA105" s="84"/>
      <c r="AB105" s="84"/>
      <c r="AC105" s="84"/>
      <c r="AD105" s="10"/>
      <c r="AE105" s="11"/>
      <c r="AF105" s="10"/>
      <c r="AG105" s="11"/>
      <c r="AH105" s="11"/>
    </row>
    <row r="106" spans="1:34" ht="13.5" x14ac:dyDescent="0.2">
      <c r="A106" s="44"/>
      <c r="B106" s="46"/>
      <c r="C106" s="48"/>
      <c r="D106" s="46"/>
      <c r="E106" s="46"/>
      <c r="F106" s="48"/>
      <c r="G106" s="48"/>
      <c r="H106" s="48"/>
      <c r="I106" s="48"/>
      <c r="J106" s="48"/>
      <c r="K106" s="48"/>
      <c r="L106" s="48"/>
      <c r="M106" s="47"/>
      <c r="N106" s="47"/>
      <c r="O106" s="47"/>
      <c r="P106" s="47"/>
      <c r="Q106" s="47"/>
      <c r="R106" s="47"/>
      <c r="S106" s="114">
        <f t="shared" si="0"/>
        <v>0</v>
      </c>
      <c r="T106" s="119"/>
      <c r="U106" s="44"/>
      <c r="V106" s="51"/>
      <c r="W106" s="83" t="str">
        <f t="shared" si="18"/>
        <v>-</v>
      </c>
      <c r="X106" s="83" t="str">
        <f>IF(I106='Pag 08_Legendas'!B$12,"P&amp;D&amp;I","Bolsa e auxílio")</f>
        <v>Bolsa e auxílio</v>
      </c>
      <c r="Y106" s="83" t="str">
        <f t="shared" si="19"/>
        <v>NÃO</v>
      </c>
      <c r="Z106" s="83" t="str">
        <f t="shared" si="20"/>
        <v>NÃO</v>
      </c>
      <c r="AA106" s="84"/>
      <c r="AB106" s="84"/>
      <c r="AC106" s="84"/>
      <c r="AD106" s="10"/>
      <c r="AE106" s="11"/>
      <c r="AF106" s="10"/>
      <c r="AG106" s="11"/>
      <c r="AH106" s="11"/>
    </row>
    <row r="107" spans="1:34" ht="13.5" x14ac:dyDescent="0.2">
      <c r="A107" s="44"/>
      <c r="B107" s="46"/>
      <c r="C107" s="48"/>
      <c r="D107" s="46"/>
      <c r="E107" s="46"/>
      <c r="F107" s="48"/>
      <c r="G107" s="48"/>
      <c r="H107" s="48"/>
      <c r="I107" s="48"/>
      <c r="J107" s="48"/>
      <c r="K107" s="48"/>
      <c r="L107" s="48"/>
      <c r="M107" s="47"/>
      <c r="N107" s="47"/>
      <c r="O107" s="47"/>
      <c r="P107" s="47"/>
      <c r="Q107" s="47"/>
      <c r="R107" s="47"/>
      <c r="S107" s="114">
        <f t="shared" si="0"/>
        <v>0</v>
      </c>
      <c r="T107" s="119"/>
      <c r="U107" s="44"/>
      <c r="V107" s="51"/>
      <c r="W107" s="83" t="str">
        <f t="shared" si="18"/>
        <v>-</v>
      </c>
      <c r="X107" s="83" t="str">
        <f>IF(I107='Pag 08_Legendas'!B$12,"P&amp;D&amp;I","Bolsa e auxílio")</f>
        <v>Bolsa e auxílio</v>
      </c>
      <c r="Y107" s="83" t="str">
        <f t="shared" si="19"/>
        <v>NÃO</v>
      </c>
      <c r="Z107" s="83" t="str">
        <f t="shared" si="20"/>
        <v>NÃO</v>
      </c>
      <c r="AA107" s="84"/>
      <c r="AB107" s="84"/>
      <c r="AC107" s="84"/>
      <c r="AD107" s="10"/>
      <c r="AE107" s="11"/>
      <c r="AF107" s="10"/>
      <c r="AG107" s="11"/>
      <c r="AH107" s="11"/>
    </row>
    <row r="108" spans="1:34" ht="13.5" x14ac:dyDescent="0.2">
      <c r="A108" s="52"/>
      <c r="B108" s="53"/>
      <c r="C108" s="48"/>
      <c r="D108" s="53"/>
      <c r="E108" s="46"/>
      <c r="F108" s="48"/>
      <c r="G108" s="48"/>
      <c r="H108" s="48"/>
      <c r="I108" s="48"/>
      <c r="J108" s="48"/>
      <c r="K108" s="48"/>
      <c r="L108" s="48"/>
      <c r="M108" s="47"/>
      <c r="N108" s="47"/>
      <c r="O108" s="47"/>
      <c r="P108" s="47"/>
      <c r="Q108" s="47"/>
      <c r="R108" s="47"/>
      <c r="S108" s="114">
        <f t="shared" si="0"/>
        <v>0</v>
      </c>
      <c r="T108" s="119"/>
      <c r="U108" s="44"/>
      <c r="V108" s="51"/>
      <c r="W108" s="83" t="str">
        <f t="shared" si="18"/>
        <v>-</v>
      </c>
      <c r="X108" s="83" t="str">
        <f>IF(I108='Pag 08_Legendas'!B$12,"P&amp;D&amp;I","Bolsa e auxílio")</f>
        <v>Bolsa e auxílio</v>
      </c>
      <c r="Y108" s="83" t="str">
        <f t="shared" si="19"/>
        <v>NÃO</v>
      </c>
      <c r="Z108" s="83" t="str">
        <f t="shared" si="20"/>
        <v>NÃO</v>
      </c>
      <c r="AA108" s="84"/>
      <c r="AB108" s="84"/>
      <c r="AC108" s="84"/>
      <c r="AD108" s="10"/>
      <c r="AE108" s="11"/>
      <c r="AF108" s="10"/>
      <c r="AG108" s="11"/>
      <c r="AH108" s="11"/>
    </row>
    <row r="109" spans="1:34" ht="13.5" x14ac:dyDescent="0.2">
      <c r="A109" s="44"/>
      <c r="B109" s="46"/>
      <c r="C109" s="48"/>
      <c r="D109" s="46"/>
      <c r="E109" s="46"/>
      <c r="F109" s="48"/>
      <c r="G109" s="48"/>
      <c r="H109" s="48"/>
      <c r="I109" s="48"/>
      <c r="J109" s="48"/>
      <c r="K109" s="48"/>
      <c r="L109" s="48"/>
      <c r="M109" s="47"/>
      <c r="N109" s="47"/>
      <c r="O109" s="47"/>
      <c r="P109" s="47"/>
      <c r="Q109" s="47"/>
      <c r="R109" s="47"/>
      <c r="S109" s="114">
        <f t="shared" si="0"/>
        <v>0</v>
      </c>
      <c r="T109" s="119"/>
      <c r="U109" s="44"/>
      <c r="V109" s="51"/>
      <c r="W109" s="83" t="str">
        <f t="shared" si="18"/>
        <v>-</v>
      </c>
      <c r="X109" s="83" t="str">
        <f>IF(I109='Pag 08_Legendas'!B$12,"P&amp;D&amp;I","Bolsa e auxílio")</f>
        <v>Bolsa e auxílio</v>
      </c>
      <c r="Y109" s="83" t="str">
        <f t="shared" si="19"/>
        <v>NÃO</v>
      </c>
      <c r="Z109" s="83" t="str">
        <f t="shared" si="20"/>
        <v>NÃO</v>
      </c>
      <c r="AA109" s="84"/>
      <c r="AB109" s="84"/>
      <c r="AC109" s="84"/>
      <c r="AD109" s="10"/>
      <c r="AE109" s="11"/>
      <c r="AF109" s="10"/>
      <c r="AG109" s="11"/>
      <c r="AH109" s="11"/>
    </row>
    <row r="110" spans="1:34" ht="13.5" x14ac:dyDescent="0.2">
      <c r="A110" s="44"/>
      <c r="B110" s="46"/>
      <c r="C110" s="48"/>
      <c r="D110" s="46"/>
      <c r="E110" s="46"/>
      <c r="F110" s="48"/>
      <c r="G110" s="48"/>
      <c r="H110" s="48"/>
      <c r="I110" s="48"/>
      <c r="J110" s="48"/>
      <c r="K110" s="48"/>
      <c r="L110" s="48"/>
      <c r="M110" s="47"/>
      <c r="N110" s="47"/>
      <c r="O110" s="47"/>
      <c r="P110" s="47"/>
      <c r="Q110" s="47"/>
      <c r="R110" s="47"/>
      <c r="S110" s="114">
        <f t="shared" si="0"/>
        <v>0</v>
      </c>
      <c r="T110" s="119"/>
      <c r="U110" s="44"/>
      <c r="V110" s="51"/>
      <c r="W110" s="83" t="str">
        <f t="shared" si="18"/>
        <v>-</v>
      </c>
      <c r="X110" s="83" t="str">
        <f>IF(I110='Pag 08_Legendas'!B$12,"P&amp;D&amp;I","Bolsa e auxílio")</f>
        <v>Bolsa e auxílio</v>
      </c>
      <c r="Y110" s="83" t="str">
        <f t="shared" si="19"/>
        <v>NÃO</v>
      </c>
      <c r="Z110" s="83" t="str">
        <f t="shared" si="20"/>
        <v>NÃO</v>
      </c>
      <c r="AA110" s="84"/>
      <c r="AB110" s="84"/>
      <c r="AC110" s="84"/>
      <c r="AD110" s="10"/>
      <c r="AE110" s="11"/>
      <c r="AF110" s="10"/>
      <c r="AG110" s="11"/>
      <c r="AH110" s="11"/>
    </row>
    <row r="111" spans="1:34" ht="13.5" x14ac:dyDescent="0.2">
      <c r="A111" s="44"/>
      <c r="B111" s="46"/>
      <c r="C111" s="48"/>
      <c r="D111" s="46"/>
      <c r="E111" s="46"/>
      <c r="F111" s="48"/>
      <c r="G111" s="48"/>
      <c r="H111" s="48"/>
      <c r="I111" s="48"/>
      <c r="J111" s="48"/>
      <c r="K111" s="48"/>
      <c r="L111" s="48"/>
      <c r="M111" s="47"/>
      <c r="N111" s="47"/>
      <c r="O111" s="47"/>
      <c r="P111" s="47"/>
      <c r="Q111" s="47"/>
      <c r="R111" s="47"/>
      <c r="S111" s="114">
        <f t="shared" si="0"/>
        <v>0</v>
      </c>
      <c r="T111" s="119"/>
      <c r="U111" s="44"/>
      <c r="V111" s="51"/>
      <c r="W111" s="83" t="str">
        <f t="shared" si="18"/>
        <v>-</v>
      </c>
      <c r="X111" s="83" t="str">
        <f>IF(I111='Pag 08_Legendas'!B$12,"P&amp;D&amp;I","Bolsa e auxílio")</f>
        <v>Bolsa e auxílio</v>
      </c>
      <c r="Y111" s="83" t="str">
        <f t="shared" si="19"/>
        <v>NÃO</v>
      </c>
      <c r="Z111" s="83" t="str">
        <f t="shared" si="20"/>
        <v>NÃO</v>
      </c>
      <c r="AA111" s="84"/>
      <c r="AB111" s="84"/>
      <c r="AC111" s="84"/>
      <c r="AD111" s="10"/>
      <c r="AE111" s="11"/>
      <c r="AF111" s="10"/>
      <c r="AG111" s="11"/>
      <c r="AH111" s="11"/>
    </row>
    <row r="112" spans="1:34" ht="13.5" x14ac:dyDescent="0.2">
      <c r="A112" s="44"/>
      <c r="B112" s="46"/>
      <c r="C112" s="48"/>
      <c r="D112" s="46"/>
      <c r="E112" s="46"/>
      <c r="F112" s="48"/>
      <c r="G112" s="48"/>
      <c r="H112" s="48"/>
      <c r="I112" s="48"/>
      <c r="J112" s="48"/>
      <c r="K112" s="48"/>
      <c r="L112" s="48"/>
      <c r="M112" s="47"/>
      <c r="N112" s="47"/>
      <c r="O112" s="47"/>
      <c r="P112" s="47"/>
      <c r="Q112" s="47"/>
      <c r="R112" s="47"/>
      <c r="S112" s="114">
        <f t="shared" si="0"/>
        <v>0</v>
      </c>
      <c r="T112" s="119"/>
      <c r="U112" s="44"/>
      <c r="V112" s="51"/>
      <c r="W112" s="83" t="str">
        <f t="shared" si="18"/>
        <v>-</v>
      </c>
      <c r="X112" s="83" t="str">
        <f>IF(I112='Pag 08_Legendas'!B$12,"P&amp;D&amp;I","Bolsa e auxílio")</f>
        <v>Bolsa e auxílio</v>
      </c>
      <c r="Y112" s="83" t="str">
        <f t="shared" si="19"/>
        <v>NÃO</v>
      </c>
      <c r="Z112" s="83" t="str">
        <f t="shared" si="20"/>
        <v>NÃO</v>
      </c>
      <c r="AA112" s="84"/>
      <c r="AB112" s="84"/>
      <c r="AC112" s="84"/>
      <c r="AD112" s="10"/>
      <c r="AE112" s="11"/>
      <c r="AF112" s="10"/>
      <c r="AG112" s="11"/>
      <c r="AH112" s="11"/>
    </row>
    <row r="113" spans="1:34" ht="13.5" x14ac:dyDescent="0.2">
      <c r="A113" s="44"/>
      <c r="B113" s="46"/>
      <c r="C113" s="48"/>
      <c r="D113" s="46"/>
      <c r="E113" s="46"/>
      <c r="F113" s="48"/>
      <c r="G113" s="48"/>
      <c r="H113" s="48"/>
      <c r="I113" s="48"/>
      <c r="J113" s="48"/>
      <c r="K113" s="48"/>
      <c r="L113" s="48"/>
      <c r="M113" s="47"/>
      <c r="N113" s="47"/>
      <c r="O113" s="47"/>
      <c r="P113" s="47"/>
      <c r="Q113" s="47"/>
      <c r="R113" s="47"/>
      <c r="S113" s="114">
        <f t="shared" si="0"/>
        <v>0</v>
      </c>
      <c r="T113" s="119"/>
      <c r="U113" s="44"/>
      <c r="V113" s="51"/>
      <c r="W113" s="83" t="str">
        <f t="shared" si="18"/>
        <v>-</v>
      </c>
      <c r="X113" s="83" t="str">
        <f>IF(I113='Pag 08_Legendas'!B$12,"P&amp;D&amp;I","Bolsa e auxílio")</f>
        <v>Bolsa e auxílio</v>
      </c>
      <c r="Y113" s="83" t="str">
        <f t="shared" si="19"/>
        <v>NÃO</v>
      </c>
      <c r="Z113" s="83" t="str">
        <f t="shared" si="20"/>
        <v>NÃO</v>
      </c>
      <c r="AA113" s="84"/>
      <c r="AB113" s="84"/>
      <c r="AC113" s="84"/>
      <c r="AD113" s="10"/>
      <c r="AE113" s="11"/>
      <c r="AF113" s="10"/>
      <c r="AG113" s="11"/>
      <c r="AH113" s="11"/>
    </row>
    <row r="114" spans="1:34" ht="13.5" x14ac:dyDescent="0.2">
      <c r="A114" s="44"/>
      <c r="B114" s="46"/>
      <c r="C114" s="48"/>
      <c r="D114" s="46"/>
      <c r="E114" s="46"/>
      <c r="F114" s="48"/>
      <c r="G114" s="48"/>
      <c r="H114" s="48"/>
      <c r="I114" s="48"/>
      <c r="J114" s="48"/>
      <c r="K114" s="48"/>
      <c r="L114" s="48"/>
      <c r="M114" s="47"/>
      <c r="N114" s="47"/>
      <c r="O114" s="47"/>
      <c r="P114" s="47"/>
      <c r="Q114" s="47"/>
      <c r="R114" s="47"/>
      <c r="S114" s="114">
        <f t="shared" si="0"/>
        <v>0</v>
      </c>
      <c r="T114" s="119"/>
      <c r="U114" s="44"/>
      <c r="V114" s="51"/>
      <c r="W114" s="83" t="str">
        <f t="shared" si="18"/>
        <v>-</v>
      </c>
      <c r="X114" s="83" t="str">
        <f>IF(I114='Pag 08_Legendas'!B$12,"P&amp;D&amp;I","Bolsa e auxílio")</f>
        <v>Bolsa e auxílio</v>
      </c>
      <c r="Y114" s="83" t="str">
        <f t="shared" si="19"/>
        <v>NÃO</v>
      </c>
      <c r="Z114" s="83" t="str">
        <f t="shared" si="20"/>
        <v>NÃO</v>
      </c>
      <c r="AA114" s="84"/>
      <c r="AB114" s="84"/>
      <c r="AC114" s="84"/>
      <c r="AD114" s="10"/>
      <c r="AE114" s="11"/>
      <c r="AF114" s="10"/>
      <c r="AG114" s="11"/>
      <c r="AH114" s="11"/>
    </row>
    <row r="115" spans="1:34" ht="13.5" x14ac:dyDescent="0.2">
      <c r="A115" s="44"/>
      <c r="B115" s="46"/>
      <c r="C115" s="48"/>
      <c r="D115" s="46"/>
      <c r="E115" s="46"/>
      <c r="F115" s="48"/>
      <c r="G115" s="48"/>
      <c r="H115" s="48"/>
      <c r="I115" s="48"/>
      <c r="J115" s="48"/>
      <c r="K115" s="48"/>
      <c r="L115" s="48"/>
      <c r="M115" s="47"/>
      <c r="N115" s="47"/>
      <c r="O115" s="47"/>
      <c r="P115" s="47"/>
      <c r="Q115" s="47"/>
      <c r="R115" s="47"/>
      <c r="S115" s="114">
        <f t="shared" si="0"/>
        <v>0</v>
      </c>
      <c r="T115" s="119"/>
      <c r="U115" s="44"/>
      <c r="V115" s="51"/>
      <c r="W115" s="83" t="str">
        <f t="shared" si="18"/>
        <v>-</v>
      </c>
      <c r="X115" s="83" t="str">
        <f>IF(I115='Pag 08_Legendas'!B$12,"P&amp;D&amp;I","Bolsa e auxílio")</f>
        <v>Bolsa e auxílio</v>
      </c>
      <c r="Y115" s="83" t="str">
        <f t="shared" si="19"/>
        <v>NÃO</v>
      </c>
      <c r="Z115" s="83" t="str">
        <f t="shared" si="20"/>
        <v>NÃO</v>
      </c>
      <c r="AA115" s="84"/>
      <c r="AB115" s="84"/>
      <c r="AC115" s="84"/>
      <c r="AD115" s="10"/>
      <c r="AE115" s="11"/>
      <c r="AF115" s="10"/>
      <c r="AG115" s="11"/>
      <c r="AH115" s="11"/>
    </row>
    <row r="116" spans="1:34" ht="13.5" x14ac:dyDescent="0.2">
      <c r="A116" s="52"/>
      <c r="B116" s="53"/>
      <c r="C116" s="48"/>
      <c r="D116" s="53"/>
      <c r="E116" s="46"/>
      <c r="F116" s="48"/>
      <c r="G116" s="48"/>
      <c r="H116" s="48"/>
      <c r="I116" s="48"/>
      <c r="J116" s="48"/>
      <c r="K116" s="48"/>
      <c r="L116" s="48"/>
      <c r="M116" s="47"/>
      <c r="N116" s="47"/>
      <c r="O116" s="47"/>
      <c r="P116" s="47"/>
      <c r="Q116" s="47"/>
      <c r="R116" s="47"/>
      <c r="S116" s="114">
        <f t="shared" ref="S116:S120" si="21">SUM(M116:R116)</f>
        <v>0</v>
      </c>
      <c r="T116" s="119"/>
      <c r="U116" s="44"/>
      <c r="V116" s="51"/>
      <c r="W116" s="83" t="str">
        <f t="shared" si="18"/>
        <v>-</v>
      </c>
      <c r="X116" s="83" t="str">
        <f>IF(I116='Pag 08_Legendas'!B$12,"P&amp;D&amp;I","Bolsa e auxílio")</f>
        <v>Bolsa e auxílio</v>
      </c>
      <c r="Y116" s="83" t="str">
        <f t="shared" si="19"/>
        <v>NÃO</v>
      </c>
      <c r="Z116" s="83" t="str">
        <f t="shared" si="20"/>
        <v>NÃO</v>
      </c>
      <c r="AA116" s="84"/>
      <c r="AB116" s="84"/>
      <c r="AC116" s="84"/>
      <c r="AD116" s="10"/>
      <c r="AE116" s="11"/>
      <c r="AF116" s="10"/>
      <c r="AG116" s="11"/>
      <c r="AH116" s="11"/>
    </row>
    <row r="117" spans="1:34" ht="13.5" x14ac:dyDescent="0.2">
      <c r="A117" s="44"/>
      <c r="B117" s="46"/>
      <c r="C117" s="48"/>
      <c r="D117" s="46"/>
      <c r="E117" s="46"/>
      <c r="F117" s="48"/>
      <c r="G117" s="48"/>
      <c r="H117" s="48"/>
      <c r="I117" s="48"/>
      <c r="J117" s="48"/>
      <c r="K117" s="48"/>
      <c r="L117" s="48"/>
      <c r="M117" s="47"/>
      <c r="N117" s="47"/>
      <c r="O117" s="47"/>
      <c r="P117" s="47"/>
      <c r="Q117" s="47"/>
      <c r="R117" s="47"/>
      <c r="S117" s="114">
        <f t="shared" si="21"/>
        <v>0</v>
      </c>
      <c r="T117" s="119"/>
      <c r="U117" s="44"/>
      <c r="V117" s="51"/>
      <c r="W117" s="83" t="str">
        <f t="shared" si="18"/>
        <v>-</v>
      </c>
      <c r="X117" s="83" t="str">
        <f>IF(I117='Pag 08_Legendas'!B$12,"P&amp;D&amp;I","Bolsa e auxílio")</f>
        <v>Bolsa e auxílio</v>
      </c>
      <c r="Y117" s="83" t="str">
        <f t="shared" si="19"/>
        <v>NÃO</v>
      </c>
      <c r="Z117" s="83" t="str">
        <f t="shared" si="20"/>
        <v>NÃO</v>
      </c>
      <c r="AA117" s="84"/>
      <c r="AB117" s="84"/>
      <c r="AC117" s="84"/>
      <c r="AD117" s="10"/>
      <c r="AE117" s="11"/>
      <c r="AF117" s="10"/>
      <c r="AG117" s="11"/>
      <c r="AH117" s="11"/>
    </row>
    <row r="118" spans="1:34" ht="13.5" x14ac:dyDescent="0.2">
      <c r="A118" s="44"/>
      <c r="B118" s="46"/>
      <c r="C118" s="48"/>
      <c r="D118" s="46"/>
      <c r="E118" s="46"/>
      <c r="F118" s="48"/>
      <c r="G118" s="48"/>
      <c r="H118" s="48"/>
      <c r="I118" s="48"/>
      <c r="J118" s="48"/>
      <c r="K118" s="48"/>
      <c r="L118" s="48"/>
      <c r="M118" s="47"/>
      <c r="N118" s="47"/>
      <c r="O118" s="47"/>
      <c r="P118" s="47"/>
      <c r="Q118" s="47"/>
      <c r="R118" s="47"/>
      <c r="S118" s="114">
        <f t="shared" si="21"/>
        <v>0</v>
      </c>
      <c r="T118" s="119"/>
      <c r="U118" s="44"/>
      <c r="V118" s="51"/>
      <c r="W118" s="83" t="str">
        <f t="shared" si="18"/>
        <v>-</v>
      </c>
      <c r="X118" s="83" t="str">
        <f>IF(I118='Pag 08_Legendas'!B$12,"P&amp;D&amp;I","Bolsa e auxílio")</f>
        <v>Bolsa e auxílio</v>
      </c>
      <c r="Y118" s="83" t="str">
        <f t="shared" si="19"/>
        <v>NÃO</v>
      </c>
      <c r="Z118" s="83" t="str">
        <f t="shared" si="20"/>
        <v>NÃO</v>
      </c>
      <c r="AA118" s="84"/>
      <c r="AB118" s="84"/>
      <c r="AC118" s="84"/>
      <c r="AD118" s="10"/>
      <c r="AE118" s="11"/>
      <c r="AF118" s="10"/>
      <c r="AG118" s="11"/>
      <c r="AH118" s="11"/>
    </row>
    <row r="119" spans="1:34" ht="13.5" x14ac:dyDescent="0.2">
      <c r="A119" s="44"/>
      <c r="B119" s="46"/>
      <c r="C119" s="48"/>
      <c r="D119" s="46"/>
      <c r="E119" s="117"/>
      <c r="F119" s="48"/>
      <c r="G119" s="48"/>
      <c r="H119" s="48"/>
      <c r="I119" s="48"/>
      <c r="J119" s="48"/>
      <c r="K119" s="48"/>
      <c r="L119" s="48"/>
      <c r="M119" s="47"/>
      <c r="N119" s="47"/>
      <c r="O119" s="47"/>
      <c r="P119" s="47"/>
      <c r="Q119" s="47"/>
      <c r="R119" s="47"/>
      <c r="S119" s="114">
        <f t="shared" si="21"/>
        <v>0</v>
      </c>
      <c r="T119" s="119"/>
      <c r="U119" s="44"/>
      <c r="V119" s="51"/>
      <c r="W119" s="83" t="str">
        <f t="shared" si="18"/>
        <v>-</v>
      </c>
      <c r="X119" s="83" t="str">
        <f>IF(I119='Pag 08_Legendas'!B$12,"P&amp;D&amp;I","Bolsa e auxílio")</f>
        <v>Bolsa e auxílio</v>
      </c>
      <c r="Y119" s="83" t="str">
        <f t="shared" si="19"/>
        <v>NÃO</v>
      </c>
      <c r="Z119" s="83" t="str">
        <f t="shared" si="20"/>
        <v>NÃO</v>
      </c>
      <c r="AA119" s="84"/>
      <c r="AB119" s="84"/>
      <c r="AC119" s="84"/>
      <c r="AD119" s="10"/>
      <c r="AE119" s="11"/>
      <c r="AF119" s="10"/>
      <c r="AG119" s="11"/>
      <c r="AH119" s="11"/>
    </row>
    <row r="120" spans="1:34" s="1" customFormat="1" ht="13.5" x14ac:dyDescent="0.2">
      <c r="A120" s="44"/>
      <c r="B120" s="46"/>
      <c r="C120" s="45"/>
      <c r="D120" s="46"/>
      <c r="E120" s="46"/>
      <c r="F120" s="118"/>
      <c r="G120" s="45"/>
      <c r="H120" s="45"/>
      <c r="I120" s="45"/>
      <c r="J120" s="45"/>
      <c r="K120" s="45"/>
      <c r="L120" s="45"/>
      <c r="M120" s="47"/>
      <c r="N120" s="47"/>
      <c r="O120" s="47"/>
      <c r="P120" s="47"/>
      <c r="Q120" s="47"/>
      <c r="R120" s="47"/>
      <c r="S120" s="114">
        <f t="shared" si="21"/>
        <v>0</v>
      </c>
      <c r="T120" s="119"/>
      <c r="U120" s="44"/>
      <c r="V120" s="111"/>
      <c r="W120" s="83" t="str">
        <f t="shared" si="18"/>
        <v>-</v>
      </c>
      <c r="X120" s="83" t="str">
        <f>IF(I120='Pag 08_Legendas'!B$12,"P&amp;D&amp;I","Bolsa e auxílio")</f>
        <v>Bolsa e auxílio</v>
      </c>
      <c r="Y120" s="83" t="str">
        <f t="shared" si="19"/>
        <v>NÃO</v>
      </c>
      <c r="Z120" s="83" t="str">
        <f t="shared" si="20"/>
        <v>NÃO</v>
      </c>
      <c r="AA120" s="85"/>
      <c r="AB120" s="85"/>
      <c r="AC120" s="85"/>
      <c r="AD120" s="18"/>
      <c r="AE120" s="17"/>
      <c r="AF120" s="152"/>
      <c r="AG120" s="153"/>
      <c r="AH120" s="18"/>
    </row>
    <row r="121" spans="1:34" ht="15" x14ac:dyDescent="0.2">
      <c r="A121" s="151" t="s">
        <v>153</v>
      </c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</row>
    <row r="122" spans="1:34" ht="14.25" customHeight="1" x14ac:dyDescent="0.25">
      <c r="A122" s="148"/>
      <c r="B122" s="148"/>
      <c r="C122" s="148"/>
      <c r="D122" s="148"/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50"/>
      <c r="AF122" s="150"/>
      <c r="AG122" s="150"/>
    </row>
  </sheetData>
  <sheetProtection algorithmName="SHA-512" hashValue="0OGTwv89YP4Ui9es2nO1Bynx6ub1oK+XeEy7tXKJjmU6s6u1czuJ6ovwOKXF71WpGAsK73h4odMjrv3GQ1BrcQ==" saltValue="PK3poDzqVzYScrck+eG56A==" spinCount="100000" sheet="1" formatRows="0" sort="0" autoFilter="0" pivotTables="0"/>
  <autoFilter ref="A5:V121" xr:uid="{082BBD75-9674-436C-8DCE-4C2D2D49AC41}"/>
  <mergeCells count="8">
    <mergeCell ref="A1:V1"/>
    <mergeCell ref="A122:V122"/>
    <mergeCell ref="AF122:AG122"/>
    <mergeCell ref="A121:AH121"/>
    <mergeCell ref="AF120:AG120"/>
    <mergeCell ref="A4:L4"/>
    <mergeCell ref="M4:V4"/>
    <mergeCell ref="C2:V2"/>
  </mergeCells>
  <conditionalFormatting sqref="T6:U10 T12:U120">
    <cfRule type="cellIs" dxfId="18" priority="16" operator="equal">
      <formula>"Aguardando resposta"</formula>
    </cfRule>
    <cfRule type="cellIs" dxfId="17" priority="17" operator="equal">
      <formula>"Negado"</formula>
    </cfRule>
    <cfRule type="cellIs" dxfId="16" priority="18" operator="equal">
      <formula>"Aprovado"</formula>
    </cfRule>
  </conditionalFormatting>
  <conditionalFormatting sqref="T6:T10 T12:T120">
    <cfRule type="cellIs" dxfId="15" priority="15" operator="equal">
      <formula>"Cancelado"</formula>
    </cfRule>
  </conditionalFormatting>
  <conditionalFormatting sqref="T6:U10 T12:U120 A6:R120">
    <cfRule type="cellIs" dxfId="14" priority="8" operator="equal">
      <formula>$C$3</formula>
    </cfRule>
  </conditionalFormatting>
  <conditionalFormatting sqref="V6:V10 V12:V120">
    <cfRule type="cellIs" dxfId="13" priority="7" operator="equal">
      <formula>$AA$2</formula>
    </cfRule>
  </conditionalFormatting>
  <conditionalFormatting sqref="T11:U11">
    <cfRule type="cellIs" dxfId="12" priority="4" operator="equal">
      <formula>"Aguardando resposta"</formula>
    </cfRule>
    <cfRule type="cellIs" dxfId="11" priority="5" operator="equal">
      <formula>"Negado"</formula>
    </cfRule>
    <cfRule type="cellIs" dxfId="10" priority="6" operator="equal">
      <formula>"Aprovado"</formula>
    </cfRule>
  </conditionalFormatting>
  <conditionalFormatting sqref="T11">
    <cfRule type="cellIs" dxfId="9" priority="3" operator="equal">
      <formula>"Cancelado"</formula>
    </cfRule>
  </conditionalFormatting>
  <conditionalFormatting sqref="T11:U11">
    <cfRule type="cellIs" dxfId="8" priority="2" operator="equal">
      <formula>$C$3</formula>
    </cfRule>
  </conditionalFormatting>
  <conditionalFormatting sqref="V11">
    <cfRule type="cellIs" dxfId="7" priority="1" operator="equal">
      <formula>$AA$2</formula>
    </cfRule>
  </conditionalFormatting>
  <dataValidations count="4">
    <dataValidation type="list" allowBlank="1" showInputMessage="1" showErrorMessage="1" sqref="D6:D120" xr:uid="{00000000-0002-0000-0000-000000000000}">
      <formula1>"FQ-07.02,FQ-07.11"</formula1>
    </dataValidation>
    <dataValidation type="list" allowBlank="1" showInputMessage="1" showErrorMessage="1" sqref="G6:G120" xr:uid="{00000000-0002-0000-0000-000001000000}">
      <formula1>"CCQA,Cetea,Cereal Chocotec,Cial,CTC,DG,Fruthotec,Tecnolat"</formula1>
    </dataValidation>
    <dataValidation type="list" allowBlank="1" showInputMessage="1" showErrorMessage="1" sqref="C6:C120 K6:L120" xr:uid="{00000000-0002-0000-0000-000002000000}">
      <formula1>"S,N"</formula1>
    </dataValidation>
    <dataValidation type="list" allowBlank="1" showInputMessage="1" showErrorMessage="1" sqref="T6:T120" xr:uid="{00000000-0002-0000-0000-000003000000}">
      <formula1>"Aprovado,Negado,Aguardando resposta,Cancelado"</formula1>
    </dataValidation>
  </dataValidations>
  <printOptions verticalCentered="1"/>
  <pageMargins left="0.39370078740157483" right="0" top="0" bottom="0" header="0.19685039370078741" footer="0"/>
  <pageSetup paperSize="9" scale="27" orientation="landscape" r:id="rId1"/>
  <headerFooter alignWithMargins="0">
    <oddHeader>&amp;R&amp;P/&amp;N</oddHeader>
    <oddFooter>&amp;LFQ-07.54 (anexo ao PQ-07.02) - RA - revisão 03 de 02/02/26 - Página 1/8</oddFooter>
  </headerFooter>
  <rowBreaks count="1" manualBreakCount="1">
    <brk id="124" max="44" man="1"/>
  </rowBreaks>
  <colBreaks count="1" manualBreakCount="1">
    <brk id="22" max="11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34</xdr:col>
                    <xdr:colOff>133350</xdr:colOff>
                    <xdr:row>4</xdr:row>
                    <xdr:rowOff>0</xdr:rowOff>
                  </from>
                  <to>
                    <xdr:col>35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2_Clique">
                <anchor moveWithCells="1" sizeWithCells="1">
                  <from>
                    <xdr:col>36</xdr:col>
                    <xdr:colOff>57150</xdr:colOff>
                    <xdr:row>3</xdr:row>
                    <xdr:rowOff>180975</xdr:rowOff>
                  </from>
                  <to>
                    <xdr:col>37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5000000}">
          <x14:formula1>
            <xm:f>'Pag 08_Legendas'!$C$3:$C$14</xm:f>
          </x14:formula1>
          <xm:sqref>J6:J120</xm:sqref>
        </x14:dataValidation>
        <x14:dataValidation type="list" allowBlank="1" showInputMessage="1" showErrorMessage="1" xr:uid="{00000000-0002-0000-0000-000006000000}">
          <x14:formula1>
            <xm:f>'Pag 08_Legendas'!$B$3:$B$14</xm:f>
          </x14:formula1>
          <xm:sqref>I6:I120</xm:sqref>
        </x14:dataValidation>
        <x14:dataValidation type="list" allowBlank="1" showInputMessage="1" showErrorMessage="1" xr:uid="{00000000-0002-0000-0000-000004000000}">
          <x14:formula1>
            <xm:f>'Pag 08_Legendas'!$A$3:$A$8</xm:f>
          </x14:formula1>
          <xm:sqref>H6:H56 H58:H120 G57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GQ121"/>
  <sheetViews>
    <sheetView tabSelected="1" zoomScale="90" zoomScaleNormal="90" zoomScaleSheetLayoutView="50" workbookViewId="0">
      <pane xSplit="7" ySplit="7" topLeftCell="S74" activePane="bottomRight" state="frozen"/>
      <selection activeCell="A16" sqref="A16"/>
      <selection pane="topRight" activeCell="A16" sqref="A16"/>
      <selection pane="bottomLeft" activeCell="A16" sqref="A16"/>
      <selection pane="bottomRight" activeCell="A16" sqref="A16"/>
    </sheetView>
  </sheetViews>
  <sheetFormatPr defaultRowHeight="12.75" x14ac:dyDescent="0.2"/>
  <cols>
    <col min="1" max="2" width="15.140625" style="144" customWidth="1"/>
    <col min="3" max="3" width="6.42578125" style="144" customWidth="1"/>
    <col min="4" max="4" width="15.140625" style="144" customWidth="1"/>
    <col min="5" max="5" width="14.140625" style="144" customWidth="1"/>
    <col min="6" max="6" width="11.42578125" style="144" customWidth="1"/>
    <col min="7" max="7" width="41.7109375" style="144" customWidth="1"/>
    <col min="8" max="8" width="24.5703125" style="144" customWidth="1"/>
    <col min="9" max="9" width="18.42578125" style="144" customWidth="1"/>
    <col min="10" max="10" width="19.7109375" style="144" customWidth="1"/>
    <col min="11" max="12" width="16.140625" style="144" customWidth="1"/>
    <col min="13" max="14" width="5.42578125" style="144" customWidth="1"/>
    <col min="15" max="15" width="14.5703125" customWidth="1"/>
    <col min="16" max="16" width="12.5703125" bestFit="1" customWidth="1"/>
    <col min="17" max="17" width="15.7109375" customWidth="1"/>
    <col min="18" max="18" width="15.7109375" bestFit="1" customWidth="1"/>
    <col min="19" max="19" width="17" bestFit="1" customWidth="1"/>
    <col min="20" max="20" width="25" bestFit="1" customWidth="1"/>
    <col min="21" max="21" width="20.5703125" customWidth="1"/>
    <col min="22" max="22" width="25" customWidth="1"/>
    <col min="23" max="23" width="18.140625" customWidth="1"/>
    <col min="24" max="24" width="19.5703125" customWidth="1"/>
    <col min="25" max="25" width="17.42578125" customWidth="1"/>
    <col min="26" max="26" width="10.28515625" style="78" customWidth="1"/>
    <col min="27" max="27" width="13.5703125" style="78" customWidth="1"/>
    <col min="28" max="32" width="11.85546875" style="78" customWidth="1"/>
    <col min="33" max="33" width="15.85546875" style="78" customWidth="1"/>
    <col min="34" max="34" width="6.5703125" style="143" customWidth="1"/>
    <col min="35" max="36" width="4.5703125" customWidth="1"/>
    <col min="37" max="38" width="5.7109375" customWidth="1"/>
    <col min="39" max="39" width="10.7109375" customWidth="1"/>
  </cols>
  <sheetData>
    <row r="1" spans="1:39" ht="16.5" customHeight="1" thickBot="1" x14ac:dyDescent="0.25">
      <c r="A1" s="159" t="s">
        <v>33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93"/>
      <c r="AA1" s="93"/>
      <c r="AB1" s="93"/>
      <c r="AC1" s="93"/>
      <c r="AD1" s="93"/>
      <c r="AE1" s="93"/>
      <c r="AF1" s="93"/>
      <c r="AG1" s="93"/>
      <c r="AH1" s="66"/>
      <c r="AI1" s="66"/>
      <c r="AJ1" s="66"/>
      <c r="AK1" s="66"/>
      <c r="AL1" s="19"/>
      <c r="AM1" s="19"/>
    </row>
    <row r="2" spans="1:39" ht="23.25" customHeight="1" thickBot="1" x14ac:dyDescent="0.25">
      <c r="A2" s="161">
        <f>'Página 01_Cadastro'!B2</f>
        <v>0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76"/>
      <c r="AA2" s="76"/>
      <c r="AB2" s="76"/>
      <c r="AC2" s="76"/>
      <c r="AD2" s="76"/>
      <c r="AE2" s="76"/>
      <c r="AF2" s="76"/>
      <c r="AG2" s="76"/>
      <c r="AH2" s="76"/>
      <c r="AI2" s="67"/>
      <c r="AJ2" s="67"/>
      <c r="AK2" s="67"/>
      <c r="AL2" s="67"/>
      <c r="AM2" s="67"/>
    </row>
    <row r="3" spans="1:39" ht="23.25" customHeight="1" thickBot="1" x14ac:dyDescent="0.25">
      <c r="A3" s="166" t="s">
        <v>111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8"/>
      <c r="Z3" s="77"/>
      <c r="AA3" s="77"/>
      <c r="AB3" s="77"/>
      <c r="AC3" s="77"/>
      <c r="AD3" s="77"/>
      <c r="AE3" s="77"/>
      <c r="AF3" s="77"/>
      <c r="AG3" s="77"/>
      <c r="AH3" s="77"/>
      <c r="AI3" s="8"/>
      <c r="AJ3" s="8"/>
      <c r="AK3" s="8"/>
      <c r="AL3" s="8"/>
      <c r="AM3" s="8"/>
    </row>
    <row r="4" spans="1:39" ht="15.75" x14ac:dyDescent="0.2">
      <c r="A4" s="13"/>
      <c r="B4" s="13"/>
      <c r="C4" s="13"/>
      <c r="D4" s="13"/>
      <c r="E4" s="13"/>
      <c r="F4" s="13"/>
      <c r="G4" s="13"/>
      <c r="H4" s="13"/>
      <c r="I4" s="13"/>
      <c r="J4" s="13"/>
      <c r="K4" s="122">
        <f ca="1">TODAY()</f>
        <v>46045</v>
      </c>
      <c r="L4" s="122">
        <f ca="1">K4+30</f>
        <v>46075</v>
      </c>
      <c r="M4" s="13"/>
      <c r="N4" s="13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77"/>
      <c r="AA4" s="77"/>
      <c r="AB4" s="77"/>
      <c r="AC4" s="77"/>
      <c r="AD4" s="77"/>
      <c r="AE4" s="77"/>
      <c r="AF4" s="77"/>
      <c r="AG4" s="77"/>
      <c r="AH4" s="77"/>
      <c r="AI4" s="8"/>
      <c r="AJ4" s="8"/>
      <c r="AK4" s="8"/>
      <c r="AL4" s="8"/>
      <c r="AM4" s="8"/>
    </row>
    <row r="5" spans="1:39" ht="15" customHeight="1" x14ac:dyDescent="0.2">
      <c r="A5" s="154" t="s">
        <v>13</v>
      </c>
      <c r="B5" s="155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6"/>
      <c r="O5" s="157" t="s">
        <v>23</v>
      </c>
      <c r="P5" s="157"/>
      <c r="Q5" s="157"/>
      <c r="R5" s="157"/>
      <c r="S5" s="157"/>
      <c r="T5" s="157"/>
      <c r="U5" s="157"/>
      <c r="V5" s="157"/>
      <c r="W5" s="157"/>
      <c r="X5" s="157"/>
      <c r="Y5" s="157"/>
      <c r="AH5" s="78"/>
      <c r="AI5" s="4"/>
      <c r="AJ5" s="4"/>
      <c r="AK5" s="4"/>
      <c r="AL5" s="4"/>
      <c r="AM5" s="5"/>
    </row>
    <row r="6" spans="1:39" ht="57" customHeight="1" x14ac:dyDescent="0.2">
      <c r="A6" s="59" t="s">
        <v>120</v>
      </c>
      <c r="B6" s="59" t="s">
        <v>24</v>
      </c>
      <c r="C6" s="59" t="s">
        <v>32</v>
      </c>
      <c r="D6" s="59" t="s">
        <v>42</v>
      </c>
      <c r="E6" s="59" t="s">
        <v>7</v>
      </c>
      <c r="F6" s="59" t="s">
        <v>8</v>
      </c>
      <c r="G6" s="59" t="s">
        <v>9</v>
      </c>
      <c r="H6" s="59" t="s">
        <v>12</v>
      </c>
      <c r="I6" s="59" t="s">
        <v>10</v>
      </c>
      <c r="J6" s="59" t="s">
        <v>11</v>
      </c>
      <c r="K6" s="59" t="s">
        <v>29</v>
      </c>
      <c r="L6" s="59" t="s">
        <v>30</v>
      </c>
      <c r="M6" s="59" t="s">
        <v>15</v>
      </c>
      <c r="N6" s="59" t="s">
        <v>31</v>
      </c>
      <c r="O6" s="64" t="s">
        <v>16</v>
      </c>
      <c r="P6" s="54" t="s">
        <v>17</v>
      </c>
      <c r="Q6" s="54" t="s">
        <v>18</v>
      </c>
      <c r="R6" s="54" t="s">
        <v>19</v>
      </c>
      <c r="S6" s="54" t="s">
        <v>20</v>
      </c>
      <c r="T6" s="54" t="s">
        <v>21</v>
      </c>
      <c r="U6" s="54" t="s">
        <v>105</v>
      </c>
      <c r="V6" s="54" t="s">
        <v>22</v>
      </c>
      <c r="W6" s="65" t="s">
        <v>150</v>
      </c>
      <c r="X6" s="65" t="s">
        <v>151</v>
      </c>
      <c r="Y6" s="65" t="s">
        <v>43</v>
      </c>
      <c r="Z6" s="80"/>
      <c r="AA6" s="80"/>
      <c r="AB6" s="81" t="s">
        <v>66</v>
      </c>
      <c r="AC6" s="81" t="s">
        <v>67</v>
      </c>
      <c r="AD6" s="94" t="s">
        <v>115</v>
      </c>
      <c r="AE6" s="82" t="s">
        <v>116</v>
      </c>
      <c r="AF6" s="82" t="s">
        <v>117</v>
      </c>
      <c r="AG6" s="82" t="s">
        <v>118</v>
      </c>
      <c r="AH6" s="80"/>
      <c r="AI6" s="6"/>
      <c r="AJ6" s="6"/>
      <c r="AK6" s="6"/>
      <c r="AL6" s="6"/>
      <c r="AM6" s="5"/>
    </row>
    <row r="7" spans="1:39" x14ac:dyDescent="0.2">
      <c r="A7" s="44"/>
      <c r="B7" s="45"/>
      <c r="C7" s="46"/>
      <c r="D7" s="45"/>
      <c r="E7" s="46"/>
      <c r="F7" s="46"/>
      <c r="G7" s="46"/>
      <c r="H7" s="46"/>
      <c r="I7" s="46"/>
      <c r="J7" s="46"/>
      <c r="K7" s="46"/>
      <c r="L7" s="46"/>
      <c r="M7" s="46"/>
      <c r="N7" s="46"/>
      <c r="O7" s="47"/>
      <c r="P7" s="47"/>
      <c r="Q7" s="47"/>
      <c r="R7" s="47"/>
      <c r="S7" s="47"/>
      <c r="T7" s="47"/>
      <c r="U7" s="55">
        <f>SUM(O7:T7)</f>
        <v>0</v>
      </c>
      <c r="V7" s="46"/>
      <c r="W7" s="123"/>
      <c r="X7" s="124"/>
      <c r="Y7" s="44"/>
      <c r="Z7" s="83" t="str">
        <f>IF(A7&gt;0,(MONTH(A7)),"-")</f>
        <v>-</v>
      </c>
      <c r="AA7" s="83" t="str">
        <f>IF(K7='Pag 08_Legendas'!B$12,"P&amp;D&amp;I","Bolsa e auxílio")</f>
        <v>Bolsa e auxílio</v>
      </c>
      <c r="AB7" s="83" t="str">
        <f>IF(L7="Pibic","SIM","NÃO")</f>
        <v>NÃO</v>
      </c>
      <c r="AC7" s="83" t="str">
        <f>IF(L7="Pibiti","SIM","NÃO")</f>
        <v>NÃO</v>
      </c>
      <c r="AD7" s="83" t="str">
        <f>IF(K7='Pag 08_Legendas'!B$12,"SIM","NÃO")</f>
        <v>NÃO</v>
      </c>
      <c r="AE7" s="83" t="str">
        <f>IF(K7='Pag 08_Legendas'!B$11,"SIM","NÃO")</f>
        <v>NÃO</v>
      </c>
      <c r="AF7" s="83" t="str">
        <f>IF(K7='Pag 08_Legendas'!B$7,"SIM","NÃO")</f>
        <v>NÃO</v>
      </c>
      <c r="AG7" s="95">
        <f>SUM(Q7:T7)</f>
        <v>0</v>
      </c>
      <c r="AH7" s="83"/>
      <c r="AI7" s="9"/>
      <c r="AJ7" s="9"/>
      <c r="AK7" s="9"/>
      <c r="AL7" s="9"/>
      <c r="AM7" s="16"/>
    </row>
    <row r="8" spans="1:39" x14ac:dyDescent="0.2">
      <c r="A8" s="44"/>
      <c r="B8" s="45"/>
      <c r="C8" s="46"/>
      <c r="D8" s="45"/>
      <c r="E8" s="46"/>
      <c r="F8" s="46"/>
      <c r="G8" s="46"/>
      <c r="H8" s="46"/>
      <c r="I8" s="46"/>
      <c r="J8" s="46"/>
      <c r="K8" s="46"/>
      <c r="L8" s="46"/>
      <c r="M8" s="46"/>
      <c r="N8" s="46"/>
      <c r="O8" s="47"/>
      <c r="P8" s="47"/>
      <c r="Q8" s="47"/>
      <c r="R8" s="47"/>
      <c r="S8" s="47"/>
      <c r="T8" s="47"/>
      <c r="U8" s="55">
        <f t="shared" ref="U8:U71" si="0">SUM(O8:T8)</f>
        <v>0</v>
      </c>
      <c r="V8" s="46"/>
      <c r="W8" s="121"/>
      <c r="X8" s="125"/>
      <c r="Y8" s="44"/>
      <c r="Z8" s="83" t="str">
        <f t="shared" ref="Z8:Z71" si="1">IF(A8&gt;0,(MONTH(A8)),"-")</f>
        <v>-</v>
      </c>
      <c r="AA8" s="83" t="str">
        <f>IF(K8='Pag 08_Legendas'!B$12,"P&amp;D&amp;I","Bolsa e auxílio")</f>
        <v>Bolsa e auxílio</v>
      </c>
      <c r="AB8" s="83" t="str">
        <f t="shared" ref="AB8:AB71" si="2">IF(L8="Pibic","SIM","NÃO")</f>
        <v>NÃO</v>
      </c>
      <c r="AC8" s="83" t="str">
        <f t="shared" ref="AC8:AC71" si="3">IF(L8="Pibiti","SIM","NÃO")</f>
        <v>NÃO</v>
      </c>
      <c r="AD8" s="83" t="str">
        <f>IF(K8='Pag 08_Legendas'!B$12,"SIM","NÃO")</f>
        <v>NÃO</v>
      </c>
      <c r="AE8" s="83" t="str">
        <f>IF(K8='Pag 08_Legendas'!B$11,"SIM","NÃO")</f>
        <v>NÃO</v>
      </c>
      <c r="AF8" s="83" t="str">
        <f>IF(K8='Pag 08_Legendas'!B$7,"SIM","NÃO")</f>
        <v>NÃO</v>
      </c>
      <c r="AG8" s="95">
        <f t="shared" ref="AG8:AG71" si="4">SUM(Q8:T8)</f>
        <v>0</v>
      </c>
      <c r="AH8" s="83"/>
      <c r="AI8" s="9"/>
      <c r="AJ8" s="9"/>
      <c r="AK8" s="9"/>
      <c r="AL8" s="9"/>
      <c r="AM8" s="16"/>
    </row>
    <row r="9" spans="1:39" x14ac:dyDescent="0.2">
      <c r="A9" s="44"/>
      <c r="B9" s="45"/>
      <c r="C9" s="46"/>
      <c r="D9" s="45"/>
      <c r="E9" s="46"/>
      <c r="F9" s="46"/>
      <c r="G9" s="46"/>
      <c r="H9" s="46"/>
      <c r="I9" s="46"/>
      <c r="J9" s="46"/>
      <c r="K9" s="46"/>
      <c r="L9" s="46"/>
      <c r="M9" s="46"/>
      <c r="N9" s="46"/>
      <c r="O9" s="47"/>
      <c r="P9" s="47"/>
      <c r="Q9" s="47"/>
      <c r="R9" s="47"/>
      <c r="S9" s="47"/>
      <c r="T9" s="47"/>
      <c r="U9" s="55">
        <f t="shared" si="0"/>
        <v>0</v>
      </c>
      <c r="V9" s="46"/>
      <c r="W9" s="121"/>
      <c r="X9" s="125"/>
      <c r="Y9" s="44"/>
      <c r="Z9" s="83" t="str">
        <f t="shared" si="1"/>
        <v>-</v>
      </c>
      <c r="AA9" s="83" t="str">
        <f>IF(K9='Pag 08_Legendas'!B$12,"P&amp;D&amp;I","Bolsa e auxílio")</f>
        <v>Bolsa e auxílio</v>
      </c>
      <c r="AB9" s="83" t="str">
        <f t="shared" si="2"/>
        <v>NÃO</v>
      </c>
      <c r="AC9" s="83" t="str">
        <f t="shared" si="3"/>
        <v>NÃO</v>
      </c>
      <c r="AD9" s="83" t="str">
        <f>IF(K9='Pag 08_Legendas'!B$12,"SIM","NÃO")</f>
        <v>NÃO</v>
      </c>
      <c r="AE9" s="83" t="str">
        <f>IF(K9='Pag 08_Legendas'!B$11,"SIM","NÃO")</f>
        <v>NÃO</v>
      </c>
      <c r="AF9" s="83" t="str">
        <f>IF(K9='Pag 08_Legendas'!B$7,"SIM","NÃO")</f>
        <v>NÃO</v>
      </c>
      <c r="AG9" s="95">
        <f t="shared" si="4"/>
        <v>0</v>
      </c>
      <c r="AH9" s="83"/>
      <c r="AI9" s="9"/>
      <c r="AJ9" s="9"/>
      <c r="AK9" s="9"/>
      <c r="AL9" s="9"/>
      <c r="AM9" s="14"/>
    </row>
    <row r="10" spans="1:39" x14ac:dyDescent="0.2">
      <c r="A10" s="44"/>
      <c r="B10" s="45"/>
      <c r="C10" s="46"/>
      <c r="D10" s="45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7"/>
      <c r="P10" s="47"/>
      <c r="Q10" s="47"/>
      <c r="R10" s="47"/>
      <c r="S10" s="47"/>
      <c r="T10" s="47"/>
      <c r="U10" s="55">
        <f t="shared" si="0"/>
        <v>0</v>
      </c>
      <c r="V10" s="46"/>
      <c r="W10" s="121"/>
      <c r="X10" s="125"/>
      <c r="Y10" s="46"/>
      <c r="Z10" s="83" t="str">
        <f t="shared" si="1"/>
        <v>-</v>
      </c>
      <c r="AA10" s="83" t="str">
        <f>IF(K10='Pag 08_Legendas'!B$12,"P&amp;D&amp;I","Bolsa e auxílio")</f>
        <v>Bolsa e auxílio</v>
      </c>
      <c r="AB10" s="83" t="str">
        <f t="shared" si="2"/>
        <v>NÃO</v>
      </c>
      <c r="AC10" s="83" t="str">
        <f t="shared" si="3"/>
        <v>NÃO</v>
      </c>
      <c r="AD10" s="83" t="str">
        <f>IF(K10='Pag 08_Legendas'!B$12,"SIM","NÃO")</f>
        <v>NÃO</v>
      </c>
      <c r="AE10" s="83" t="str">
        <f>IF(K10='Pag 08_Legendas'!B$11,"SIM","NÃO")</f>
        <v>NÃO</v>
      </c>
      <c r="AF10" s="83" t="str">
        <f>IF(K10='Pag 08_Legendas'!B$7,"SIM","NÃO")</f>
        <v>NÃO</v>
      </c>
      <c r="AG10" s="95">
        <f t="shared" si="4"/>
        <v>0</v>
      </c>
      <c r="AH10" s="83"/>
      <c r="AI10" s="9"/>
      <c r="AJ10" s="9"/>
      <c r="AK10" s="9"/>
      <c r="AL10" s="9"/>
      <c r="AM10" s="14"/>
    </row>
    <row r="11" spans="1:39" x14ac:dyDescent="0.2">
      <c r="A11" s="44"/>
      <c r="B11" s="45"/>
      <c r="C11" s="46"/>
      <c r="D11" s="45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7"/>
      <c r="P11" s="47"/>
      <c r="Q11" s="47"/>
      <c r="R11" s="47"/>
      <c r="S11" s="47"/>
      <c r="T11" s="47"/>
      <c r="U11" s="55">
        <f t="shared" si="0"/>
        <v>0</v>
      </c>
      <c r="V11" s="46"/>
      <c r="W11" s="121"/>
      <c r="X11" s="125"/>
      <c r="Y11" s="46"/>
      <c r="Z11" s="83" t="str">
        <f t="shared" si="1"/>
        <v>-</v>
      </c>
      <c r="AA11" s="83" t="str">
        <f>IF(K11='Pag 08_Legendas'!B$12,"P&amp;D&amp;I","Bolsa e auxílio")</f>
        <v>Bolsa e auxílio</v>
      </c>
      <c r="AB11" s="83" t="str">
        <f t="shared" si="2"/>
        <v>NÃO</v>
      </c>
      <c r="AC11" s="83" t="str">
        <f t="shared" si="3"/>
        <v>NÃO</v>
      </c>
      <c r="AD11" s="83" t="str">
        <f>IF(K11='Pag 08_Legendas'!B$12,"SIM","NÃO")</f>
        <v>NÃO</v>
      </c>
      <c r="AE11" s="83" t="str">
        <f>IF(K11='Pag 08_Legendas'!B$11,"SIM","NÃO")</f>
        <v>NÃO</v>
      </c>
      <c r="AF11" s="83" t="str">
        <f>IF(K11='Pag 08_Legendas'!B$7,"SIM","NÃO")</f>
        <v>NÃO</v>
      </c>
      <c r="AG11" s="95">
        <f t="shared" si="4"/>
        <v>0</v>
      </c>
      <c r="AH11" s="83"/>
      <c r="AI11" s="9"/>
      <c r="AJ11" s="9"/>
      <c r="AK11" s="9"/>
      <c r="AL11" s="9"/>
      <c r="AM11" s="14"/>
    </row>
    <row r="12" spans="1:39" x14ac:dyDescent="0.2">
      <c r="A12" s="44"/>
      <c r="B12" s="45"/>
      <c r="C12" s="46"/>
      <c r="D12" s="45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7"/>
      <c r="P12" s="47"/>
      <c r="Q12" s="47"/>
      <c r="R12" s="47"/>
      <c r="S12" s="47"/>
      <c r="T12" s="47"/>
      <c r="U12" s="55">
        <f t="shared" si="0"/>
        <v>0</v>
      </c>
      <c r="V12" s="46"/>
      <c r="W12" s="121"/>
      <c r="X12" s="125"/>
      <c r="Y12" s="46"/>
      <c r="Z12" s="83" t="str">
        <f t="shared" si="1"/>
        <v>-</v>
      </c>
      <c r="AA12" s="83" t="str">
        <f>IF(K12='Pag 08_Legendas'!B$12,"P&amp;D&amp;I","Bolsa e auxílio")</f>
        <v>Bolsa e auxílio</v>
      </c>
      <c r="AB12" s="83" t="str">
        <f t="shared" si="2"/>
        <v>NÃO</v>
      </c>
      <c r="AC12" s="83" t="str">
        <f t="shared" si="3"/>
        <v>NÃO</v>
      </c>
      <c r="AD12" s="83" t="str">
        <f>IF(K12='Pag 08_Legendas'!B$12,"SIM","NÃO")</f>
        <v>NÃO</v>
      </c>
      <c r="AE12" s="83" t="str">
        <f>IF(K12='Pag 08_Legendas'!B$11,"SIM","NÃO")</f>
        <v>NÃO</v>
      </c>
      <c r="AF12" s="83" t="str">
        <f>IF(K12='Pag 08_Legendas'!B$7,"SIM","NÃO")</f>
        <v>NÃO</v>
      </c>
      <c r="AG12" s="95">
        <f t="shared" si="4"/>
        <v>0</v>
      </c>
      <c r="AH12" s="83"/>
      <c r="AI12" s="9"/>
      <c r="AJ12" s="9"/>
      <c r="AK12" s="9"/>
      <c r="AL12" s="9"/>
      <c r="AM12" s="14"/>
    </row>
    <row r="13" spans="1:39" x14ac:dyDescent="0.2">
      <c r="A13" s="44"/>
      <c r="B13" s="45"/>
      <c r="C13" s="46"/>
      <c r="D13" s="45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7"/>
      <c r="P13" s="47"/>
      <c r="Q13" s="47"/>
      <c r="R13" s="47"/>
      <c r="S13" s="47"/>
      <c r="T13" s="47"/>
      <c r="U13" s="55">
        <f t="shared" si="0"/>
        <v>0</v>
      </c>
      <c r="V13" s="46"/>
      <c r="W13" s="121"/>
      <c r="X13" s="125"/>
      <c r="Y13" s="44"/>
      <c r="Z13" s="83" t="str">
        <f t="shared" si="1"/>
        <v>-</v>
      </c>
      <c r="AA13" s="83" t="str">
        <f>IF(K13='Pag 08_Legendas'!B$12,"P&amp;D&amp;I","Bolsa e auxílio")</f>
        <v>Bolsa e auxílio</v>
      </c>
      <c r="AB13" s="83" t="str">
        <f t="shared" si="2"/>
        <v>NÃO</v>
      </c>
      <c r="AC13" s="83" t="str">
        <f t="shared" si="3"/>
        <v>NÃO</v>
      </c>
      <c r="AD13" s="83" t="str">
        <f>IF(K13='Pag 08_Legendas'!B$12,"SIM","NÃO")</f>
        <v>NÃO</v>
      </c>
      <c r="AE13" s="83" t="str">
        <f>IF(K13='Pag 08_Legendas'!B$11,"SIM","NÃO")</f>
        <v>NÃO</v>
      </c>
      <c r="AF13" s="83" t="str">
        <f>IF(K13='Pag 08_Legendas'!B$7,"SIM","NÃO")</f>
        <v>NÃO</v>
      </c>
      <c r="AG13" s="95">
        <f t="shared" si="4"/>
        <v>0</v>
      </c>
      <c r="AH13" s="83"/>
      <c r="AI13" s="9"/>
      <c r="AJ13" s="9"/>
      <c r="AK13" s="9"/>
      <c r="AL13" s="9"/>
      <c r="AM13" s="14"/>
    </row>
    <row r="14" spans="1:39" x14ac:dyDescent="0.2">
      <c r="A14" s="44"/>
      <c r="B14" s="45"/>
      <c r="C14" s="46"/>
      <c r="D14" s="45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7"/>
      <c r="P14" s="47"/>
      <c r="Q14" s="47"/>
      <c r="R14" s="47"/>
      <c r="S14" s="47"/>
      <c r="T14" s="47"/>
      <c r="U14" s="55">
        <f t="shared" si="0"/>
        <v>0</v>
      </c>
      <c r="V14" s="46"/>
      <c r="W14" s="121"/>
      <c r="X14" s="125"/>
      <c r="Y14" s="44"/>
      <c r="Z14" s="83" t="str">
        <f t="shared" si="1"/>
        <v>-</v>
      </c>
      <c r="AA14" s="83" t="str">
        <f>IF(K14='Pag 08_Legendas'!B$12,"P&amp;D&amp;I","Bolsa e auxílio")</f>
        <v>Bolsa e auxílio</v>
      </c>
      <c r="AB14" s="83" t="str">
        <f t="shared" si="2"/>
        <v>NÃO</v>
      </c>
      <c r="AC14" s="83" t="str">
        <f t="shared" si="3"/>
        <v>NÃO</v>
      </c>
      <c r="AD14" s="83" t="str">
        <f>IF(K14='Pag 08_Legendas'!B$12,"SIM","NÃO")</f>
        <v>NÃO</v>
      </c>
      <c r="AE14" s="83" t="str">
        <f>IF(K14='Pag 08_Legendas'!B$11,"SIM","NÃO")</f>
        <v>NÃO</v>
      </c>
      <c r="AF14" s="83" t="str">
        <f>IF(K14='Pag 08_Legendas'!B$7,"SIM","NÃO")</f>
        <v>NÃO</v>
      </c>
      <c r="AG14" s="95">
        <f t="shared" si="4"/>
        <v>0</v>
      </c>
      <c r="AH14" s="83"/>
      <c r="AI14" s="9"/>
      <c r="AJ14" s="9"/>
      <c r="AK14" s="9"/>
      <c r="AL14" s="9"/>
      <c r="AM14" s="14"/>
    </row>
    <row r="15" spans="1:39" x14ac:dyDescent="0.2">
      <c r="A15" s="44"/>
      <c r="B15" s="45"/>
      <c r="C15" s="46"/>
      <c r="D15" s="45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7"/>
      <c r="P15" s="47"/>
      <c r="Q15" s="47"/>
      <c r="R15" s="47"/>
      <c r="S15" s="47"/>
      <c r="T15" s="47"/>
      <c r="U15" s="55">
        <f t="shared" si="0"/>
        <v>0</v>
      </c>
      <c r="V15" s="46"/>
      <c r="W15" s="121"/>
      <c r="X15" s="125"/>
      <c r="Y15" s="46"/>
      <c r="Z15" s="83" t="str">
        <f t="shared" si="1"/>
        <v>-</v>
      </c>
      <c r="AA15" s="83" t="str">
        <f>IF(K15='Pag 08_Legendas'!B$12,"P&amp;D&amp;I","Bolsa e auxílio")</f>
        <v>Bolsa e auxílio</v>
      </c>
      <c r="AB15" s="83" t="str">
        <f t="shared" si="2"/>
        <v>NÃO</v>
      </c>
      <c r="AC15" s="83" t="str">
        <f t="shared" si="3"/>
        <v>NÃO</v>
      </c>
      <c r="AD15" s="83" t="str">
        <f>IF(K15='Pag 08_Legendas'!B$12,"SIM","NÃO")</f>
        <v>NÃO</v>
      </c>
      <c r="AE15" s="83" t="str">
        <f>IF(K15='Pag 08_Legendas'!B$11,"SIM","NÃO")</f>
        <v>NÃO</v>
      </c>
      <c r="AF15" s="83" t="str">
        <f>IF(K15='Pag 08_Legendas'!B$7,"SIM","NÃO")</f>
        <v>NÃO</v>
      </c>
      <c r="AG15" s="95">
        <f t="shared" si="4"/>
        <v>0</v>
      </c>
      <c r="AH15" s="83"/>
      <c r="AI15" s="9"/>
      <c r="AJ15" s="9"/>
      <c r="AK15" s="9"/>
      <c r="AL15" s="9"/>
      <c r="AM15" s="14"/>
    </row>
    <row r="16" spans="1:39" x14ac:dyDescent="0.2">
      <c r="A16" s="44"/>
      <c r="B16" s="45"/>
      <c r="C16" s="46"/>
      <c r="D16" s="45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7"/>
      <c r="P16" s="47"/>
      <c r="Q16" s="47"/>
      <c r="R16" s="47"/>
      <c r="S16" s="47"/>
      <c r="T16" s="47"/>
      <c r="U16" s="55">
        <f t="shared" si="0"/>
        <v>0</v>
      </c>
      <c r="V16" s="46"/>
      <c r="W16" s="121"/>
      <c r="X16" s="125"/>
      <c r="Y16" s="46"/>
      <c r="Z16" s="83" t="str">
        <f t="shared" si="1"/>
        <v>-</v>
      </c>
      <c r="AA16" s="83" t="str">
        <f>IF(K16='Pag 08_Legendas'!B$12,"P&amp;D&amp;I","Bolsa e auxílio")</f>
        <v>Bolsa e auxílio</v>
      </c>
      <c r="AB16" s="83" t="str">
        <f t="shared" si="2"/>
        <v>NÃO</v>
      </c>
      <c r="AC16" s="83" t="str">
        <f t="shared" si="3"/>
        <v>NÃO</v>
      </c>
      <c r="AD16" s="83" t="str">
        <f>IF(K16='Pag 08_Legendas'!B$12,"SIM","NÃO")</f>
        <v>NÃO</v>
      </c>
      <c r="AE16" s="83" t="str">
        <f>IF(K16='Pag 08_Legendas'!B$11,"SIM","NÃO")</f>
        <v>NÃO</v>
      </c>
      <c r="AF16" s="83" t="str">
        <f>IF(K16='Pag 08_Legendas'!B$7,"SIM","NÃO")</f>
        <v>NÃO</v>
      </c>
      <c r="AG16" s="95">
        <f t="shared" si="4"/>
        <v>0</v>
      </c>
      <c r="AH16" s="83"/>
      <c r="AI16" s="9"/>
      <c r="AJ16" s="9"/>
      <c r="AK16" s="9"/>
      <c r="AL16" s="9"/>
      <c r="AM16" s="14"/>
    </row>
    <row r="17" spans="1:39" x14ac:dyDescent="0.2">
      <c r="A17" s="44"/>
      <c r="B17" s="45"/>
      <c r="C17" s="46"/>
      <c r="D17" s="45"/>
      <c r="E17" s="99"/>
      <c r="F17" s="46"/>
      <c r="G17" s="46"/>
      <c r="H17" s="46"/>
      <c r="I17" s="46"/>
      <c r="J17" s="46"/>
      <c r="K17" s="46"/>
      <c r="L17" s="46"/>
      <c r="M17" s="46"/>
      <c r="N17" s="46"/>
      <c r="O17" s="47"/>
      <c r="P17" s="47"/>
      <c r="Q17" s="47"/>
      <c r="R17" s="47"/>
      <c r="S17" s="47"/>
      <c r="T17" s="47"/>
      <c r="U17" s="55">
        <f t="shared" si="0"/>
        <v>0</v>
      </c>
      <c r="V17" s="46"/>
      <c r="W17" s="121"/>
      <c r="X17" s="125"/>
      <c r="Y17" s="44"/>
      <c r="Z17" s="83" t="str">
        <f t="shared" si="1"/>
        <v>-</v>
      </c>
      <c r="AA17" s="83" t="str">
        <f>IF(K17='Pag 08_Legendas'!B$12,"P&amp;D&amp;I","Bolsa e auxílio")</f>
        <v>Bolsa e auxílio</v>
      </c>
      <c r="AB17" s="83" t="str">
        <f t="shared" si="2"/>
        <v>NÃO</v>
      </c>
      <c r="AC17" s="83" t="str">
        <f t="shared" si="3"/>
        <v>NÃO</v>
      </c>
      <c r="AD17" s="83" t="str">
        <f>IF(K17='Pag 08_Legendas'!B$12,"SIM","NÃO")</f>
        <v>NÃO</v>
      </c>
      <c r="AE17" s="83" t="str">
        <f>IF(K17='Pag 08_Legendas'!B$11,"SIM","NÃO")</f>
        <v>NÃO</v>
      </c>
      <c r="AF17" s="83" t="str">
        <f>IF(K17='Pag 08_Legendas'!B$7,"SIM","NÃO")</f>
        <v>NÃO</v>
      </c>
      <c r="AG17" s="95">
        <f t="shared" si="4"/>
        <v>0</v>
      </c>
      <c r="AH17" s="83"/>
      <c r="AI17" s="9"/>
      <c r="AJ17" s="9"/>
      <c r="AK17" s="9"/>
      <c r="AL17" s="9"/>
      <c r="AM17" s="14"/>
    </row>
    <row r="18" spans="1:39" x14ac:dyDescent="0.2">
      <c r="A18" s="44"/>
      <c r="B18" s="45"/>
      <c r="C18" s="46"/>
      <c r="D18" s="45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7"/>
      <c r="P18" s="47"/>
      <c r="Q18" s="47"/>
      <c r="R18" s="47"/>
      <c r="S18" s="47"/>
      <c r="T18" s="47"/>
      <c r="U18" s="55">
        <f t="shared" si="0"/>
        <v>0</v>
      </c>
      <c r="V18" s="46"/>
      <c r="W18" s="121"/>
      <c r="X18" s="125"/>
      <c r="Y18" s="46"/>
      <c r="Z18" s="83" t="str">
        <f t="shared" si="1"/>
        <v>-</v>
      </c>
      <c r="AA18" s="83" t="str">
        <f>IF(K18='Pag 08_Legendas'!B$12,"P&amp;D&amp;I","Bolsa e auxílio")</f>
        <v>Bolsa e auxílio</v>
      </c>
      <c r="AB18" s="83" t="str">
        <f t="shared" si="2"/>
        <v>NÃO</v>
      </c>
      <c r="AC18" s="83" t="str">
        <f t="shared" si="3"/>
        <v>NÃO</v>
      </c>
      <c r="AD18" s="83" t="str">
        <f>IF(K18='Pag 08_Legendas'!B$12,"SIM","NÃO")</f>
        <v>NÃO</v>
      </c>
      <c r="AE18" s="83" t="str">
        <f>IF(K18='Pag 08_Legendas'!B$11,"SIM","NÃO")</f>
        <v>NÃO</v>
      </c>
      <c r="AF18" s="83" t="str">
        <f>IF(K18='Pag 08_Legendas'!B$7,"SIM","NÃO")</f>
        <v>NÃO</v>
      </c>
      <c r="AG18" s="95">
        <f t="shared" si="4"/>
        <v>0</v>
      </c>
      <c r="AH18" s="83"/>
      <c r="AI18" s="9"/>
      <c r="AJ18" s="9"/>
      <c r="AK18" s="9"/>
      <c r="AL18" s="9"/>
      <c r="AM18" s="14"/>
    </row>
    <row r="19" spans="1:39" x14ac:dyDescent="0.2">
      <c r="A19" s="44"/>
      <c r="B19" s="45"/>
      <c r="C19" s="46"/>
      <c r="D19" s="120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7"/>
      <c r="P19" s="47"/>
      <c r="Q19" s="47"/>
      <c r="R19" s="47"/>
      <c r="S19" s="47"/>
      <c r="T19" s="47"/>
      <c r="U19" s="55">
        <f t="shared" si="0"/>
        <v>0</v>
      </c>
      <c r="V19" s="46"/>
      <c r="W19" s="121"/>
      <c r="X19" s="125"/>
      <c r="Y19" s="46"/>
      <c r="Z19" s="83" t="str">
        <f t="shared" si="1"/>
        <v>-</v>
      </c>
      <c r="AA19" s="83" t="str">
        <f>IF(K19='Pag 08_Legendas'!B$12,"P&amp;D&amp;I","Bolsa e auxílio")</f>
        <v>Bolsa e auxílio</v>
      </c>
      <c r="AB19" s="83" t="str">
        <f t="shared" si="2"/>
        <v>NÃO</v>
      </c>
      <c r="AC19" s="83" t="str">
        <f t="shared" si="3"/>
        <v>NÃO</v>
      </c>
      <c r="AD19" s="83" t="str">
        <f>IF(K19='Pag 08_Legendas'!B$12,"SIM","NÃO")</f>
        <v>NÃO</v>
      </c>
      <c r="AE19" s="83" t="str">
        <f>IF(K19='Pag 08_Legendas'!B$11,"SIM","NÃO")</f>
        <v>NÃO</v>
      </c>
      <c r="AF19" s="83" t="str">
        <f>IF(K19='Pag 08_Legendas'!B$7,"SIM","NÃO")</f>
        <v>NÃO</v>
      </c>
      <c r="AG19" s="95">
        <f t="shared" si="4"/>
        <v>0</v>
      </c>
      <c r="AH19" s="83"/>
      <c r="AI19" s="9"/>
      <c r="AJ19" s="9"/>
      <c r="AK19" s="9"/>
      <c r="AL19" s="9"/>
      <c r="AM19" s="14"/>
    </row>
    <row r="20" spans="1:39" x14ac:dyDescent="0.2">
      <c r="A20" s="44"/>
      <c r="B20" s="45"/>
      <c r="C20" s="46"/>
      <c r="D20" s="45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7"/>
      <c r="P20" s="47"/>
      <c r="Q20" s="47"/>
      <c r="R20" s="47"/>
      <c r="S20" s="47"/>
      <c r="T20" s="47"/>
      <c r="U20" s="55">
        <f t="shared" si="0"/>
        <v>0</v>
      </c>
      <c r="V20" s="46"/>
      <c r="W20" s="121"/>
      <c r="X20" s="125"/>
      <c r="Y20" s="46"/>
      <c r="Z20" s="83" t="str">
        <f t="shared" si="1"/>
        <v>-</v>
      </c>
      <c r="AA20" s="83" t="str">
        <f>IF(K20='Pag 08_Legendas'!B$12,"P&amp;D&amp;I","Bolsa e auxílio")</f>
        <v>Bolsa e auxílio</v>
      </c>
      <c r="AB20" s="83" t="str">
        <f t="shared" si="2"/>
        <v>NÃO</v>
      </c>
      <c r="AC20" s="83" t="str">
        <f t="shared" si="3"/>
        <v>NÃO</v>
      </c>
      <c r="AD20" s="83" t="str">
        <f>IF(K20='Pag 08_Legendas'!B$12,"SIM","NÃO")</f>
        <v>NÃO</v>
      </c>
      <c r="AE20" s="83" t="str">
        <f>IF(K20='Pag 08_Legendas'!B$11,"SIM","NÃO")</f>
        <v>NÃO</v>
      </c>
      <c r="AF20" s="83" t="str">
        <f>IF(K20='Pag 08_Legendas'!B$7,"SIM","NÃO")</f>
        <v>NÃO</v>
      </c>
      <c r="AG20" s="95">
        <f t="shared" si="4"/>
        <v>0</v>
      </c>
      <c r="AH20" s="83"/>
      <c r="AI20" s="9"/>
      <c r="AJ20" s="9"/>
      <c r="AK20" s="9"/>
      <c r="AL20" s="9"/>
      <c r="AM20" s="14"/>
    </row>
    <row r="21" spans="1:39" x14ac:dyDescent="0.2">
      <c r="A21" s="44"/>
      <c r="B21" s="45"/>
      <c r="C21" s="46"/>
      <c r="D21" s="45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7"/>
      <c r="P21" s="47"/>
      <c r="Q21" s="47"/>
      <c r="R21" s="47"/>
      <c r="S21" s="47"/>
      <c r="T21" s="47"/>
      <c r="U21" s="55">
        <f t="shared" si="0"/>
        <v>0</v>
      </c>
      <c r="V21" s="46"/>
      <c r="W21" s="121"/>
      <c r="X21" s="125"/>
      <c r="Y21" s="46"/>
      <c r="Z21" s="83" t="str">
        <f t="shared" si="1"/>
        <v>-</v>
      </c>
      <c r="AA21" s="83" t="str">
        <f>IF(K21='Pag 08_Legendas'!B$12,"P&amp;D&amp;I","Bolsa e auxílio")</f>
        <v>Bolsa e auxílio</v>
      </c>
      <c r="AB21" s="83" t="str">
        <f t="shared" si="2"/>
        <v>NÃO</v>
      </c>
      <c r="AC21" s="83" t="str">
        <f t="shared" si="3"/>
        <v>NÃO</v>
      </c>
      <c r="AD21" s="83" t="str">
        <f>IF(K21='Pag 08_Legendas'!B$12,"SIM","NÃO")</f>
        <v>NÃO</v>
      </c>
      <c r="AE21" s="83" t="str">
        <f>IF(K21='Pag 08_Legendas'!B$11,"SIM","NÃO")</f>
        <v>NÃO</v>
      </c>
      <c r="AF21" s="83" t="str">
        <f>IF(K21='Pag 08_Legendas'!B$7,"SIM","NÃO")</f>
        <v>NÃO</v>
      </c>
      <c r="AG21" s="95">
        <f t="shared" si="4"/>
        <v>0</v>
      </c>
      <c r="AH21" s="83"/>
      <c r="AI21" s="9"/>
      <c r="AJ21" s="9"/>
      <c r="AK21" s="9"/>
      <c r="AL21" s="9"/>
      <c r="AM21" s="14"/>
    </row>
    <row r="22" spans="1:39" x14ac:dyDescent="0.2">
      <c r="A22" s="44"/>
      <c r="B22" s="45"/>
      <c r="C22" s="46"/>
      <c r="D22" s="45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7"/>
      <c r="P22" s="47"/>
      <c r="Q22" s="47"/>
      <c r="R22" s="47"/>
      <c r="S22" s="47"/>
      <c r="T22" s="47"/>
      <c r="U22" s="55">
        <f t="shared" si="0"/>
        <v>0</v>
      </c>
      <c r="V22" s="46"/>
      <c r="W22" s="121"/>
      <c r="X22" s="125"/>
      <c r="Y22" s="46"/>
      <c r="Z22" s="83" t="str">
        <f t="shared" si="1"/>
        <v>-</v>
      </c>
      <c r="AA22" s="83" t="str">
        <f>IF(K22='Pag 08_Legendas'!B$12,"P&amp;D&amp;I","Bolsa e auxílio")</f>
        <v>Bolsa e auxílio</v>
      </c>
      <c r="AB22" s="83" t="str">
        <f t="shared" si="2"/>
        <v>NÃO</v>
      </c>
      <c r="AC22" s="83" t="str">
        <f t="shared" si="3"/>
        <v>NÃO</v>
      </c>
      <c r="AD22" s="83" t="str">
        <f>IF(K22='Pag 08_Legendas'!B$12,"SIM","NÃO")</f>
        <v>NÃO</v>
      </c>
      <c r="AE22" s="83" t="str">
        <f>IF(K22='Pag 08_Legendas'!B$11,"SIM","NÃO")</f>
        <v>NÃO</v>
      </c>
      <c r="AF22" s="83" t="str">
        <f>IF(K22='Pag 08_Legendas'!B$7,"SIM","NÃO")</f>
        <v>NÃO</v>
      </c>
      <c r="AG22" s="95">
        <f t="shared" si="4"/>
        <v>0</v>
      </c>
      <c r="AH22" s="83"/>
      <c r="AI22" s="9"/>
      <c r="AJ22" s="9"/>
      <c r="AK22" s="9"/>
      <c r="AL22" s="9"/>
      <c r="AM22" s="14"/>
    </row>
    <row r="23" spans="1:39" x14ac:dyDescent="0.2">
      <c r="A23" s="44"/>
      <c r="B23" s="45"/>
      <c r="C23" s="46"/>
      <c r="D23" s="45"/>
      <c r="E23" s="99"/>
      <c r="F23" s="46"/>
      <c r="G23" s="46"/>
      <c r="H23" s="46"/>
      <c r="I23" s="46"/>
      <c r="J23" s="46"/>
      <c r="K23" s="46"/>
      <c r="L23" s="46"/>
      <c r="M23" s="46"/>
      <c r="N23" s="46"/>
      <c r="O23" s="47"/>
      <c r="P23" s="47"/>
      <c r="Q23" s="47"/>
      <c r="R23" s="47"/>
      <c r="S23" s="47"/>
      <c r="T23" s="47"/>
      <c r="U23" s="55">
        <f t="shared" si="0"/>
        <v>0</v>
      </c>
      <c r="V23" s="46"/>
      <c r="W23" s="121"/>
      <c r="X23" s="125"/>
      <c r="Y23" s="46"/>
      <c r="Z23" s="83" t="str">
        <f t="shared" si="1"/>
        <v>-</v>
      </c>
      <c r="AA23" s="83" t="str">
        <f>IF(K23='Pag 08_Legendas'!B$12,"P&amp;D&amp;I","Bolsa e auxílio")</f>
        <v>Bolsa e auxílio</v>
      </c>
      <c r="AB23" s="83" t="str">
        <f t="shared" si="2"/>
        <v>NÃO</v>
      </c>
      <c r="AC23" s="83" t="str">
        <f t="shared" si="3"/>
        <v>NÃO</v>
      </c>
      <c r="AD23" s="83" t="str">
        <f>IF(K23='Pag 08_Legendas'!B$12,"SIM","NÃO")</f>
        <v>NÃO</v>
      </c>
      <c r="AE23" s="83" t="str">
        <f>IF(K23='Pag 08_Legendas'!B$11,"SIM","NÃO")</f>
        <v>NÃO</v>
      </c>
      <c r="AF23" s="83" t="str">
        <f>IF(K23='Pag 08_Legendas'!B$7,"SIM","NÃO")</f>
        <v>NÃO</v>
      </c>
      <c r="AG23" s="95">
        <f t="shared" si="4"/>
        <v>0</v>
      </c>
      <c r="AH23" s="83"/>
      <c r="AI23" s="9"/>
      <c r="AJ23" s="9"/>
      <c r="AK23" s="9"/>
      <c r="AL23" s="9"/>
      <c r="AM23" s="14"/>
    </row>
    <row r="24" spans="1:39" x14ac:dyDescent="0.2">
      <c r="A24" s="44"/>
      <c r="B24" s="45"/>
      <c r="C24" s="46"/>
      <c r="D24" s="45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7"/>
      <c r="P24" s="47"/>
      <c r="Q24" s="47"/>
      <c r="R24" s="47"/>
      <c r="S24" s="47"/>
      <c r="T24" s="47"/>
      <c r="U24" s="55">
        <f t="shared" si="0"/>
        <v>0</v>
      </c>
      <c r="V24" s="46"/>
      <c r="W24" s="121"/>
      <c r="X24" s="125"/>
      <c r="Y24" s="46"/>
      <c r="Z24" s="83" t="str">
        <f t="shared" si="1"/>
        <v>-</v>
      </c>
      <c r="AA24" s="83" t="str">
        <f>IF(K24='Pag 08_Legendas'!B$12,"P&amp;D&amp;I","Bolsa e auxílio")</f>
        <v>Bolsa e auxílio</v>
      </c>
      <c r="AB24" s="83" t="str">
        <f t="shared" si="2"/>
        <v>NÃO</v>
      </c>
      <c r="AC24" s="83" t="str">
        <f t="shared" si="3"/>
        <v>NÃO</v>
      </c>
      <c r="AD24" s="83" t="str">
        <f>IF(K24='Pag 08_Legendas'!B$12,"SIM","NÃO")</f>
        <v>NÃO</v>
      </c>
      <c r="AE24" s="83" t="str">
        <f>IF(K24='Pag 08_Legendas'!B$11,"SIM","NÃO")</f>
        <v>NÃO</v>
      </c>
      <c r="AF24" s="83" t="str">
        <f>IF(K24='Pag 08_Legendas'!B$7,"SIM","NÃO")</f>
        <v>NÃO</v>
      </c>
      <c r="AG24" s="95">
        <f t="shared" si="4"/>
        <v>0</v>
      </c>
      <c r="AH24" s="83"/>
      <c r="AI24" s="9"/>
      <c r="AJ24" s="9"/>
      <c r="AK24" s="9"/>
      <c r="AL24" s="9"/>
      <c r="AM24" s="14"/>
    </row>
    <row r="25" spans="1:39" x14ac:dyDescent="0.2">
      <c r="A25" s="44"/>
      <c r="B25" s="45"/>
      <c r="C25" s="46"/>
      <c r="D25" s="45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7"/>
      <c r="P25" s="47"/>
      <c r="Q25" s="47"/>
      <c r="R25" s="47"/>
      <c r="S25" s="47"/>
      <c r="T25" s="47"/>
      <c r="U25" s="55">
        <f t="shared" si="0"/>
        <v>0</v>
      </c>
      <c r="V25" s="46"/>
      <c r="W25" s="121"/>
      <c r="X25" s="125"/>
      <c r="Y25" s="46"/>
      <c r="Z25" s="83" t="str">
        <f t="shared" si="1"/>
        <v>-</v>
      </c>
      <c r="AA25" s="83" t="str">
        <f>IF(K25='Pag 08_Legendas'!B$12,"P&amp;D&amp;I","Bolsa e auxílio")</f>
        <v>Bolsa e auxílio</v>
      </c>
      <c r="AB25" s="83" t="str">
        <f t="shared" si="2"/>
        <v>NÃO</v>
      </c>
      <c r="AC25" s="83" t="str">
        <f t="shared" si="3"/>
        <v>NÃO</v>
      </c>
      <c r="AD25" s="83" t="str">
        <f>IF(K25='Pag 08_Legendas'!B$12,"SIM","NÃO")</f>
        <v>NÃO</v>
      </c>
      <c r="AE25" s="83" t="str">
        <f>IF(K25='Pag 08_Legendas'!B$11,"SIM","NÃO")</f>
        <v>NÃO</v>
      </c>
      <c r="AF25" s="83" t="str">
        <f>IF(K25='Pag 08_Legendas'!B$7,"SIM","NÃO")</f>
        <v>NÃO</v>
      </c>
      <c r="AG25" s="95">
        <f t="shared" si="4"/>
        <v>0</v>
      </c>
      <c r="AH25" s="83"/>
      <c r="AI25" s="9"/>
      <c r="AJ25" s="9"/>
      <c r="AK25" s="9"/>
      <c r="AL25" s="9"/>
      <c r="AM25" s="14"/>
    </row>
    <row r="26" spans="1:39" x14ac:dyDescent="0.2">
      <c r="A26" s="44"/>
      <c r="B26" s="45"/>
      <c r="C26" s="46"/>
      <c r="D26" s="45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7"/>
      <c r="P26" s="47"/>
      <c r="Q26" s="47"/>
      <c r="R26" s="47"/>
      <c r="S26" s="47"/>
      <c r="T26" s="47"/>
      <c r="U26" s="55">
        <f t="shared" si="0"/>
        <v>0</v>
      </c>
      <c r="V26" s="46"/>
      <c r="W26" s="121"/>
      <c r="X26" s="125"/>
      <c r="Y26" s="46"/>
      <c r="Z26" s="83" t="str">
        <f t="shared" si="1"/>
        <v>-</v>
      </c>
      <c r="AA26" s="83" t="str">
        <f>IF(K26='Pag 08_Legendas'!B$12,"P&amp;D&amp;I","Bolsa e auxílio")</f>
        <v>Bolsa e auxílio</v>
      </c>
      <c r="AB26" s="83" t="str">
        <f t="shared" si="2"/>
        <v>NÃO</v>
      </c>
      <c r="AC26" s="83" t="str">
        <f t="shared" si="3"/>
        <v>NÃO</v>
      </c>
      <c r="AD26" s="83" t="str">
        <f>IF(K26='Pag 08_Legendas'!B$12,"SIM","NÃO")</f>
        <v>NÃO</v>
      </c>
      <c r="AE26" s="83" t="str">
        <f>IF(K26='Pag 08_Legendas'!B$11,"SIM","NÃO")</f>
        <v>NÃO</v>
      </c>
      <c r="AF26" s="83" t="str">
        <f>IF(K26='Pag 08_Legendas'!B$7,"SIM","NÃO")</f>
        <v>NÃO</v>
      </c>
      <c r="AG26" s="95">
        <f t="shared" si="4"/>
        <v>0</v>
      </c>
      <c r="AH26" s="83"/>
      <c r="AI26" s="9"/>
      <c r="AJ26" s="9"/>
      <c r="AK26" s="9"/>
      <c r="AL26" s="9"/>
      <c r="AM26" s="14"/>
    </row>
    <row r="27" spans="1:39" x14ac:dyDescent="0.2">
      <c r="A27" s="44"/>
      <c r="B27" s="45"/>
      <c r="C27" s="46"/>
      <c r="D27" s="45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7"/>
      <c r="P27" s="47"/>
      <c r="Q27" s="47"/>
      <c r="R27" s="47"/>
      <c r="S27" s="47"/>
      <c r="T27" s="47"/>
      <c r="U27" s="55">
        <f t="shared" si="0"/>
        <v>0</v>
      </c>
      <c r="V27" s="46"/>
      <c r="W27" s="121"/>
      <c r="X27" s="125"/>
      <c r="Y27" s="46"/>
      <c r="Z27" s="83" t="str">
        <f t="shared" si="1"/>
        <v>-</v>
      </c>
      <c r="AA27" s="83" t="str">
        <f>IF(K27='Pag 08_Legendas'!B$12,"P&amp;D&amp;I","Bolsa e auxílio")</f>
        <v>Bolsa e auxílio</v>
      </c>
      <c r="AB27" s="83" t="str">
        <f t="shared" si="2"/>
        <v>NÃO</v>
      </c>
      <c r="AC27" s="83" t="str">
        <f t="shared" si="3"/>
        <v>NÃO</v>
      </c>
      <c r="AD27" s="83" t="str">
        <f>IF(K27='Pag 08_Legendas'!B$12,"SIM","NÃO")</f>
        <v>NÃO</v>
      </c>
      <c r="AE27" s="83" t="str">
        <f>IF(K27='Pag 08_Legendas'!B$11,"SIM","NÃO")</f>
        <v>NÃO</v>
      </c>
      <c r="AF27" s="83" t="str">
        <f>IF(K27='Pag 08_Legendas'!B$7,"SIM","NÃO")</f>
        <v>NÃO</v>
      </c>
      <c r="AG27" s="95">
        <f t="shared" si="4"/>
        <v>0</v>
      </c>
      <c r="AH27" s="83"/>
      <c r="AI27" s="9"/>
      <c r="AJ27" s="9"/>
      <c r="AK27" s="9"/>
      <c r="AL27" s="9"/>
      <c r="AM27" s="14"/>
    </row>
    <row r="28" spans="1:39" x14ac:dyDescent="0.2">
      <c r="A28" s="44"/>
      <c r="B28" s="45"/>
      <c r="C28" s="46"/>
      <c r="D28" s="45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7"/>
      <c r="P28" s="47"/>
      <c r="Q28" s="47"/>
      <c r="R28" s="47"/>
      <c r="S28" s="47"/>
      <c r="T28" s="47"/>
      <c r="U28" s="55">
        <f t="shared" si="0"/>
        <v>0</v>
      </c>
      <c r="V28" s="46"/>
      <c r="W28" s="121"/>
      <c r="X28" s="125"/>
      <c r="Y28" s="46"/>
      <c r="Z28" s="83" t="str">
        <f t="shared" si="1"/>
        <v>-</v>
      </c>
      <c r="AA28" s="83" t="str">
        <f>IF(K28='Pag 08_Legendas'!B$12,"P&amp;D&amp;I","Bolsa e auxílio")</f>
        <v>Bolsa e auxílio</v>
      </c>
      <c r="AB28" s="83" t="str">
        <f t="shared" si="2"/>
        <v>NÃO</v>
      </c>
      <c r="AC28" s="83" t="str">
        <f t="shared" si="3"/>
        <v>NÃO</v>
      </c>
      <c r="AD28" s="83" t="str">
        <f>IF(K28='Pag 08_Legendas'!B$12,"SIM","NÃO")</f>
        <v>NÃO</v>
      </c>
      <c r="AE28" s="83" t="str">
        <f>IF(K28='Pag 08_Legendas'!B$11,"SIM","NÃO")</f>
        <v>NÃO</v>
      </c>
      <c r="AF28" s="83" t="str">
        <f>IF(K28='Pag 08_Legendas'!B$7,"SIM","NÃO")</f>
        <v>NÃO</v>
      </c>
      <c r="AG28" s="95">
        <f t="shared" si="4"/>
        <v>0</v>
      </c>
      <c r="AH28" s="83"/>
      <c r="AI28" s="9"/>
      <c r="AJ28" s="9"/>
      <c r="AK28" s="9"/>
      <c r="AL28" s="9"/>
      <c r="AM28" s="14"/>
    </row>
    <row r="29" spans="1:39" x14ac:dyDescent="0.2">
      <c r="A29" s="44"/>
      <c r="B29" s="45"/>
      <c r="C29" s="46"/>
      <c r="D29" s="45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7"/>
      <c r="P29" s="47"/>
      <c r="Q29" s="47"/>
      <c r="R29" s="47"/>
      <c r="S29" s="47"/>
      <c r="T29" s="47"/>
      <c r="U29" s="55">
        <f t="shared" si="0"/>
        <v>0</v>
      </c>
      <c r="V29" s="46"/>
      <c r="W29" s="121"/>
      <c r="X29" s="125"/>
      <c r="Y29" s="46"/>
      <c r="Z29" s="83" t="str">
        <f t="shared" si="1"/>
        <v>-</v>
      </c>
      <c r="AA29" s="83" t="str">
        <f>IF(K29='Pag 08_Legendas'!B$12,"P&amp;D&amp;I","Bolsa e auxílio")</f>
        <v>Bolsa e auxílio</v>
      </c>
      <c r="AB29" s="83" t="str">
        <f t="shared" si="2"/>
        <v>NÃO</v>
      </c>
      <c r="AC29" s="83" t="str">
        <f t="shared" si="3"/>
        <v>NÃO</v>
      </c>
      <c r="AD29" s="83" t="str">
        <f>IF(K29='Pag 08_Legendas'!B$12,"SIM","NÃO")</f>
        <v>NÃO</v>
      </c>
      <c r="AE29" s="83" t="str">
        <f>IF(K29='Pag 08_Legendas'!B$11,"SIM","NÃO")</f>
        <v>NÃO</v>
      </c>
      <c r="AF29" s="83" t="str">
        <f>IF(K29='Pag 08_Legendas'!B$7,"SIM","NÃO")</f>
        <v>NÃO</v>
      </c>
      <c r="AG29" s="95">
        <f t="shared" si="4"/>
        <v>0</v>
      </c>
      <c r="AH29" s="83"/>
      <c r="AI29" s="9"/>
      <c r="AJ29" s="9"/>
      <c r="AK29" s="9"/>
      <c r="AL29" s="9"/>
      <c r="AM29" s="14"/>
    </row>
    <row r="30" spans="1:39" x14ac:dyDescent="0.2">
      <c r="A30" s="44"/>
      <c r="B30" s="45"/>
      <c r="C30" s="46"/>
      <c r="D30" s="45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7"/>
      <c r="P30" s="47"/>
      <c r="Q30" s="47"/>
      <c r="R30" s="47"/>
      <c r="S30" s="47"/>
      <c r="T30" s="47"/>
      <c r="U30" s="55">
        <f t="shared" si="0"/>
        <v>0</v>
      </c>
      <c r="V30" s="46"/>
      <c r="W30" s="121"/>
      <c r="X30" s="125"/>
      <c r="Y30" s="46"/>
      <c r="Z30" s="83" t="str">
        <f t="shared" si="1"/>
        <v>-</v>
      </c>
      <c r="AA30" s="83" t="str">
        <f>IF(K30='Pag 08_Legendas'!B$12,"P&amp;D&amp;I","Bolsa e auxílio")</f>
        <v>Bolsa e auxílio</v>
      </c>
      <c r="AB30" s="83" t="str">
        <f t="shared" si="2"/>
        <v>NÃO</v>
      </c>
      <c r="AC30" s="83" t="str">
        <f t="shared" si="3"/>
        <v>NÃO</v>
      </c>
      <c r="AD30" s="83" t="str">
        <f>IF(K30='Pag 08_Legendas'!B$12,"SIM","NÃO")</f>
        <v>NÃO</v>
      </c>
      <c r="AE30" s="83" t="str">
        <f>IF(K30='Pag 08_Legendas'!B$11,"SIM","NÃO")</f>
        <v>NÃO</v>
      </c>
      <c r="AF30" s="83" t="str">
        <f>IF(K30='Pag 08_Legendas'!B$7,"SIM","NÃO")</f>
        <v>NÃO</v>
      </c>
      <c r="AG30" s="95">
        <f t="shared" si="4"/>
        <v>0</v>
      </c>
      <c r="AH30" s="83"/>
      <c r="AI30" s="9"/>
      <c r="AJ30" s="9"/>
      <c r="AK30" s="9"/>
      <c r="AL30" s="9"/>
      <c r="AM30" s="14"/>
    </row>
    <row r="31" spans="1:39" x14ac:dyDescent="0.2">
      <c r="A31" s="44"/>
      <c r="B31" s="45"/>
      <c r="C31" s="46"/>
      <c r="D31" s="45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7"/>
      <c r="P31" s="47"/>
      <c r="Q31" s="47"/>
      <c r="R31" s="47"/>
      <c r="S31" s="47"/>
      <c r="T31" s="47"/>
      <c r="U31" s="55">
        <f t="shared" si="0"/>
        <v>0</v>
      </c>
      <c r="V31" s="46"/>
      <c r="W31" s="121"/>
      <c r="X31" s="125"/>
      <c r="Y31" s="46"/>
      <c r="Z31" s="83" t="str">
        <f t="shared" si="1"/>
        <v>-</v>
      </c>
      <c r="AA31" s="83" t="str">
        <f>IF(K31='Pag 08_Legendas'!B$12,"P&amp;D&amp;I","Bolsa e auxílio")</f>
        <v>Bolsa e auxílio</v>
      </c>
      <c r="AB31" s="83" t="str">
        <f t="shared" si="2"/>
        <v>NÃO</v>
      </c>
      <c r="AC31" s="83" t="str">
        <f t="shared" si="3"/>
        <v>NÃO</v>
      </c>
      <c r="AD31" s="83" t="str">
        <f>IF(K31='Pag 08_Legendas'!B$12,"SIM","NÃO")</f>
        <v>NÃO</v>
      </c>
      <c r="AE31" s="83" t="str">
        <f>IF(K31='Pag 08_Legendas'!B$11,"SIM","NÃO")</f>
        <v>NÃO</v>
      </c>
      <c r="AF31" s="83" t="str">
        <f>IF(K31='Pag 08_Legendas'!B$7,"SIM","NÃO")</f>
        <v>NÃO</v>
      </c>
      <c r="AG31" s="95">
        <f t="shared" si="4"/>
        <v>0</v>
      </c>
      <c r="AH31" s="83"/>
      <c r="AI31" s="9"/>
      <c r="AJ31" s="9"/>
      <c r="AK31" s="9"/>
      <c r="AL31" s="9"/>
      <c r="AM31" s="14"/>
    </row>
    <row r="32" spans="1:39" x14ac:dyDescent="0.2">
      <c r="A32" s="44"/>
      <c r="B32" s="45"/>
      <c r="C32" s="46"/>
      <c r="D32" s="45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7"/>
      <c r="P32" s="47"/>
      <c r="Q32" s="47"/>
      <c r="R32" s="47"/>
      <c r="S32" s="47"/>
      <c r="T32" s="47"/>
      <c r="U32" s="55">
        <f t="shared" si="0"/>
        <v>0</v>
      </c>
      <c r="V32" s="46"/>
      <c r="W32" s="121"/>
      <c r="X32" s="125"/>
      <c r="Y32" s="46"/>
      <c r="Z32" s="83" t="str">
        <f t="shared" si="1"/>
        <v>-</v>
      </c>
      <c r="AA32" s="83" t="str">
        <f>IF(K32='Pag 08_Legendas'!B$12,"P&amp;D&amp;I","Bolsa e auxílio")</f>
        <v>Bolsa e auxílio</v>
      </c>
      <c r="AB32" s="83" t="str">
        <f t="shared" si="2"/>
        <v>NÃO</v>
      </c>
      <c r="AC32" s="83" t="str">
        <f t="shared" si="3"/>
        <v>NÃO</v>
      </c>
      <c r="AD32" s="83" t="str">
        <f>IF(K32='Pag 08_Legendas'!B$12,"SIM","NÃO")</f>
        <v>NÃO</v>
      </c>
      <c r="AE32" s="83" t="str">
        <f>IF(K32='Pag 08_Legendas'!B$11,"SIM","NÃO")</f>
        <v>NÃO</v>
      </c>
      <c r="AF32" s="83" t="str">
        <f>IF(K32='Pag 08_Legendas'!B$7,"SIM","NÃO")</f>
        <v>NÃO</v>
      </c>
      <c r="AG32" s="95">
        <f t="shared" si="4"/>
        <v>0</v>
      </c>
      <c r="AH32" s="83"/>
      <c r="AI32" s="9"/>
      <c r="AJ32" s="9"/>
      <c r="AK32" s="9"/>
      <c r="AL32" s="9"/>
      <c r="AM32" s="14"/>
    </row>
    <row r="33" spans="1:39" x14ac:dyDescent="0.2">
      <c r="A33" s="44"/>
      <c r="B33" s="45"/>
      <c r="C33" s="46"/>
      <c r="D33" s="45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7"/>
      <c r="P33" s="47"/>
      <c r="Q33" s="47"/>
      <c r="R33" s="47"/>
      <c r="S33" s="47"/>
      <c r="T33" s="47"/>
      <c r="U33" s="55">
        <f t="shared" si="0"/>
        <v>0</v>
      </c>
      <c r="V33" s="46"/>
      <c r="W33" s="121"/>
      <c r="X33" s="125"/>
      <c r="Y33" s="46"/>
      <c r="Z33" s="83" t="str">
        <f t="shared" si="1"/>
        <v>-</v>
      </c>
      <c r="AA33" s="83" t="str">
        <f>IF(K33='Pag 08_Legendas'!B$12,"P&amp;D&amp;I","Bolsa e auxílio")</f>
        <v>Bolsa e auxílio</v>
      </c>
      <c r="AB33" s="83" t="str">
        <f t="shared" si="2"/>
        <v>NÃO</v>
      </c>
      <c r="AC33" s="83" t="str">
        <f t="shared" si="3"/>
        <v>NÃO</v>
      </c>
      <c r="AD33" s="83" t="str">
        <f>IF(K33='Pag 08_Legendas'!B$12,"SIM","NÃO")</f>
        <v>NÃO</v>
      </c>
      <c r="AE33" s="83" t="str">
        <f>IF(K33='Pag 08_Legendas'!B$11,"SIM","NÃO")</f>
        <v>NÃO</v>
      </c>
      <c r="AF33" s="83" t="str">
        <f>IF(K33='Pag 08_Legendas'!B$7,"SIM","NÃO")</f>
        <v>NÃO</v>
      </c>
      <c r="AG33" s="95">
        <f t="shared" si="4"/>
        <v>0</v>
      </c>
      <c r="AH33" s="83"/>
      <c r="AI33" s="9"/>
      <c r="AJ33" s="9"/>
      <c r="AK33" s="9"/>
      <c r="AL33" s="9"/>
      <c r="AM33" s="14"/>
    </row>
    <row r="34" spans="1:39" x14ac:dyDescent="0.2">
      <c r="A34" s="44"/>
      <c r="B34" s="45"/>
      <c r="C34" s="46"/>
      <c r="D34" s="45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7"/>
      <c r="P34" s="47"/>
      <c r="Q34" s="47"/>
      <c r="R34" s="47"/>
      <c r="S34" s="47"/>
      <c r="T34" s="47"/>
      <c r="U34" s="55">
        <f t="shared" si="0"/>
        <v>0</v>
      </c>
      <c r="V34" s="46"/>
      <c r="W34" s="121"/>
      <c r="X34" s="125"/>
      <c r="Y34" s="46"/>
      <c r="Z34" s="83" t="str">
        <f t="shared" si="1"/>
        <v>-</v>
      </c>
      <c r="AA34" s="83" t="str">
        <f>IF(K34='Pag 08_Legendas'!B$12,"P&amp;D&amp;I","Bolsa e auxílio")</f>
        <v>Bolsa e auxílio</v>
      </c>
      <c r="AB34" s="83" t="str">
        <f t="shared" si="2"/>
        <v>NÃO</v>
      </c>
      <c r="AC34" s="83" t="str">
        <f t="shared" si="3"/>
        <v>NÃO</v>
      </c>
      <c r="AD34" s="83" t="str">
        <f>IF(K34='Pag 08_Legendas'!B$12,"SIM","NÃO")</f>
        <v>NÃO</v>
      </c>
      <c r="AE34" s="83" t="str">
        <f>IF(K34='Pag 08_Legendas'!B$11,"SIM","NÃO")</f>
        <v>NÃO</v>
      </c>
      <c r="AF34" s="83" t="str">
        <f>IF(K34='Pag 08_Legendas'!B$7,"SIM","NÃO")</f>
        <v>NÃO</v>
      </c>
      <c r="AG34" s="95">
        <f t="shared" si="4"/>
        <v>0</v>
      </c>
      <c r="AH34" s="83"/>
      <c r="AI34" s="9"/>
      <c r="AJ34" s="9"/>
      <c r="AK34" s="9"/>
      <c r="AL34" s="9"/>
      <c r="AM34" s="14"/>
    </row>
    <row r="35" spans="1:39" x14ac:dyDescent="0.2">
      <c r="A35" s="44"/>
      <c r="B35" s="45"/>
      <c r="C35" s="46"/>
      <c r="D35" s="45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7"/>
      <c r="P35" s="47"/>
      <c r="Q35" s="47"/>
      <c r="R35" s="47"/>
      <c r="S35" s="47"/>
      <c r="T35" s="47"/>
      <c r="U35" s="55">
        <f t="shared" si="0"/>
        <v>0</v>
      </c>
      <c r="V35" s="46"/>
      <c r="W35" s="121"/>
      <c r="X35" s="125"/>
      <c r="Y35" s="46"/>
      <c r="Z35" s="83" t="str">
        <f t="shared" si="1"/>
        <v>-</v>
      </c>
      <c r="AA35" s="83" t="str">
        <f>IF(K35='Pag 08_Legendas'!B$12,"P&amp;D&amp;I","Bolsa e auxílio")</f>
        <v>Bolsa e auxílio</v>
      </c>
      <c r="AB35" s="83" t="str">
        <f t="shared" si="2"/>
        <v>NÃO</v>
      </c>
      <c r="AC35" s="83" t="str">
        <f t="shared" si="3"/>
        <v>NÃO</v>
      </c>
      <c r="AD35" s="83" t="str">
        <f>IF(K35='Pag 08_Legendas'!B$12,"SIM","NÃO")</f>
        <v>NÃO</v>
      </c>
      <c r="AE35" s="83" t="str">
        <f>IF(K35='Pag 08_Legendas'!B$11,"SIM","NÃO")</f>
        <v>NÃO</v>
      </c>
      <c r="AF35" s="83" t="str">
        <f>IF(K35='Pag 08_Legendas'!B$7,"SIM","NÃO")</f>
        <v>NÃO</v>
      </c>
      <c r="AG35" s="95">
        <f t="shared" si="4"/>
        <v>0</v>
      </c>
      <c r="AH35" s="83"/>
      <c r="AI35" s="9"/>
      <c r="AJ35" s="9"/>
      <c r="AK35" s="9"/>
      <c r="AL35" s="9"/>
      <c r="AM35" s="14"/>
    </row>
    <row r="36" spans="1:39" x14ac:dyDescent="0.2">
      <c r="A36" s="44"/>
      <c r="B36" s="45"/>
      <c r="C36" s="46"/>
      <c r="D36" s="45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7"/>
      <c r="P36" s="47"/>
      <c r="Q36" s="47"/>
      <c r="R36" s="47"/>
      <c r="S36" s="47"/>
      <c r="T36" s="47"/>
      <c r="U36" s="55">
        <f t="shared" si="0"/>
        <v>0</v>
      </c>
      <c r="V36" s="46"/>
      <c r="W36" s="121"/>
      <c r="X36" s="125"/>
      <c r="Y36" s="46"/>
      <c r="Z36" s="83" t="str">
        <f t="shared" si="1"/>
        <v>-</v>
      </c>
      <c r="AA36" s="83" t="str">
        <f>IF(K36='Pag 08_Legendas'!B$12,"P&amp;D&amp;I","Bolsa e auxílio")</f>
        <v>Bolsa e auxílio</v>
      </c>
      <c r="AB36" s="83" t="str">
        <f t="shared" si="2"/>
        <v>NÃO</v>
      </c>
      <c r="AC36" s="83" t="str">
        <f t="shared" si="3"/>
        <v>NÃO</v>
      </c>
      <c r="AD36" s="83" t="str">
        <f>IF(K36='Pag 08_Legendas'!B$12,"SIM","NÃO")</f>
        <v>NÃO</v>
      </c>
      <c r="AE36" s="83" t="str">
        <f>IF(K36='Pag 08_Legendas'!B$11,"SIM","NÃO")</f>
        <v>NÃO</v>
      </c>
      <c r="AF36" s="83" t="str">
        <f>IF(K36='Pag 08_Legendas'!B$7,"SIM","NÃO")</f>
        <v>NÃO</v>
      </c>
      <c r="AG36" s="95">
        <f t="shared" si="4"/>
        <v>0</v>
      </c>
      <c r="AH36" s="83"/>
      <c r="AI36" s="9"/>
      <c r="AJ36" s="9"/>
      <c r="AK36" s="9"/>
      <c r="AL36" s="9"/>
      <c r="AM36" s="14"/>
    </row>
    <row r="37" spans="1:39" x14ac:dyDescent="0.2">
      <c r="A37" s="44"/>
      <c r="B37" s="45"/>
      <c r="C37" s="46"/>
      <c r="D37" s="45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7"/>
      <c r="P37" s="47"/>
      <c r="Q37" s="47"/>
      <c r="R37" s="47"/>
      <c r="S37" s="47"/>
      <c r="T37" s="47"/>
      <c r="U37" s="55">
        <f t="shared" si="0"/>
        <v>0</v>
      </c>
      <c r="V37" s="46"/>
      <c r="W37" s="121"/>
      <c r="X37" s="125"/>
      <c r="Y37" s="46"/>
      <c r="Z37" s="83" t="str">
        <f t="shared" si="1"/>
        <v>-</v>
      </c>
      <c r="AA37" s="83" t="str">
        <f>IF(K37='Pag 08_Legendas'!B$12,"P&amp;D&amp;I","Bolsa e auxílio")</f>
        <v>Bolsa e auxílio</v>
      </c>
      <c r="AB37" s="83" t="str">
        <f t="shared" si="2"/>
        <v>NÃO</v>
      </c>
      <c r="AC37" s="83" t="str">
        <f t="shared" si="3"/>
        <v>NÃO</v>
      </c>
      <c r="AD37" s="83" t="str">
        <f>IF(K37='Pag 08_Legendas'!B$12,"SIM","NÃO")</f>
        <v>NÃO</v>
      </c>
      <c r="AE37" s="83" t="str">
        <f>IF(K37='Pag 08_Legendas'!B$11,"SIM","NÃO")</f>
        <v>NÃO</v>
      </c>
      <c r="AF37" s="83" t="str">
        <f>IF(K37='Pag 08_Legendas'!B$7,"SIM","NÃO")</f>
        <v>NÃO</v>
      </c>
      <c r="AG37" s="95">
        <f t="shared" si="4"/>
        <v>0</v>
      </c>
      <c r="AH37" s="83"/>
      <c r="AI37" s="9"/>
      <c r="AJ37" s="9"/>
      <c r="AK37" s="9"/>
      <c r="AL37" s="9"/>
      <c r="AM37" s="14"/>
    </row>
    <row r="38" spans="1:39" x14ac:dyDescent="0.2">
      <c r="A38" s="44"/>
      <c r="B38" s="45"/>
      <c r="C38" s="46"/>
      <c r="D38" s="45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7"/>
      <c r="P38" s="47"/>
      <c r="Q38" s="47"/>
      <c r="R38" s="47"/>
      <c r="S38" s="47"/>
      <c r="T38" s="47"/>
      <c r="U38" s="55">
        <f t="shared" si="0"/>
        <v>0</v>
      </c>
      <c r="V38" s="46"/>
      <c r="W38" s="121"/>
      <c r="X38" s="125"/>
      <c r="Y38" s="46"/>
      <c r="Z38" s="83" t="str">
        <f t="shared" si="1"/>
        <v>-</v>
      </c>
      <c r="AA38" s="83" t="str">
        <f>IF(K38='Pag 08_Legendas'!B$12,"P&amp;D&amp;I","Bolsa e auxílio")</f>
        <v>Bolsa e auxílio</v>
      </c>
      <c r="AB38" s="83" t="str">
        <f t="shared" si="2"/>
        <v>NÃO</v>
      </c>
      <c r="AC38" s="83" t="str">
        <f t="shared" si="3"/>
        <v>NÃO</v>
      </c>
      <c r="AD38" s="83" t="str">
        <f>IF(K38='Pag 08_Legendas'!B$12,"SIM","NÃO")</f>
        <v>NÃO</v>
      </c>
      <c r="AE38" s="83" t="str">
        <f>IF(K38='Pag 08_Legendas'!B$11,"SIM","NÃO")</f>
        <v>NÃO</v>
      </c>
      <c r="AF38" s="83" t="str">
        <f>IF(K38='Pag 08_Legendas'!B$7,"SIM","NÃO")</f>
        <v>NÃO</v>
      </c>
      <c r="AG38" s="95">
        <f t="shared" si="4"/>
        <v>0</v>
      </c>
      <c r="AH38" s="83"/>
      <c r="AI38" s="9"/>
      <c r="AJ38" s="9"/>
      <c r="AK38" s="9"/>
      <c r="AL38" s="9"/>
      <c r="AM38" s="14"/>
    </row>
    <row r="39" spans="1:39" x14ac:dyDescent="0.2">
      <c r="A39" s="44"/>
      <c r="B39" s="45"/>
      <c r="C39" s="46"/>
      <c r="D39" s="45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7"/>
      <c r="P39" s="47"/>
      <c r="Q39" s="47"/>
      <c r="R39" s="47"/>
      <c r="S39" s="47"/>
      <c r="T39" s="47"/>
      <c r="U39" s="55">
        <f t="shared" si="0"/>
        <v>0</v>
      </c>
      <c r="V39" s="46"/>
      <c r="W39" s="121"/>
      <c r="X39" s="125"/>
      <c r="Y39" s="46"/>
      <c r="Z39" s="83" t="str">
        <f t="shared" si="1"/>
        <v>-</v>
      </c>
      <c r="AA39" s="83" t="str">
        <f>IF(K39='Pag 08_Legendas'!B$12,"P&amp;D&amp;I","Bolsa e auxílio")</f>
        <v>Bolsa e auxílio</v>
      </c>
      <c r="AB39" s="83" t="str">
        <f t="shared" si="2"/>
        <v>NÃO</v>
      </c>
      <c r="AC39" s="83" t="str">
        <f t="shared" si="3"/>
        <v>NÃO</v>
      </c>
      <c r="AD39" s="83" t="str">
        <f>IF(K39='Pag 08_Legendas'!B$12,"SIM","NÃO")</f>
        <v>NÃO</v>
      </c>
      <c r="AE39" s="83" t="str">
        <f>IF(K39='Pag 08_Legendas'!B$11,"SIM","NÃO")</f>
        <v>NÃO</v>
      </c>
      <c r="AF39" s="83" t="str">
        <f>IF(K39='Pag 08_Legendas'!B$7,"SIM","NÃO")</f>
        <v>NÃO</v>
      </c>
      <c r="AG39" s="95">
        <f t="shared" si="4"/>
        <v>0</v>
      </c>
      <c r="AH39" s="83"/>
      <c r="AI39" s="9"/>
      <c r="AJ39" s="9"/>
      <c r="AK39" s="9"/>
      <c r="AL39" s="9"/>
      <c r="AM39" s="14"/>
    </row>
    <row r="40" spans="1:39" x14ac:dyDescent="0.2">
      <c r="A40" s="44"/>
      <c r="B40" s="45"/>
      <c r="C40" s="46"/>
      <c r="D40" s="45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7"/>
      <c r="P40" s="47"/>
      <c r="Q40" s="47"/>
      <c r="R40" s="47"/>
      <c r="S40" s="47"/>
      <c r="T40" s="47"/>
      <c r="U40" s="55">
        <f t="shared" si="0"/>
        <v>0</v>
      </c>
      <c r="V40" s="46"/>
      <c r="W40" s="121"/>
      <c r="X40" s="125"/>
      <c r="Y40" s="46"/>
      <c r="Z40" s="83" t="str">
        <f t="shared" si="1"/>
        <v>-</v>
      </c>
      <c r="AA40" s="83" t="str">
        <f>IF(K40='Pag 08_Legendas'!B$12,"P&amp;D&amp;I","Bolsa e auxílio")</f>
        <v>Bolsa e auxílio</v>
      </c>
      <c r="AB40" s="83" t="str">
        <f t="shared" si="2"/>
        <v>NÃO</v>
      </c>
      <c r="AC40" s="83" t="str">
        <f t="shared" si="3"/>
        <v>NÃO</v>
      </c>
      <c r="AD40" s="83" t="str">
        <f>IF(K40='Pag 08_Legendas'!B$12,"SIM","NÃO")</f>
        <v>NÃO</v>
      </c>
      <c r="AE40" s="83" t="str">
        <f>IF(K40='Pag 08_Legendas'!B$11,"SIM","NÃO")</f>
        <v>NÃO</v>
      </c>
      <c r="AF40" s="83" t="str">
        <f>IF(K40='Pag 08_Legendas'!B$7,"SIM","NÃO")</f>
        <v>NÃO</v>
      </c>
      <c r="AG40" s="95">
        <f t="shared" si="4"/>
        <v>0</v>
      </c>
      <c r="AH40" s="83"/>
      <c r="AI40" s="9"/>
      <c r="AJ40" s="9"/>
      <c r="AK40" s="9"/>
      <c r="AL40" s="9"/>
      <c r="AM40" s="14"/>
    </row>
    <row r="41" spans="1:39" x14ac:dyDescent="0.2">
      <c r="A41" s="44"/>
      <c r="B41" s="45"/>
      <c r="C41" s="46"/>
      <c r="D41" s="45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7"/>
      <c r="P41" s="47"/>
      <c r="Q41" s="47"/>
      <c r="R41" s="47"/>
      <c r="S41" s="47"/>
      <c r="T41" s="47"/>
      <c r="U41" s="55">
        <f t="shared" si="0"/>
        <v>0</v>
      </c>
      <c r="V41" s="46"/>
      <c r="W41" s="121"/>
      <c r="X41" s="125"/>
      <c r="Y41" s="46"/>
      <c r="Z41" s="83" t="str">
        <f t="shared" si="1"/>
        <v>-</v>
      </c>
      <c r="AA41" s="83" t="str">
        <f>IF(K41='Pag 08_Legendas'!B$12,"P&amp;D&amp;I","Bolsa e auxílio")</f>
        <v>Bolsa e auxílio</v>
      </c>
      <c r="AB41" s="83" t="str">
        <f t="shared" si="2"/>
        <v>NÃO</v>
      </c>
      <c r="AC41" s="83" t="str">
        <f t="shared" si="3"/>
        <v>NÃO</v>
      </c>
      <c r="AD41" s="83" t="str">
        <f>IF(K41='Pag 08_Legendas'!B$12,"SIM","NÃO")</f>
        <v>NÃO</v>
      </c>
      <c r="AE41" s="83" t="str">
        <f>IF(K41='Pag 08_Legendas'!B$11,"SIM","NÃO")</f>
        <v>NÃO</v>
      </c>
      <c r="AF41" s="83" t="str">
        <f>IF(K41='Pag 08_Legendas'!B$7,"SIM","NÃO")</f>
        <v>NÃO</v>
      </c>
      <c r="AG41" s="95">
        <f t="shared" si="4"/>
        <v>0</v>
      </c>
      <c r="AH41" s="83"/>
      <c r="AI41" s="9"/>
      <c r="AJ41" s="9"/>
      <c r="AK41" s="9"/>
      <c r="AL41" s="9"/>
      <c r="AM41" s="14"/>
    </row>
    <row r="42" spans="1:39" x14ac:dyDescent="0.2">
      <c r="A42" s="44"/>
      <c r="B42" s="45"/>
      <c r="C42" s="46"/>
      <c r="D42" s="45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7"/>
      <c r="P42" s="47"/>
      <c r="Q42" s="47"/>
      <c r="R42" s="47"/>
      <c r="S42" s="47"/>
      <c r="T42" s="47"/>
      <c r="U42" s="55">
        <f t="shared" si="0"/>
        <v>0</v>
      </c>
      <c r="V42" s="46"/>
      <c r="W42" s="121"/>
      <c r="X42" s="125"/>
      <c r="Y42" s="46"/>
      <c r="Z42" s="83" t="str">
        <f t="shared" si="1"/>
        <v>-</v>
      </c>
      <c r="AA42" s="83" t="str">
        <f>IF(K42='Pag 08_Legendas'!B$12,"P&amp;D&amp;I","Bolsa e auxílio")</f>
        <v>Bolsa e auxílio</v>
      </c>
      <c r="AB42" s="83" t="str">
        <f t="shared" si="2"/>
        <v>NÃO</v>
      </c>
      <c r="AC42" s="83" t="str">
        <f t="shared" si="3"/>
        <v>NÃO</v>
      </c>
      <c r="AD42" s="83" t="str">
        <f>IF(K42='Pag 08_Legendas'!B$12,"SIM","NÃO")</f>
        <v>NÃO</v>
      </c>
      <c r="AE42" s="83" t="str">
        <f>IF(K42='Pag 08_Legendas'!B$11,"SIM","NÃO")</f>
        <v>NÃO</v>
      </c>
      <c r="AF42" s="83" t="str">
        <f>IF(K42='Pag 08_Legendas'!B$7,"SIM","NÃO")</f>
        <v>NÃO</v>
      </c>
      <c r="AG42" s="95">
        <f t="shared" si="4"/>
        <v>0</v>
      </c>
      <c r="AH42" s="83"/>
      <c r="AI42" s="9"/>
      <c r="AJ42" s="9"/>
      <c r="AK42" s="9"/>
      <c r="AL42" s="9"/>
      <c r="AM42" s="14"/>
    </row>
    <row r="43" spans="1:39" x14ac:dyDescent="0.2">
      <c r="A43" s="44"/>
      <c r="B43" s="45"/>
      <c r="C43" s="46"/>
      <c r="D43" s="45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7"/>
      <c r="P43" s="47"/>
      <c r="Q43" s="47"/>
      <c r="R43" s="47"/>
      <c r="S43" s="47"/>
      <c r="T43" s="47"/>
      <c r="U43" s="55">
        <f t="shared" si="0"/>
        <v>0</v>
      </c>
      <c r="V43" s="46"/>
      <c r="W43" s="121"/>
      <c r="X43" s="125"/>
      <c r="Y43" s="46"/>
      <c r="Z43" s="83" t="str">
        <f t="shared" si="1"/>
        <v>-</v>
      </c>
      <c r="AA43" s="83" t="str">
        <f>IF(K43='Pag 08_Legendas'!B$12,"P&amp;D&amp;I","Bolsa e auxílio")</f>
        <v>Bolsa e auxílio</v>
      </c>
      <c r="AB43" s="83" t="str">
        <f t="shared" si="2"/>
        <v>NÃO</v>
      </c>
      <c r="AC43" s="83" t="str">
        <f t="shared" si="3"/>
        <v>NÃO</v>
      </c>
      <c r="AD43" s="83" t="str">
        <f>IF(K43='Pag 08_Legendas'!B$12,"SIM","NÃO")</f>
        <v>NÃO</v>
      </c>
      <c r="AE43" s="83" t="str">
        <f>IF(K43='Pag 08_Legendas'!B$11,"SIM","NÃO")</f>
        <v>NÃO</v>
      </c>
      <c r="AF43" s="83" t="str">
        <f>IF(K43='Pag 08_Legendas'!B$7,"SIM","NÃO")</f>
        <v>NÃO</v>
      </c>
      <c r="AG43" s="95">
        <f t="shared" si="4"/>
        <v>0</v>
      </c>
      <c r="AH43" s="83"/>
      <c r="AI43" s="9"/>
      <c r="AJ43" s="9"/>
      <c r="AK43" s="9"/>
      <c r="AL43" s="9"/>
      <c r="AM43" s="14"/>
    </row>
    <row r="44" spans="1:39" x14ac:dyDescent="0.2">
      <c r="A44" s="44"/>
      <c r="B44" s="45"/>
      <c r="C44" s="46"/>
      <c r="D44" s="45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7"/>
      <c r="P44" s="47"/>
      <c r="Q44" s="47"/>
      <c r="R44" s="47"/>
      <c r="S44" s="47"/>
      <c r="T44" s="47"/>
      <c r="U44" s="55">
        <f t="shared" si="0"/>
        <v>0</v>
      </c>
      <c r="V44" s="46"/>
      <c r="W44" s="121"/>
      <c r="X44" s="125"/>
      <c r="Y44" s="46"/>
      <c r="Z44" s="83" t="str">
        <f t="shared" si="1"/>
        <v>-</v>
      </c>
      <c r="AA44" s="83" t="str">
        <f>IF(K44='Pag 08_Legendas'!B$12,"P&amp;D&amp;I","Bolsa e auxílio")</f>
        <v>Bolsa e auxílio</v>
      </c>
      <c r="AB44" s="83" t="str">
        <f t="shared" si="2"/>
        <v>NÃO</v>
      </c>
      <c r="AC44" s="83" t="str">
        <f t="shared" si="3"/>
        <v>NÃO</v>
      </c>
      <c r="AD44" s="83" t="str">
        <f>IF(K44='Pag 08_Legendas'!B$12,"SIM","NÃO")</f>
        <v>NÃO</v>
      </c>
      <c r="AE44" s="83" t="str">
        <f>IF(K44='Pag 08_Legendas'!B$11,"SIM","NÃO")</f>
        <v>NÃO</v>
      </c>
      <c r="AF44" s="83" t="str">
        <f>IF(K44='Pag 08_Legendas'!B$7,"SIM","NÃO")</f>
        <v>NÃO</v>
      </c>
      <c r="AG44" s="95">
        <f t="shared" si="4"/>
        <v>0</v>
      </c>
      <c r="AH44" s="83"/>
      <c r="AI44" s="9"/>
      <c r="AJ44" s="9"/>
      <c r="AK44" s="9"/>
      <c r="AL44" s="9"/>
      <c r="AM44" s="14"/>
    </row>
    <row r="45" spans="1:39" x14ac:dyDescent="0.2">
      <c r="A45" s="44"/>
      <c r="B45" s="45"/>
      <c r="C45" s="46"/>
      <c r="D45" s="45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7"/>
      <c r="P45" s="47"/>
      <c r="Q45" s="47"/>
      <c r="R45" s="47"/>
      <c r="S45" s="47"/>
      <c r="T45" s="47"/>
      <c r="U45" s="55">
        <f t="shared" si="0"/>
        <v>0</v>
      </c>
      <c r="V45" s="46"/>
      <c r="W45" s="121"/>
      <c r="X45" s="125"/>
      <c r="Y45" s="46"/>
      <c r="Z45" s="83" t="str">
        <f t="shared" si="1"/>
        <v>-</v>
      </c>
      <c r="AA45" s="83" t="str">
        <f>IF(K45='Pag 08_Legendas'!B$12,"P&amp;D&amp;I","Bolsa e auxílio")</f>
        <v>Bolsa e auxílio</v>
      </c>
      <c r="AB45" s="83" t="str">
        <f t="shared" si="2"/>
        <v>NÃO</v>
      </c>
      <c r="AC45" s="83" t="str">
        <f t="shared" si="3"/>
        <v>NÃO</v>
      </c>
      <c r="AD45" s="83" t="str">
        <f>IF(K45='Pag 08_Legendas'!B$12,"SIM","NÃO")</f>
        <v>NÃO</v>
      </c>
      <c r="AE45" s="83" t="str">
        <f>IF(K45='Pag 08_Legendas'!B$11,"SIM","NÃO")</f>
        <v>NÃO</v>
      </c>
      <c r="AF45" s="83" t="str">
        <f>IF(K45='Pag 08_Legendas'!B$7,"SIM","NÃO")</f>
        <v>NÃO</v>
      </c>
      <c r="AG45" s="95">
        <f t="shared" si="4"/>
        <v>0</v>
      </c>
      <c r="AH45" s="83"/>
      <c r="AI45" s="9"/>
      <c r="AJ45" s="9"/>
      <c r="AK45" s="9"/>
      <c r="AL45" s="9"/>
      <c r="AM45" s="14"/>
    </row>
    <row r="46" spans="1:39" x14ac:dyDescent="0.2">
      <c r="A46" s="44"/>
      <c r="B46" s="45"/>
      <c r="C46" s="46"/>
      <c r="D46" s="45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7"/>
      <c r="P46" s="47"/>
      <c r="Q46" s="47"/>
      <c r="R46" s="47"/>
      <c r="S46" s="47"/>
      <c r="T46" s="47"/>
      <c r="U46" s="55">
        <f t="shared" si="0"/>
        <v>0</v>
      </c>
      <c r="V46" s="46"/>
      <c r="W46" s="121"/>
      <c r="X46" s="125"/>
      <c r="Y46" s="46"/>
      <c r="Z46" s="83" t="str">
        <f t="shared" si="1"/>
        <v>-</v>
      </c>
      <c r="AA46" s="83" t="str">
        <f>IF(K46='Pag 08_Legendas'!B$12,"P&amp;D&amp;I","Bolsa e auxílio")</f>
        <v>Bolsa e auxílio</v>
      </c>
      <c r="AB46" s="83" t="str">
        <f t="shared" si="2"/>
        <v>NÃO</v>
      </c>
      <c r="AC46" s="83" t="str">
        <f t="shared" si="3"/>
        <v>NÃO</v>
      </c>
      <c r="AD46" s="83" t="str">
        <f>IF(K46='Pag 08_Legendas'!B$12,"SIM","NÃO")</f>
        <v>NÃO</v>
      </c>
      <c r="AE46" s="83" t="str">
        <f>IF(K46='Pag 08_Legendas'!B$11,"SIM","NÃO")</f>
        <v>NÃO</v>
      </c>
      <c r="AF46" s="83" t="str">
        <f>IF(K46='Pag 08_Legendas'!B$7,"SIM","NÃO")</f>
        <v>NÃO</v>
      </c>
      <c r="AG46" s="95">
        <f t="shared" si="4"/>
        <v>0</v>
      </c>
      <c r="AH46" s="83"/>
      <c r="AI46" s="9"/>
      <c r="AJ46" s="9"/>
      <c r="AK46" s="9"/>
      <c r="AL46" s="9"/>
      <c r="AM46" s="14"/>
    </row>
    <row r="47" spans="1:39" x14ac:dyDescent="0.2">
      <c r="A47" s="44"/>
      <c r="B47" s="45"/>
      <c r="C47" s="46"/>
      <c r="D47" s="45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7"/>
      <c r="P47" s="47"/>
      <c r="Q47" s="47"/>
      <c r="R47" s="47"/>
      <c r="S47" s="47"/>
      <c r="T47" s="47"/>
      <c r="U47" s="55">
        <f t="shared" si="0"/>
        <v>0</v>
      </c>
      <c r="V47" s="46"/>
      <c r="W47" s="121"/>
      <c r="X47" s="125"/>
      <c r="Y47" s="46"/>
      <c r="Z47" s="83" t="str">
        <f t="shared" si="1"/>
        <v>-</v>
      </c>
      <c r="AA47" s="83" t="str">
        <f>IF(K47='Pag 08_Legendas'!B$12,"P&amp;D&amp;I","Bolsa e auxílio")</f>
        <v>Bolsa e auxílio</v>
      </c>
      <c r="AB47" s="83" t="str">
        <f t="shared" si="2"/>
        <v>NÃO</v>
      </c>
      <c r="AC47" s="83" t="str">
        <f t="shared" si="3"/>
        <v>NÃO</v>
      </c>
      <c r="AD47" s="83" t="str">
        <f>IF(K47='Pag 08_Legendas'!B$12,"SIM","NÃO")</f>
        <v>NÃO</v>
      </c>
      <c r="AE47" s="83" t="str">
        <f>IF(K47='Pag 08_Legendas'!B$11,"SIM","NÃO")</f>
        <v>NÃO</v>
      </c>
      <c r="AF47" s="83" t="str">
        <f>IF(K47='Pag 08_Legendas'!B$7,"SIM","NÃO")</f>
        <v>NÃO</v>
      </c>
      <c r="AG47" s="95">
        <f t="shared" si="4"/>
        <v>0</v>
      </c>
      <c r="AH47" s="83"/>
      <c r="AI47" s="9"/>
      <c r="AJ47" s="9"/>
      <c r="AK47" s="9"/>
      <c r="AL47" s="9"/>
      <c r="AM47" s="14"/>
    </row>
    <row r="48" spans="1:39" x14ac:dyDescent="0.2">
      <c r="A48" s="44"/>
      <c r="B48" s="45"/>
      <c r="C48" s="46"/>
      <c r="D48" s="45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7"/>
      <c r="P48" s="47"/>
      <c r="Q48" s="47"/>
      <c r="R48" s="47"/>
      <c r="S48" s="47"/>
      <c r="T48" s="47"/>
      <c r="U48" s="55">
        <f t="shared" si="0"/>
        <v>0</v>
      </c>
      <c r="V48" s="46"/>
      <c r="W48" s="121"/>
      <c r="X48" s="125"/>
      <c r="Y48" s="46"/>
      <c r="Z48" s="83" t="str">
        <f t="shared" si="1"/>
        <v>-</v>
      </c>
      <c r="AA48" s="83" t="str">
        <f>IF(K48='Pag 08_Legendas'!B$12,"P&amp;D&amp;I","Bolsa e auxílio")</f>
        <v>Bolsa e auxílio</v>
      </c>
      <c r="AB48" s="83" t="str">
        <f t="shared" si="2"/>
        <v>NÃO</v>
      </c>
      <c r="AC48" s="83" t="str">
        <f t="shared" si="3"/>
        <v>NÃO</v>
      </c>
      <c r="AD48" s="83" t="str">
        <f>IF(K48='Pag 08_Legendas'!B$12,"SIM","NÃO")</f>
        <v>NÃO</v>
      </c>
      <c r="AE48" s="83" t="str">
        <f>IF(K48='Pag 08_Legendas'!B$11,"SIM","NÃO")</f>
        <v>NÃO</v>
      </c>
      <c r="AF48" s="83" t="str">
        <f>IF(K48='Pag 08_Legendas'!B$7,"SIM","NÃO")</f>
        <v>NÃO</v>
      </c>
      <c r="AG48" s="95">
        <f t="shared" si="4"/>
        <v>0</v>
      </c>
      <c r="AH48" s="83"/>
      <c r="AI48" s="9"/>
      <c r="AJ48" s="9"/>
      <c r="AK48" s="9"/>
      <c r="AL48" s="9"/>
      <c r="AM48" s="14"/>
    </row>
    <row r="49" spans="1:39" x14ac:dyDescent="0.2">
      <c r="A49" s="44"/>
      <c r="B49" s="45"/>
      <c r="C49" s="46"/>
      <c r="D49" s="45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7"/>
      <c r="P49" s="47"/>
      <c r="Q49" s="47"/>
      <c r="R49" s="47"/>
      <c r="S49" s="47"/>
      <c r="T49" s="47"/>
      <c r="U49" s="55">
        <f t="shared" si="0"/>
        <v>0</v>
      </c>
      <c r="V49" s="46"/>
      <c r="W49" s="121"/>
      <c r="X49" s="125"/>
      <c r="Y49" s="46"/>
      <c r="Z49" s="83" t="str">
        <f t="shared" si="1"/>
        <v>-</v>
      </c>
      <c r="AA49" s="83" t="str">
        <f>IF(K49='Pag 08_Legendas'!B$12,"P&amp;D&amp;I","Bolsa e auxílio")</f>
        <v>Bolsa e auxílio</v>
      </c>
      <c r="AB49" s="83" t="str">
        <f t="shared" si="2"/>
        <v>NÃO</v>
      </c>
      <c r="AC49" s="83" t="str">
        <f t="shared" si="3"/>
        <v>NÃO</v>
      </c>
      <c r="AD49" s="83" t="str">
        <f>IF(K49='Pag 08_Legendas'!B$12,"SIM","NÃO")</f>
        <v>NÃO</v>
      </c>
      <c r="AE49" s="83" t="str">
        <f>IF(K49='Pag 08_Legendas'!B$11,"SIM","NÃO")</f>
        <v>NÃO</v>
      </c>
      <c r="AF49" s="83" t="str">
        <f>IF(K49='Pag 08_Legendas'!B$7,"SIM","NÃO")</f>
        <v>NÃO</v>
      </c>
      <c r="AG49" s="95">
        <f t="shared" si="4"/>
        <v>0</v>
      </c>
      <c r="AH49" s="83"/>
      <c r="AI49" s="9"/>
      <c r="AJ49" s="9"/>
      <c r="AK49" s="9"/>
      <c r="AL49" s="9"/>
      <c r="AM49" s="14"/>
    </row>
    <row r="50" spans="1:39" x14ac:dyDescent="0.2">
      <c r="A50" s="44"/>
      <c r="B50" s="45"/>
      <c r="C50" s="46"/>
      <c r="D50" s="45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7"/>
      <c r="P50" s="47"/>
      <c r="Q50" s="47"/>
      <c r="R50" s="47"/>
      <c r="S50" s="47"/>
      <c r="T50" s="47"/>
      <c r="U50" s="55">
        <f t="shared" si="0"/>
        <v>0</v>
      </c>
      <c r="V50" s="46"/>
      <c r="W50" s="121"/>
      <c r="X50" s="125"/>
      <c r="Y50" s="46"/>
      <c r="Z50" s="83" t="str">
        <f t="shared" si="1"/>
        <v>-</v>
      </c>
      <c r="AA50" s="83" t="str">
        <f>IF(K50='Pag 08_Legendas'!B$12,"P&amp;D&amp;I","Bolsa e auxílio")</f>
        <v>Bolsa e auxílio</v>
      </c>
      <c r="AB50" s="83" t="str">
        <f t="shared" si="2"/>
        <v>NÃO</v>
      </c>
      <c r="AC50" s="83" t="str">
        <f t="shared" si="3"/>
        <v>NÃO</v>
      </c>
      <c r="AD50" s="83" t="str">
        <f>IF(K50='Pag 08_Legendas'!B$12,"SIM","NÃO")</f>
        <v>NÃO</v>
      </c>
      <c r="AE50" s="83" t="str">
        <f>IF(K50='Pag 08_Legendas'!B$11,"SIM","NÃO")</f>
        <v>NÃO</v>
      </c>
      <c r="AF50" s="83" t="str">
        <f>IF(K50='Pag 08_Legendas'!B$7,"SIM","NÃO")</f>
        <v>NÃO</v>
      </c>
      <c r="AG50" s="95">
        <f t="shared" si="4"/>
        <v>0</v>
      </c>
      <c r="AH50" s="83"/>
      <c r="AI50" s="9"/>
      <c r="AJ50" s="9"/>
      <c r="AK50" s="9"/>
      <c r="AL50" s="9"/>
      <c r="AM50" s="14"/>
    </row>
    <row r="51" spans="1:39" x14ac:dyDescent="0.2">
      <c r="A51" s="44"/>
      <c r="B51" s="45"/>
      <c r="C51" s="46"/>
      <c r="D51" s="45"/>
      <c r="E51" s="46"/>
      <c r="F51" s="50"/>
      <c r="G51" s="46"/>
      <c r="H51" s="46"/>
      <c r="I51" s="46"/>
      <c r="J51" s="46"/>
      <c r="K51" s="46"/>
      <c r="L51" s="46"/>
      <c r="M51" s="46"/>
      <c r="N51" s="46"/>
      <c r="O51" s="47"/>
      <c r="P51" s="47"/>
      <c r="Q51" s="47"/>
      <c r="R51" s="47"/>
      <c r="S51" s="47"/>
      <c r="T51" s="47"/>
      <c r="U51" s="55">
        <f t="shared" si="0"/>
        <v>0</v>
      </c>
      <c r="V51" s="46"/>
      <c r="W51" s="121"/>
      <c r="X51" s="125"/>
      <c r="Y51" s="46"/>
      <c r="Z51" s="83" t="str">
        <f t="shared" si="1"/>
        <v>-</v>
      </c>
      <c r="AA51" s="83" t="str">
        <f>IF(K51='Pag 08_Legendas'!B$12,"P&amp;D&amp;I","Bolsa e auxílio")</f>
        <v>Bolsa e auxílio</v>
      </c>
      <c r="AB51" s="83" t="str">
        <f t="shared" si="2"/>
        <v>NÃO</v>
      </c>
      <c r="AC51" s="83" t="str">
        <f t="shared" si="3"/>
        <v>NÃO</v>
      </c>
      <c r="AD51" s="83" t="str">
        <f>IF(K51='Pag 08_Legendas'!B$12,"SIM","NÃO")</f>
        <v>NÃO</v>
      </c>
      <c r="AE51" s="83" t="str">
        <f>IF(K51='Pag 08_Legendas'!B$11,"SIM","NÃO")</f>
        <v>NÃO</v>
      </c>
      <c r="AF51" s="83" t="str">
        <f>IF(K51='Pag 08_Legendas'!B$7,"SIM","NÃO")</f>
        <v>NÃO</v>
      </c>
      <c r="AG51" s="95">
        <f t="shared" si="4"/>
        <v>0</v>
      </c>
      <c r="AH51" s="83"/>
      <c r="AI51" s="9"/>
      <c r="AJ51" s="9"/>
      <c r="AK51" s="9"/>
      <c r="AL51" s="9"/>
      <c r="AM51" s="14"/>
    </row>
    <row r="52" spans="1:39" x14ac:dyDescent="0.2">
      <c r="A52" s="44"/>
      <c r="B52" s="45"/>
      <c r="C52" s="46"/>
      <c r="D52" s="45"/>
      <c r="E52" s="46"/>
      <c r="F52" s="50"/>
      <c r="G52" s="46"/>
      <c r="H52" s="46"/>
      <c r="I52" s="46"/>
      <c r="J52" s="46"/>
      <c r="K52" s="46"/>
      <c r="L52" s="46"/>
      <c r="M52" s="46"/>
      <c r="N52" s="46"/>
      <c r="O52" s="47"/>
      <c r="P52" s="47"/>
      <c r="Q52" s="47"/>
      <c r="R52" s="47"/>
      <c r="S52" s="47"/>
      <c r="T52" s="47"/>
      <c r="U52" s="55">
        <f t="shared" si="0"/>
        <v>0</v>
      </c>
      <c r="V52" s="46"/>
      <c r="W52" s="121"/>
      <c r="X52" s="125"/>
      <c r="Y52" s="46"/>
      <c r="Z52" s="83" t="str">
        <f t="shared" si="1"/>
        <v>-</v>
      </c>
      <c r="AA52" s="83" t="str">
        <f>IF(K52='Pag 08_Legendas'!B$12,"P&amp;D&amp;I","Bolsa e auxílio")</f>
        <v>Bolsa e auxílio</v>
      </c>
      <c r="AB52" s="83" t="str">
        <f t="shared" si="2"/>
        <v>NÃO</v>
      </c>
      <c r="AC52" s="83" t="str">
        <f t="shared" si="3"/>
        <v>NÃO</v>
      </c>
      <c r="AD52" s="83" t="str">
        <f>IF(K52='Pag 08_Legendas'!B$12,"SIM","NÃO")</f>
        <v>NÃO</v>
      </c>
      <c r="AE52" s="83" t="str">
        <f>IF(K52='Pag 08_Legendas'!B$11,"SIM","NÃO")</f>
        <v>NÃO</v>
      </c>
      <c r="AF52" s="83" t="str">
        <f>IF(K52='Pag 08_Legendas'!B$7,"SIM","NÃO")</f>
        <v>NÃO</v>
      </c>
      <c r="AG52" s="95">
        <f t="shared" si="4"/>
        <v>0</v>
      </c>
      <c r="AH52" s="83"/>
      <c r="AI52" s="9"/>
      <c r="AJ52" s="9"/>
      <c r="AK52" s="9"/>
      <c r="AL52" s="9"/>
      <c r="AM52" s="14"/>
    </row>
    <row r="53" spans="1:39" x14ac:dyDescent="0.2">
      <c r="A53" s="44"/>
      <c r="B53" s="45"/>
      <c r="C53" s="46"/>
      <c r="D53" s="45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7"/>
      <c r="P53" s="47"/>
      <c r="Q53" s="47"/>
      <c r="R53" s="47"/>
      <c r="S53" s="47"/>
      <c r="T53" s="47"/>
      <c r="U53" s="55">
        <f t="shared" si="0"/>
        <v>0</v>
      </c>
      <c r="V53" s="46"/>
      <c r="W53" s="121"/>
      <c r="X53" s="125"/>
      <c r="Y53" s="46"/>
      <c r="Z53" s="83" t="str">
        <f t="shared" si="1"/>
        <v>-</v>
      </c>
      <c r="AA53" s="83" t="str">
        <f>IF(K53='Pag 08_Legendas'!B$12,"P&amp;D&amp;I","Bolsa e auxílio")</f>
        <v>Bolsa e auxílio</v>
      </c>
      <c r="AB53" s="83" t="str">
        <f t="shared" si="2"/>
        <v>NÃO</v>
      </c>
      <c r="AC53" s="83" t="str">
        <f t="shared" si="3"/>
        <v>NÃO</v>
      </c>
      <c r="AD53" s="83" t="str">
        <f>IF(K53='Pag 08_Legendas'!B$12,"SIM","NÃO")</f>
        <v>NÃO</v>
      </c>
      <c r="AE53" s="83" t="str">
        <f>IF(K53='Pag 08_Legendas'!B$11,"SIM","NÃO")</f>
        <v>NÃO</v>
      </c>
      <c r="AF53" s="83" t="str">
        <f>IF(K53='Pag 08_Legendas'!B$7,"SIM","NÃO")</f>
        <v>NÃO</v>
      </c>
      <c r="AG53" s="95">
        <f t="shared" si="4"/>
        <v>0</v>
      </c>
      <c r="AH53" s="83"/>
      <c r="AI53" s="9"/>
      <c r="AJ53" s="9"/>
      <c r="AK53" s="9"/>
      <c r="AL53" s="9"/>
      <c r="AM53" s="14"/>
    </row>
    <row r="54" spans="1:39" x14ac:dyDescent="0.2">
      <c r="A54" s="44"/>
      <c r="B54" s="45"/>
      <c r="C54" s="46"/>
      <c r="D54" s="45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7"/>
      <c r="P54" s="47"/>
      <c r="Q54" s="47"/>
      <c r="R54" s="47"/>
      <c r="S54" s="47"/>
      <c r="T54" s="47"/>
      <c r="U54" s="55">
        <f t="shared" si="0"/>
        <v>0</v>
      </c>
      <c r="V54" s="46"/>
      <c r="W54" s="121"/>
      <c r="X54" s="125"/>
      <c r="Y54" s="46"/>
      <c r="Z54" s="83" t="str">
        <f t="shared" si="1"/>
        <v>-</v>
      </c>
      <c r="AA54" s="83" t="str">
        <f>IF(K54='Pag 08_Legendas'!B$12,"P&amp;D&amp;I","Bolsa e auxílio")</f>
        <v>Bolsa e auxílio</v>
      </c>
      <c r="AB54" s="83" t="str">
        <f t="shared" si="2"/>
        <v>NÃO</v>
      </c>
      <c r="AC54" s="83" t="str">
        <f t="shared" si="3"/>
        <v>NÃO</v>
      </c>
      <c r="AD54" s="83" t="str">
        <f>IF(K54='Pag 08_Legendas'!B$12,"SIM","NÃO")</f>
        <v>NÃO</v>
      </c>
      <c r="AE54" s="83" t="str">
        <f>IF(K54='Pag 08_Legendas'!B$11,"SIM","NÃO")</f>
        <v>NÃO</v>
      </c>
      <c r="AF54" s="83" t="str">
        <f>IF(K54='Pag 08_Legendas'!B$7,"SIM","NÃO")</f>
        <v>NÃO</v>
      </c>
      <c r="AG54" s="95">
        <f t="shared" si="4"/>
        <v>0</v>
      </c>
      <c r="AH54" s="83"/>
      <c r="AI54" s="9"/>
      <c r="AJ54" s="9"/>
      <c r="AK54" s="9"/>
      <c r="AL54" s="9"/>
      <c r="AM54" s="14"/>
    </row>
    <row r="55" spans="1:39" x14ac:dyDescent="0.2">
      <c r="A55" s="44"/>
      <c r="B55" s="45"/>
      <c r="C55" s="46"/>
      <c r="D55" s="45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7"/>
      <c r="P55" s="47"/>
      <c r="Q55" s="47"/>
      <c r="R55" s="47"/>
      <c r="S55" s="47"/>
      <c r="T55" s="47"/>
      <c r="U55" s="55">
        <f t="shared" si="0"/>
        <v>0</v>
      </c>
      <c r="V55" s="46"/>
      <c r="W55" s="121"/>
      <c r="X55" s="125"/>
      <c r="Y55" s="46"/>
      <c r="Z55" s="83" t="str">
        <f t="shared" si="1"/>
        <v>-</v>
      </c>
      <c r="AA55" s="83" t="str">
        <f>IF(K55='Pag 08_Legendas'!B$12,"P&amp;D&amp;I","Bolsa e auxílio")</f>
        <v>Bolsa e auxílio</v>
      </c>
      <c r="AB55" s="83" t="str">
        <f t="shared" si="2"/>
        <v>NÃO</v>
      </c>
      <c r="AC55" s="83" t="str">
        <f t="shared" si="3"/>
        <v>NÃO</v>
      </c>
      <c r="AD55" s="83" t="str">
        <f>IF(K55='Pag 08_Legendas'!B$12,"SIM","NÃO")</f>
        <v>NÃO</v>
      </c>
      <c r="AE55" s="83" t="str">
        <f>IF(K55='Pag 08_Legendas'!B$11,"SIM","NÃO")</f>
        <v>NÃO</v>
      </c>
      <c r="AF55" s="83" t="str">
        <f>IF(K55='Pag 08_Legendas'!B$7,"SIM","NÃO")</f>
        <v>NÃO</v>
      </c>
      <c r="AG55" s="95">
        <f t="shared" si="4"/>
        <v>0</v>
      </c>
      <c r="AH55" s="83"/>
      <c r="AI55" s="9"/>
      <c r="AJ55" s="9"/>
      <c r="AK55" s="9"/>
      <c r="AL55" s="9"/>
      <c r="AM55" s="14"/>
    </row>
    <row r="56" spans="1:39" x14ac:dyDescent="0.2">
      <c r="A56" s="44"/>
      <c r="B56" s="45"/>
      <c r="C56" s="46"/>
      <c r="D56" s="45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7"/>
      <c r="P56" s="47"/>
      <c r="Q56" s="47"/>
      <c r="R56" s="47"/>
      <c r="S56" s="47"/>
      <c r="T56" s="47"/>
      <c r="U56" s="55">
        <f t="shared" si="0"/>
        <v>0</v>
      </c>
      <c r="V56" s="46"/>
      <c r="W56" s="121"/>
      <c r="X56" s="125"/>
      <c r="Y56" s="46"/>
      <c r="Z56" s="83" t="str">
        <f t="shared" si="1"/>
        <v>-</v>
      </c>
      <c r="AA56" s="83" t="str">
        <f>IF(K56='Pag 08_Legendas'!B$12,"P&amp;D&amp;I","Bolsa e auxílio")</f>
        <v>Bolsa e auxílio</v>
      </c>
      <c r="AB56" s="83" t="str">
        <f t="shared" si="2"/>
        <v>NÃO</v>
      </c>
      <c r="AC56" s="83" t="str">
        <f t="shared" si="3"/>
        <v>NÃO</v>
      </c>
      <c r="AD56" s="83" t="str">
        <f>IF(K56='Pag 08_Legendas'!B$12,"SIM","NÃO")</f>
        <v>NÃO</v>
      </c>
      <c r="AE56" s="83" t="str">
        <f>IF(K56='Pag 08_Legendas'!B$11,"SIM","NÃO")</f>
        <v>NÃO</v>
      </c>
      <c r="AF56" s="83" t="str">
        <f>IF(K56='Pag 08_Legendas'!B$7,"SIM","NÃO")</f>
        <v>NÃO</v>
      </c>
      <c r="AG56" s="95">
        <f t="shared" si="4"/>
        <v>0</v>
      </c>
      <c r="AH56" s="83"/>
      <c r="AI56" s="9"/>
      <c r="AJ56" s="9"/>
      <c r="AK56" s="9"/>
      <c r="AL56" s="9"/>
      <c r="AM56" s="14"/>
    </row>
    <row r="57" spans="1:39" x14ac:dyDescent="0.2">
      <c r="A57" s="44"/>
      <c r="B57" s="45"/>
      <c r="C57" s="46"/>
      <c r="D57" s="45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7"/>
      <c r="P57" s="47"/>
      <c r="Q57" s="47"/>
      <c r="R57" s="47"/>
      <c r="S57" s="47"/>
      <c r="T57" s="47"/>
      <c r="U57" s="55">
        <f t="shared" si="0"/>
        <v>0</v>
      </c>
      <c r="V57" s="46"/>
      <c r="W57" s="121"/>
      <c r="X57" s="125"/>
      <c r="Y57" s="46"/>
      <c r="Z57" s="83" t="str">
        <f t="shared" si="1"/>
        <v>-</v>
      </c>
      <c r="AA57" s="83" t="str">
        <f>IF(K57='Pag 08_Legendas'!B$12,"P&amp;D&amp;I","Bolsa e auxílio")</f>
        <v>Bolsa e auxílio</v>
      </c>
      <c r="AB57" s="83" t="str">
        <f t="shared" si="2"/>
        <v>NÃO</v>
      </c>
      <c r="AC57" s="83" t="str">
        <f t="shared" si="3"/>
        <v>NÃO</v>
      </c>
      <c r="AD57" s="83" t="str">
        <f>IF(K57='Pag 08_Legendas'!B$12,"SIM","NÃO")</f>
        <v>NÃO</v>
      </c>
      <c r="AE57" s="83" t="str">
        <f>IF(K57='Pag 08_Legendas'!B$11,"SIM","NÃO")</f>
        <v>NÃO</v>
      </c>
      <c r="AF57" s="83" t="str">
        <f>IF(K57='Pag 08_Legendas'!B$7,"SIM","NÃO")</f>
        <v>NÃO</v>
      </c>
      <c r="AG57" s="95">
        <f t="shared" si="4"/>
        <v>0</v>
      </c>
      <c r="AH57" s="83"/>
      <c r="AI57" s="9"/>
      <c r="AJ57" s="9"/>
      <c r="AK57" s="9"/>
      <c r="AL57" s="9"/>
      <c r="AM57" s="14"/>
    </row>
    <row r="58" spans="1:39" x14ac:dyDescent="0.2">
      <c r="A58" s="44"/>
      <c r="B58" s="45"/>
      <c r="C58" s="46"/>
      <c r="D58" s="45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7"/>
      <c r="P58" s="47"/>
      <c r="Q58" s="47"/>
      <c r="R58" s="47"/>
      <c r="S58" s="47"/>
      <c r="T58" s="47"/>
      <c r="U58" s="55">
        <f t="shared" si="0"/>
        <v>0</v>
      </c>
      <c r="V58" s="46"/>
      <c r="W58" s="121"/>
      <c r="X58" s="125"/>
      <c r="Y58" s="46"/>
      <c r="Z58" s="83" t="str">
        <f t="shared" si="1"/>
        <v>-</v>
      </c>
      <c r="AA58" s="83" t="str">
        <f>IF(K58='Pag 08_Legendas'!B$12,"P&amp;D&amp;I","Bolsa e auxílio")</f>
        <v>Bolsa e auxílio</v>
      </c>
      <c r="AB58" s="83" t="str">
        <f t="shared" si="2"/>
        <v>NÃO</v>
      </c>
      <c r="AC58" s="83" t="str">
        <f t="shared" si="3"/>
        <v>NÃO</v>
      </c>
      <c r="AD58" s="83" t="str">
        <f>IF(K58='Pag 08_Legendas'!B$12,"SIM","NÃO")</f>
        <v>NÃO</v>
      </c>
      <c r="AE58" s="83" t="str">
        <f>IF(K58='Pag 08_Legendas'!B$11,"SIM","NÃO")</f>
        <v>NÃO</v>
      </c>
      <c r="AF58" s="83" t="str">
        <f>IF(K58='Pag 08_Legendas'!B$7,"SIM","NÃO")</f>
        <v>NÃO</v>
      </c>
      <c r="AG58" s="95">
        <f t="shared" si="4"/>
        <v>0</v>
      </c>
      <c r="AH58" s="83"/>
      <c r="AI58" s="9"/>
      <c r="AJ58" s="9"/>
      <c r="AK58" s="9"/>
      <c r="AL58" s="9"/>
      <c r="AM58" s="14"/>
    </row>
    <row r="59" spans="1:39" x14ac:dyDescent="0.2">
      <c r="A59" s="44"/>
      <c r="B59" s="45"/>
      <c r="C59" s="46"/>
      <c r="D59" s="45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7"/>
      <c r="P59" s="47"/>
      <c r="Q59" s="47"/>
      <c r="R59" s="47"/>
      <c r="S59" s="47"/>
      <c r="T59" s="47"/>
      <c r="U59" s="55">
        <f t="shared" si="0"/>
        <v>0</v>
      </c>
      <c r="V59" s="46"/>
      <c r="W59" s="121"/>
      <c r="X59" s="125"/>
      <c r="Y59" s="46"/>
      <c r="Z59" s="83" t="str">
        <f t="shared" si="1"/>
        <v>-</v>
      </c>
      <c r="AA59" s="83" t="str">
        <f>IF(K59='Pag 08_Legendas'!B$12,"P&amp;D&amp;I","Bolsa e auxílio")</f>
        <v>Bolsa e auxílio</v>
      </c>
      <c r="AB59" s="83" t="str">
        <f t="shared" si="2"/>
        <v>NÃO</v>
      </c>
      <c r="AC59" s="83" t="str">
        <f t="shared" si="3"/>
        <v>NÃO</v>
      </c>
      <c r="AD59" s="83" t="str">
        <f>IF(K59='Pag 08_Legendas'!B$12,"SIM","NÃO")</f>
        <v>NÃO</v>
      </c>
      <c r="AE59" s="83" t="str">
        <f>IF(K59='Pag 08_Legendas'!B$11,"SIM","NÃO")</f>
        <v>NÃO</v>
      </c>
      <c r="AF59" s="83" t="str">
        <f>IF(K59='Pag 08_Legendas'!B$7,"SIM","NÃO")</f>
        <v>NÃO</v>
      </c>
      <c r="AG59" s="95">
        <f t="shared" si="4"/>
        <v>0</v>
      </c>
      <c r="AH59" s="83"/>
      <c r="AI59" s="9"/>
      <c r="AJ59" s="9"/>
      <c r="AK59" s="9"/>
      <c r="AL59" s="9"/>
      <c r="AM59" s="14"/>
    </row>
    <row r="60" spans="1:39" x14ac:dyDescent="0.2">
      <c r="A60" s="44"/>
      <c r="B60" s="45"/>
      <c r="C60" s="46"/>
      <c r="D60" s="45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7"/>
      <c r="P60" s="47"/>
      <c r="Q60" s="47"/>
      <c r="R60" s="47"/>
      <c r="S60" s="47"/>
      <c r="T60" s="47"/>
      <c r="U60" s="55">
        <f t="shared" si="0"/>
        <v>0</v>
      </c>
      <c r="V60" s="46"/>
      <c r="W60" s="121"/>
      <c r="X60" s="125"/>
      <c r="Y60" s="46"/>
      <c r="Z60" s="83" t="str">
        <f t="shared" si="1"/>
        <v>-</v>
      </c>
      <c r="AA60" s="83" t="str">
        <f>IF(K60='Pag 08_Legendas'!B$12,"P&amp;D&amp;I","Bolsa e auxílio")</f>
        <v>Bolsa e auxílio</v>
      </c>
      <c r="AB60" s="83" t="str">
        <f t="shared" si="2"/>
        <v>NÃO</v>
      </c>
      <c r="AC60" s="83" t="str">
        <f t="shared" si="3"/>
        <v>NÃO</v>
      </c>
      <c r="AD60" s="83" t="str">
        <f>IF(K60='Pag 08_Legendas'!B$12,"SIM","NÃO")</f>
        <v>NÃO</v>
      </c>
      <c r="AE60" s="83" t="str">
        <f>IF(K60='Pag 08_Legendas'!B$11,"SIM","NÃO")</f>
        <v>NÃO</v>
      </c>
      <c r="AF60" s="83" t="str">
        <f>IF(K60='Pag 08_Legendas'!B$7,"SIM","NÃO")</f>
        <v>NÃO</v>
      </c>
      <c r="AG60" s="95">
        <f t="shared" si="4"/>
        <v>0</v>
      </c>
      <c r="AH60" s="83"/>
      <c r="AI60" s="9"/>
      <c r="AJ60" s="9"/>
      <c r="AK60" s="9"/>
      <c r="AL60" s="9"/>
      <c r="AM60" s="14"/>
    </row>
    <row r="61" spans="1:39" x14ac:dyDescent="0.2">
      <c r="A61" s="44"/>
      <c r="B61" s="45"/>
      <c r="C61" s="46"/>
      <c r="D61" s="45"/>
      <c r="E61" s="46"/>
      <c r="F61" s="53"/>
      <c r="G61" s="46"/>
      <c r="H61" s="46"/>
      <c r="I61" s="46"/>
      <c r="J61" s="46"/>
      <c r="K61" s="46"/>
      <c r="L61" s="46"/>
      <c r="M61" s="46"/>
      <c r="N61" s="46"/>
      <c r="O61" s="47"/>
      <c r="P61" s="47"/>
      <c r="Q61" s="47"/>
      <c r="R61" s="47"/>
      <c r="S61" s="47"/>
      <c r="T61" s="47"/>
      <c r="U61" s="55">
        <f t="shared" si="0"/>
        <v>0</v>
      </c>
      <c r="V61" s="46"/>
      <c r="W61" s="121"/>
      <c r="X61" s="125"/>
      <c r="Y61" s="46"/>
      <c r="Z61" s="83" t="str">
        <f t="shared" si="1"/>
        <v>-</v>
      </c>
      <c r="AA61" s="83" t="str">
        <f>IF(K61='Pag 08_Legendas'!B$12,"P&amp;D&amp;I","Bolsa e auxílio")</f>
        <v>Bolsa e auxílio</v>
      </c>
      <c r="AB61" s="83" t="str">
        <f t="shared" si="2"/>
        <v>NÃO</v>
      </c>
      <c r="AC61" s="83" t="str">
        <f t="shared" si="3"/>
        <v>NÃO</v>
      </c>
      <c r="AD61" s="83" t="str">
        <f>IF(K61='Pag 08_Legendas'!B$12,"SIM","NÃO")</f>
        <v>NÃO</v>
      </c>
      <c r="AE61" s="83" t="str">
        <f>IF(K61='Pag 08_Legendas'!B$11,"SIM","NÃO")</f>
        <v>NÃO</v>
      </c>
      <c r="AF61" s="83" t="str">
        <f>IF(K61='Pag 08_Legendas'!B$7,"SIM","NÃO")</f>
        <v>NÃO</v>
      </c>
      <c r="AG61" s="95">
        <f t="shared" si="4"/>
        <v>0</v>
      </c>
      <c r="AH61" s="83"/>
      <c r="AI61" s="9"/>
      <c r="AJ61" s="9"/>
      <c r="AK61" s="9"/>
      <c r="AL61" s="9"/>
      <c r="AM61" s="14"/>
    </row>
    <row r="62" spans="1:39" x14ac:dyDescent="0.2">
      <c r="A62" s="44"/>
      <c r="B62" s="45"/>
      <c r="C62" s="46"/>
      <c r="D62" s="45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7"/>
      <c r="P62" s="47"/>
      <c r="Q62" s="47"/>
      <c r="R62" s="47"/>
      <c r="S62" s="47"/>
      <c r="T62" s="47"/>
      <c r="U62" s="55">
        <f t="shared" si="0"/>
        <v>0</v>
      </c>
      <c r="V62" s="46"/>
      <c r="W62" s="121"/>
      <c r="X62" s="125"/>
      <c r="Y62" s="46"/>
      <c r="Z62" s="83" t="str">
        <f t="shared" si="1"/>
        <v>-</v>
      </c>
      <c r="AA62" s="83" t="str">
        <f>IF(K62='Pag 08_Legendas'!B$12,"P&amp;D&amp;I","Bolsa e auxílio")</f>
        <v>Bolsa e auxílio</v>
      </c>
      <c r="AB62" s="83" t="str">
        <f t="shared" si="2"/>
        <v>NÃO</v>
      </c>
      <c r="AC62" s="83" t="str">
        <f t="shared" si="3"/>
        <v>NÃO</v>
      </c>
      <c r="AD62" s="83" t="str">
        <f>IF(K62='Pag 08_Legendas'!B$12,"SIM","NÃO")</f>
        <v>NÃO</v>
      </c>
      <c r="AE62" s="83" t="str">
        <f>IF(K62='Pag 08_Legendas'!B$11,"SIM","NÃO")</f>
        <v>NÃO</v>
      </c>
      <c r="AF62" s="83" t="str">
        <f>IF(K62='Pag 08_Legendas'!B$7,"SIM","NÃO")</f>
        <v>NÃO</v>
      </c>
      <c r="AG62" s="95">
        <f t="shared" si="4"/>
        <v>0</v>
      </c>
      <c r="AH62" s="83"/>
      <c r="AI62" s="9"/>
      <c r="AJ62" s="9"/>
      <c r="AK62" s="9"/>
      <c r="AL62" s="9"/>
      <c r="AM62" s="14"/>
    </row>
    <row r="63" spans="1:39" x14ac:dyDescent="0.2">
      <c r="A63" s="44"/>
      <c r="B63" s="45"/>
      <c r="C63" s="46"/>
      <c r="D63" s="45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7"/>
      <c r="P63" s="47"/>
      <c r="Q63" s="47"/>
      <c r="R63" s="47"/>
      <c r="S63" s="47"/>
      <c r="T63" s="47"/>
      <c r="U63" s="55">
        <f t="shared" si="0"/>
        <v>0</v>
      </c>
      <c r="V63" s="46"/>
      <c r="W63" s="121"/>
      <c r="X63" s="125"/>
      <c r="Y63" s="46"/>
      <c r="Z63" s="83" t="str">
        <f t="shared" si="1"/>
        <v>-</v>
      </c>
      <c r="AA63" s="83" t="str">
        <f>IF(K63='Pag 08_Legendas'!B$12,"P&amp;D&amp;I","Bolsa e auxílio")</f>
        <v>Bolsa e auxílio</v>
      </c>
      <c r="AB63" s="83" t="str">
        <f t="shared" si="2"/>
        <v>NÃO</v>
      </c>
      <c r="AC63" s="83" t="str">
        <f t="shared" si="3"/>
        <v>NÃO</v>
      </c>
      <c r="AD63" s="83" t="str">
        <f>IF(K63='Pag 08_Legendas'!B$12,"SIM","NÃO")</f>
        <v>NÃO</v>
      </c>
      <c r="AE63" s="83" t="str">
        <f>IF(K63='Pag 08_Legendas'!B$11,"SIM","NÃO")</f>
        <v>NÃO</v>
      </c>
      <c r="AF63" s="83" t="str">
        <f>IF(K63='Pag 08_Legendas'!B$7,"SIM","NÃO")</f>
        <v>NÃO</v>
      </c>
      <c r="AG63" s="95">
        <f t="shared" si="4"/>
        <v>0</v>
      </c>
      <c r="AH63" s="83"/>
      <c r="AI63" s="9"/>
      <c r="AJ63" s="9"/>
      <c r="AK63" s="9"/>
      <c r="AL63" s="9"/>
      <c r="AM63" s="14"/>
    </row>
    <row r="64" spans="1:39" x14ac:dyDescent="0.2">
      <c r="A64" s="44"/>
      <c r="B64" s="45"/>
      <c r="C64" s="46"/>
      <c r="D64" s="45"/>
      <c r="E64" s="46"/>
      <c r="F64" s="53"/>
      <c r="G64" s="46"/>
      <c r="H64" s="46"/>
      <c r="I64" s="46"/>
      <c r="J64" s="46"/>
      <c r="K64" s="46"/>
      <c r="L64" s="46"/>
      <c r="M64" s="46"/>
      <c r="N64" s="46"/>
      <c r="O64" s="47"/>
      <c r="P64" s="47"/>
      <c r="Q64" s="47"/>
      <c r="R64" s="47"/>
      <c r="S64" s="47"/>
      <c r="T64" s="47"/>
      <c r="U64" s="55">
        <f t="shared" si="0"/>
        <v>0</v>
      </c>
      <c r="V64" s="46"/>
      <c r="W64" s="121"/>
      <c r="X64" s="125"/>
      <c r="Y64" s="46"/>
      <c r="Z64" s="83" t="str">
        <f t="shared" si="1"/>
        <v>-</v>
      </c>
      <c r="AA64" s="83" t="str">
        <f>IF(K64='Pag 08_Legendas'!B$12,"P&amp;D&amp;I","Bolsa e auxílio")</f>
        <v>Bolsa e auxílio</v>
      </c>
      <c r="AB64" s="83" t="str">
        <f t="shared" si="2"/>
        <v>NÃO</v>
      </c>
      <c r="AC64" s="83" t="str">
        <f t="shared" si="3"/>
        <v>NÃO</v>
      </c>
      <c r="AD64" s="83" t="str">
        <f>IF(K64='Pag 08_Legendas'!B$12,"SIM","NÃO")</f>
        <v>NÃO</v>
      </c>
      <c r="AE64" s="83" t="str">
        <f>IF(K64='Pag 08_Legendas'!B$11,"SIM","NÃO")</f>
        <v>NÃO</v>
      </c>
      <c r="AF64" s="83" t="str">
        <f>IF(K64='Pag 08_Legendas'!B$7,"SIM","NÃO")</f>
        <v>NÃO</v>
      </c>
      <c r="AG64" s="95">
        <f t="shared" si="4"/>
        <v>0</v>
      </c>
      <c r="AH64" s="83"/>
      <c r="AI64" s="9"/>
      <c r="AJ64" s="9"/>
      <c r="AK64" s="9"/>
      <c r="AL64" s="9"/>
      <c r="AM64" s="14"/>
    </row>
    <row r="65" spans="1:39" x14ac:dyDescent="0.2">
      <c r="A65" s="44"/>
      <c r="B65" s="45"/>
      <c r="C65" s="46"/>
      <c r="D65" s="45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7"/>
      <c r="P65" s="47"/>
      <c r="Q65" s="47"/>
      <c r="R65" s="47"/>
      <c r="S65" s="47"/>
      <c r="T65" s="47"/>
      <c r="U65" s="55">
        <f t="shared" si="0"/>
        <v>0</v>
      </c>
      <c r="V65" s="46"/>
      <c r="W65" s="121"/>
      <c r="X65" s="125"/>
      <c r="Y65" s="46"/>
      <c r="Z65" s="83" t="str">
        <f t="shared" si="1"/>
        <v>-</v>
      </c>
      <c r="AA65" s="83" t="str">
        <f>IF(K65='Pag 08_Legendas'!B$12,"P&amp;D&amp;I","Bolsa e auxílio")</f>
        <v>Bolsa e auxílio</v>
      </c>
      <c r="AB65" s="83" t="str">
        <f t="shared" si="2"/>
        <v>NÃO</v>
      </c>
      <c r="AC65" s="83" t="str">
        <f t="shared" si="3"/>
        <v>NÃO</v>
      </c>
      <c r="AD65" s="83" t="str">
        <f>IF(K65='Pag 08_Legendas'!B$12,"SIM","NÃO")</f>
        <v>NÃO</v>
      </c>
      <c r="AE65" s="83" t="str">
        <f>IF(K65='Pag 08_Legendas'!B$11,"SIM","NÃO")</f>
        <v>NÃO</v>
      </c>
      <c r="AF65" s="83" t="str">
        <f>IF(K65='Pag 08_Legendas'!B$7,"SIM","NÃO")</f>
        <v>NÃO</v>
      </c>
      <c r="AG65" s="95">
        <f t="shared" si="4"/>
        <v>0</v>
      </c>
      <c r="AH65" s="83"/>
      <c r="AI65" s="9"/>
      <c r="AJ65" s="9"/>
      <c r="AK65" s="9"/>
      <c r="AL65" s="9"/>
      <c r="AM65" s="14"/>
    </row>
    <row r="66" spans="1:39" x14ac:dyDescent="0.2">
      <c r="A66" s="44"/>
      <c r="B66" s="45"/>
      <c r="C66" s="46"/>
      <c r="D66" s="45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7"/>
      <c r="P66" s="47"/>
      <c r="Q66" s="47"/>
      <c r="R66" s="47"/>
      <c r="S66" s="47"/>
      <c r="T66" s="47"/>
      <c r="U66" s="55">
        <f t="shared" si="0"/>
        <v>0</v>
      </c>
      <c r="V66" s="46"/>
      <c r="W66" s="121"/>
      <c r="X66" s="125"/>
      <c r="Y66" s="46"/>
      <c r="Z66" s="83" t="str">
        <f t="shared" si="1"/>
        <v>-</v>
      </c>
      <c r="AA66" s="83" t="str">
        <f>IF(K66='Pag 08_Legendas'!B$12,"P&amp;D&amp;I","Bolsa e auxílio")</f>
        <v>Bolsa e auxílio</v>
      </c>
      <c r="AB66" s="83" t="str">
        <f t="shared" si="2"/>
        <v>NÃO</v>
      </c>
      <c r="AC66" s="83" t="str">
        <f t="shared" si="3"/>
        <v>NÃO</v>
      </c>
      <c r="AD66" s="83" t="str">
        <f>IF(K66='Pag 08_Legendas'!B$12,"SIM","NÃO")</f>
        <v>NÃO</v>
      </c>
      <c r="AE66" s="83" t="str">
        <f>IF(K66='Pag 08_Legendas'!B$11,"SIM","NÃO")</f>
        <v>NÃO</v>
      </c>
      <c r="AF66" s="83" t="str">
        <f>IF(K66='Pag 08_Legendas'!B$7,"SIM","NÃO")</f>
        <v>NÃO</v>
      </c>
      <c r="AG66" s="95">
        <f t="shared" si="4"/>
        <v>0</v>
      </c>
      <c r="AH66" s="83"/>
      <c r="AI66" s="9"/>
      <c r="AJ66" s="9"/>
      <c r="AK66" s="9"/>
      <c r="AL66" s="9"/>
      <c r="AM66" s="14"/>
    </row>
    <row r="67" spans="1:39" x14ac:dyDescent="0.2">
      <c r="A67" s="44"/>
      <c r="B67" s="45"/>
      <c r="C67" s="46"/>
      <c r="D67" s="45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7"/>
      <c r="P67" s="47"/>
      <c r="Q67" s="47"/>
      <c r="R67" s="47"/>
      <c r="S67" s="47"/>
      <c r="T67" s="47"/>
      <c r="U67" s="55">
        <f t="shared" si="0"/>
        <v>0</v>
      </c>
      <c r="V67" s="46"/>
      <c r="W67" s="121"/>
      <c r="X67" s="125"/>
      <c r="Y67" s="46"/>
      <c r="Z67" s="83" t="str">
        <f t="shared" si="1"/>
        <v>-</v>
      </c>
      <c r="AA67" s="83" t="str">
        <f>IF(K67='Pag 08_Legendas'!B$12,"P&amp;D&amp;I","Bolsa e auxílio")</f>
        <v>Bolsa e auxílio</v>
      </c>
      <c r="AB67" s="83" t="str">
        <f t="shared" si="2"/>
        <v>NÃO</v>
      </c>
      <c r="AC67" s="83" t="str">
        <f t="shared" si="3"/>
        <v>NÃO</v>
      </c>
      <c r="AD67" s="83" t="str">
        <f>IF(K67='Pag 08_Legendas'!B$12,"SIM","NÃO")</f>
        <v>NÃO</v>
      </c>
      <c r="AE67" s="83" t="str">
        <f>IF(K67='Pag 08_Legendas'!B$11,"SIM","NÃO")</f>
        <v>NÃO</v>
      </c>
      <c r="AF67" s="83" t="str">
        <f>IF(K67='Pag 08_Legendas'!B$7,"SIM","NÃO")</f>
        <v>NÃO</v>
      </c>
      <c r="AG67" s="95">
        <f t="shared" si="4"/>
        <v>0</v>
      </c>
      <c r="AH67" s="83"/>
      <c r="AI67" s="9"/>
      <c r="AJ67" s="9"/>
      <c r="AK67" s="9"/>
      <c r="AL67" s="9"/>
      <c r="AM67" s="14"/>
    </row>
    <row r="68" spans="1:39" x14ac:dyDescent="0.2">
      <c r="A68" s="44"/>
      <c r="B68" s="45"/>
      <c r="C68" s="46"/>
      <c r="D68" s="45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7"/>
      <c r="P68" s="47"/>
      <c r="Q68" s="47"/>
      <c r="R68" s="47"/>
      <c r="S68" s="47"/>
      <c r="T68" s="47"/>
      <c r="U68" s="55">
        <f t="shared" si="0"/>
        <v>0</v>
      </c>
      <c r="V68" s="46"/>
      <c r="W68" s="121"/>
      <c r="X68" s="125"/>
      <c r="Y68" s="46"/>
      <c r="Z68" s="83" t="str">
        <f t="shared" si="1"/>
        <v>-</v>
      </c>
      <c r="AA68" s="83" t="str">
        <f>IF(K68='Pag 08_Legendas'!B$12,"P&amp;D&amp;I","Bolsa e auxílio")</f>
        <v>Bolsa e auxílio</v>
      </c>
      <c r="AB68" s="83" t="str">
        <f t="shared" si="2"/>
        <v>NÃO</v>
      </c>
      <c r="AC68" s="83" t="str">
        <f t="shared" si="3"/>
        <v>NÃO</v>
      </c>
      <c r="AD68" s="83" t="str">
        <f>IF(K68='Pag 08_Legendas'!B$12,"SIM","NÃO")</f>
        <v>NÃO</v>
      </c>
      <c r="AE68" s="83" t="str">
        <f>IF(K68='Pag 08_Legendas'!B$11,"SIM","NÃO")</f>
        <v>NÃO</v>
      </c>
      <c r="AF68" s="83" t="str">
        <f>IF(K68='Pag 08_Legendas'!B$7,"SIM","NÃO")</f>
        <v>NÃO</v>
      </c>
      <c r="AG68" s="95">
        <f t="shared" si="4"/>
        <v>0</v>
      </c>
      <c r="AH68" s="83"/>
      <c r="AI68" s="9"/>
      <c r="AJ68" s="9"/>
      <c r="AK68" s="9"/>
      <c r="AL68" s="9"/>
      <c r="AM68" s="14"/>
    </row>
    <row r="69" spans="1:39" x14ac:dyDescent="0.2">
      <c r="A69" s="44"/>
      <c r="B69" s="45"/>
      <c r="C69" s="46"/>
      <c r="D69" s="45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7"/>
      <c r="P69" s="47"/>
      <c r="Q69" s="47"/>
      <c r="R69" s="47"/>
      <c r="S69" s="47"/>
      <c r="T69" s="47"/>
      <c r="U69" s="55">
        <f t="shared" si="0"/>
        <v>0</v>
      </c>
      <c r="V69" s="46"/>
      <c r="W69" s="121"/>
      <c r="X69" s="125"/>
      <c r="Y69" s="46"/>
      <c r="Z69" s="83" t="str">
        <f t="shared" si="1"/>
        <v>-</v>
      </c>
      <c r="AA69" s="83" t="str">
        <f>IF(K69='Pag 08_Legendas'!B$12,"P&amp;D&amp;I","Bolsa e auxílio")</f>
        <v>Bolsa e auxílio</v>
      </c>
      <c r="AB69" s="83" t="str">
        <f t="shared" si="2"/>
        <v>NÃO</v>
      </c>
      <c r="AC69" s="83" t="str">
        <f t="shared" si="3"/>
        <v>NÃO</v>
      </c>
      <c r="AD69" s="83" t="str">
        <f>IF(K69='Pag 08_Legendas'!B$12,"SIM","NÃO")</f>
        <v>NÃO</v>
      </c>
      <c r="AE69" s="83" t="str">
        <f>IF(K69='Pag 08_Legendas'!B$11,"SIM","NÃO")</f>
        <v>NÃO</v>
      </c>
      <c r="AF69" s="83" t="str">
        <f>IF(K69='Pag 08_Legendas'!B$7,"SIM","NÃO")</f>
        <v>NÃO</v>
      </c>
      <c r="AG69" s="95">
        <f t="shared" si="4"/>
        <v>0</v>
      </c>
      <c r="AH69" s="83"/>
      <c r="AI69" s="9"/>
      <c r="AJ69" s="9"/>
      <c r="AK69" s="9"/>
      <c r="AL69" s="9"/>
      <c r="AM69" s="14"/>
    </row>
    <row r="70" spans="1:39" x14ac:dyDescent="0.2">
      <c r="A70" s="44"/>
      <c r="B70" s="45"/>
      <c r="C70" s="46"/>
      <c r="D70" s="45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7"/>
      <c r="P70" s="47"/>
      <c r="Q70" s="47"/>
      <c r="R70" s="47"/>
      <c r="S70" s="47"/>
      <c r="T70" s="47"/>
      <c r="U70" s="55">
        <f t="shared" si="0"/>
        <v>0</v>
      </c>
      <c r="V70" s="46"/>
      <c r="W70" s="121"/>
      <c r="X70" s="125"/>
      <c r="Y70" s="46"/>
      <c r="Z70" s="83" t="str">
        <f t="shared" si="1"/>
        <v>-</v>
      </c>
      <c r="AA70" s="83" t="str">
        <f>IF(K70='Pag 08_Legendas'!B$12,"P&amp;D&amp;I","Bolsa e auxílio")</f>
        <v>Bolsa e auxílio</v>
      </c>
      <c r="AB70" s="83" t="str">
        <f t="shared" si="2"/>
        <v>NÃO</v>
      </c>
      <c r="AC70" s="83" t="str">
        <f t="shared" si="3"/>
        <v>NÃO</v>
      </c>
      <c r="AD70" s="83" t="str">
        <f>IF(K70='Pag 08_Legendas'!B$12,"SIM","NÃO")</f>
        <v>NÃO</v>
      </c>
      <c r="AE70" s="83" t="str">
        <f>IF(K70='Pag 08_Legendas'!B$11,"SIM","NÃO")</f>
        <v>NÃO</v>
      </c>
      <c r="AF70" s="83" t="str">
        <f>IF(K70='Pag 08_Legendas'!B$7,"SIM","NÃO")</f>
        <v>NÃO</v>
      </c>
      <c r="AG70" s="95">
        <f t="shared" si="4"/>
        <v>0</v>
      </c>
      <c r="AH70" s="83"/>
      <c r="AI70" s="9"/>
      <c r="AJ70" s="9"/>
      <c r="AK70" s="9"/>
      <c r="AL70" s="9"/>
      <c r="AM70" s="14"/>
    </row>
    <row r="71" spans="1:39" x14ac:dyDescent="0.2">
      <c r="A71" s="44"/>
      <c r="B71" s="45"/>
      <c r="C71" s="46"/>
      <c r="D71" s="45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7"/>
      <c r="P71" s="47"/>
      <c r="Q71" s="47"/>
      <c r="R71" s="47"/>
      <c r="S71" s="47"/>
      <c r="T71" s="47"/>
      <c r="U71" s="55">
        <f t="shared" si="0"/>
        <v>0</v>
      </c>
      <c r="V71" s="46"/>
      <c r="W71" s="121"/>
      <c r="X71" s="125"/>
      <c r="Y71" s="46"/>
      <c r="Z71" s="83" t="str">
        <f t="shared" si="1"/>
        <v>-</v>
      </c>
      <c r="AA71" s="83" t="str">
        <f>IF(K71='Pag 08_Legendas'!B$12,"P&amp;D&amp;I","Bolsa e auxílio")</f>
        <v>Bolsa e auxílio</v>
      </c>
      <c r="AB71" s="83" t="str">
        <f t="shared" si="2"/>
        <v>NÃO</v>
      </c>
      <c r="AC71" s="83" t="str">
        <f t="shared" si="3"/>
        <v>NÃO</v>
      </c>
      <c r="AD71" s="83" t="str">
        <f>IF(K71='Pag 08_Legendas'!B$12,"SIM","NÃO")</f>
        <v>NÃO</v>
      </c>
      <c r="AE71" s="83" t="str">
        <f>IF(K71='Pag 08_Legendas'!B$11,"SIM","NÃO")</f>
        <v>NÃO</v>
      </c>
      <c r="AF71" s="83" t="str">
        <f>IF(K71='Pag 08_Legendas'!B$7,"SIM","NÃO")</f>
        <v>NÃO</v>
      </c>
      <c r="AG71" s="95">
        <f t="shared" si="4"/>
        <v>0</v>
      </c>
      <c r="AH71" s="83"/>
      <c r="AI71" s="9"/>
      <c r="AJ71" s="9"/>
      <c r="AK71" s="9"/>
      <c r="AL71" s="9"/>
      <c r="AM71" s="14"/>
    </row>
    <row r="72" spans="1:39" x14ac:dyDescent="0.2">
      <c r="A72" s="44"/>
      <c r="B72" s="45"/>
      <c r="C72" s="46"/>
      <c r="D72" s="45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7"/>
      <c r="P72" s="47"/>
      <c r="Q72" s="47"/>
      <c r="R72" s="47"/>
      <c r="S72" s="47"/>
      <c r="T72" s="47"/>
      <c r="U72" s="55">
        <f t="shared" ref="U72:U108" si="5">SUM(O72:T72)</f>
        <v>0</v>
      </c>
      <c r="V72" s="46"/>
      <c r="W72" s="121"/>
      <c r="X72" s="125"/>
      <c r="Y72" s="46"/>
      <c r="Z72" s="83" t="str">
        <f t="shared" ref="Z72:Z108" si="6">IF(A72&gt;0,(MONTH(A72)),"-")</f>
        <v>-</v>
      </c>
      <c r="AA72" s="83" t="str">
        <f>IF(K72='Pag 08_Legendas'!B$12,"P&amp;D&amp;I","Bolsa e auxílio")</f>
        <v>Bolsa e auxílio</v>
      </c>
      <c r="AB72" s="83" t="str">
        <f t="shared" ref="AB72:AB108" si="7">IF(L72="Pibic","SIM","NÃO")</f>
        <v>NÃO</v>
      </c>
      <c r="AC72" s="83" t="str">
        <f t="shared" ref="AC72:AC108" si="8">IF(L72="Pibiti","SIM","NÃO")</f>
        <v>NÃO</v>
      </c>
      <c r="AD72" s="83" t="str">
        <f>IF(K72='Pag 08_Legendas'!B$12,"SIM","NÃO")</f>
        <v>NÃO</v>
      </c>
      <c r="AE72" s="83" t="str">
        <f>IF(K72='Pag 08_Legendas'!B$11,"SIM","NÃO")</f>
        <v>NÃO</v>
      </c>
      <c r="AF72" s="83" t="str">
        <f>IF(K72='Pag 08_Legendas'!B$7,"SIM","NÃO")</f>
        <v>NÃO</v>
      </c>
      <c r="AG72" s="95">
        <f t="shared" ref="AG72:AG108" si="9">SUM(Q72:T72)</f>
        <v>0</v>
      </c>
      <c r="AH72" s="83"/>
      <c r="AI72" s="9"/>
      <c r="AJ72" s="9"/>
      <c r="AK72" s="9"/>
      <c r="AL72" s="9"/>
      <c r="AM72" s="14"/>
    </row>
    <row r="73" spans="1:39" x14ac:dyDescent="0.2">
      <c r="A73" s="44"/>
      <c r="B73" s="45"/>
      <c r="C73" s="46"/>
      <c r="D73" s="45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7"/>
      <c r="P73" s="47"/>
      <c r="Q73" s="47"/>
      <c r="R73" s="47"/>
      <c r="S73" s="47"/>
      <c r="T73" s="47"/>
      <c r="U73" s="55">
        <f t="shared" si="5"/>
        <v>0</v>
      </c>
      <c r="V73" s="46"/>
      <c r="W73" s="121"/>
      <c r="X73" s="125"/>
      <c r="Y73" s="46"/>
      <c r="Z73" s="83" t="str">
        <f t="shared" si="6"/>
        <v>-</v>
      </c>
      <c r="AA73" s="83" t="str">
        <f>IF(K73='Pag 08_Legendas'!B$12,"P&amp;D&amp;I","Bolsa e auxílio")</f>
        <v>Bolsa e auxílio</v>
      </c>
      <c r="AB73" s="83" t="str">
        <f t="shared" si="7"/>
        <v>NÃO</v>
      </c>
      <c r="AC73" s="83" t="str">
        <f t="shared" si="8"/>
        <v>NÃO</v>
      </c>
      <c r="AD73" s="83" t="str">
        <f>IF(K73='Pag 08_Legendas'!B$12,"SIM","NÃO")</f>
        <v>NÃO</v>
      </c>
      <c r="AE73" s="83" t="str">
        <f>IF(K73='Pag 08_Legendas'!B$11,"SIM","NÃO")</f>
        <v>NÃO</v>
      </c>
      <c r="AF73" s="83" t="str">
        <f>IF(K73='Pag 08_Legendas'!B$7,"SIM","NÃO")</f>
        <v>NÃO</v>
      </c>
      <c r="AG73" s="95">
        <f t="shared" si="9"/>
        <v>0</v>
      </c>
      <c r="AH73" s="83"/>
      <c r="AI73" s="9"/>
      <c r="AJ73" s="9"/>
      <c r="AK73" s="9"/>
      <c r="AL73" s="9"/>
      <c r="AM73" s="14"/>
    </row>
    <row r="74" spans="1:39" x14ac:dyDescent="0.2">
      <c r="A74" s="44"/>
      <c r="B74" s="45"/>
      <c r="C74" s="46"/>
      <c r="D74" s="45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7"/>
      <c r="P74" s="47"/>
      <c r="Q74" s="47"/>
      <c r="R74" s="47"/>
      <c r="S74" s="47"/>
      <c r="T74" s="47"/>
      <c r="U74" s="55">
        <f t="shared" si="5"/>
        <v>0</v>
      </c>
      <c r="V74" s="46"/>
      <c r="W74" s="121"/>
      <c r="X74" s="125"/>
      <c r="Y74" s="46"/>
      <c r="Z74" s="83" t="str">
        <f t="shared" si="6"/>
        <v>-</v>
      </c>
      <c r="AA74" s="83" t="str">
        <f>IF(K74='Pag 08_Legendas'!B$12,"P&amp;D&amp;I","Bolsa e auxílio")</f>
        <v>Bolsa e auxílio</v>
      </c>
      <c r="AB74" s="83" t="str">
        <f t="shared" si="7"/>
        <v>NÃO</v>
      </c>
      <c r="AC74" s="83" t="str">
        <f t="shared" si="8"/>
        <v>NÃO</v>
      </c>
      <c r="AD74" s="83" t="str">
        <f>IF(K74='Pag 08_Legendas'!B$12,"SIM","NÃO")</f>
        <v>NÃO</v>
      </c>
      <c r="AE74" s="83" t="str">
        <f>IF(K74='Pag 08_Legendas'!B$11,"SIM","NÃO")</f>
        <v>NÃO</v>
      </c>
      <c r="AF74" s="83" t="str">
        <f>IF(K74='Pag 08_Legendas'!B$7,"SIM","NÃO")</f>
        <v>NÃO</v>
      </c>
      <c r="AG74" s="95">
        <f t="shared" si="9"/>
        <v>0</v>
      </c>
      <c r="AH74" s="83"/>
      <c r="AI74" s="9"/>
      <c r="AJ74" s="9"/>
      <c r="AK74" s="9"/>
      <c r="AL74" s="9"/>
      <c r="AM74" s="14"/>
    </row>
    <row r="75" spans="1:39" x14ac:dyDescent="0.2">
      <c r="A75" s="44"/>
      <c r="B75" s="45"/>
      <c r="C75" s="46"/>
      <c r="D75" s="45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7"/>
      <c r="P75" s="47"/>
      <c r="Q75" s="47"/>
      <c r="R75" s="47"/>
      <c r="S75" s="47"/>
      <c r="T75" s="47"/>
      <c r="U75" s="55">
        <f t="shared" si="5"/>
        <v>0</v>
      </c>
      <c r="V75" s="46"/>
      <c r="W75" s="121"/>
      <c r="X75" s="125"/>
      <c r="Y75" s="46"/>
      <c r="Z75" s="83" t="str">
        <f t="shared" si="6"/>
        <v>-</v>
      </c>
      <c r="AA75" s="83" t="str">
        <f>IF(K75='Pag 08_Legendas'!B$12,"P&amp;D&amp;I","Bolsa e auxílio")</f>
        <v>Bolsa e auxílio</v>
      </c>
      <c r="AB75" s="83" t="str">
        <f t="shared" si="7"/>
        <v>NÃO</v>
      </c>
      <c r="AC75" s="83" t="str">
        <f t="shared" si="8"/>
        <v>NÃO</v>
      </c>
      <c r="AD75" s="83" t="str">
        <f>IF(K75='Pag 08_Legendas'!B$12,"SIM","NÃO")</f>
        <v>NÃO</v>
      </c>
      <c r="AE75" s="83" t="str">
        <f>IF(K75='Pag 08_Legendas'!B$11,"SIM","NÃO")</f>
        <v>NÃO</v>
      </c>
      <c r="AF75" s="83" t="str">
        <f>IF(K75='Pag 08_Legendas'!B$7,"SIM","NÃO")</f>
        <v>NÃO</v>
      </c>
      <c r="AG75" s="95">
        <f t="shared" si="9"/>
        <v>0</v>
      </c>
      <c r="AH75" s="83"/>
      <c r="AI75" s="9"/>
      <c r="AJ75" s="9"/>
      <c r="AK75" s="9"/>
      <c r="AL75" s="9"/>
      <c r="AM75" s="14"/>
    </row>
    <row r="76" spans="1:39" x14ac:dyDescent="0.2">
      <c r="A76" s="44"/>
      <c r="B76" s="45"/>
      <c r="C76" s="46"/>
      <c r="D76" s="45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7"/>
      <c r="P76" s="47"/>
      <c r="Q76" s="47"/>
      <c r="R76" s="47"/>
      <c r="S76" s="47"/>
      <c r="T76" s="47"/>
      <c r="U76" s="55">
        <f t="shared" si="5"/>
        <v>0</v>
      </c>
      <c r="V76" s="46"/>
      <c r="W76" s="121"/>
      <c r="X76" s="125"/>
      <c r="Y76" s="46"/>
      <c r="Z76" s="83" t="str">
        <f t="shared" si="6"/>
        <v>-</v>
      </c>
      <c r="AA76" s="83" t="str">
        <f>IF(K76='Pag 08_Legendas'!B$12,"P&amp;D&amp;I","Bolsa e auxílio")</f>
        <v>Bolsa e auxílio</v>
      </c>
      <c r="AB76" s="83" t="str">
        <f t="shared" si="7"/>
        <v>NÃO</v>
      </c>
      <c r="AC76" s="83" t="str">
        <f t="shared" si="8"/>
        <v>NÃO</v>
      </c>
      <c r="AD76" s="83" t="str">
        <f>IF(K76='Pag 08_Legendas'!B$12,"SIM","NÃO")</f>
        <v>NÃO</v>
      </c>
      <c r="AE76" s="83" t="str">
        <f>IF(K76='Pag 08_Legendas'!B$11,"SIM","NÃO")</f>
        <v>NÃO</v>
      </c>
      <c r="AF76" s="83" t="str">
        <f>IF(K76='Pag 08_Legendas'!B$7,"SIM","NÃO")</f>
        <v>NÃO</v>
      </c>
      <c r="AG76" s="95">
        <f t="shared" si="9"/>
        <v>0</v>
      </c>
      <c r="AH76" s="83"/>
      <c r="AI76" s="9"/>
      <c r="AJ76" s="9"/>
      <c r="AK76" s="9"/>
      <c r="AL76" s="9"/>
      <c r="AM76" s="14"/>
    </row>
    <row r="77" spans="1:39" x14ac:dyDescent="0.2">
      <c r="A77" s="44"/>
      <c r="B77" s="45"/>
      <c r="C77" s="46"/>
      <c r="D77" s="45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7"/>
      <c r="P77" s="47"/>
      <c r="Q77" s="47"/>
      <c r="R77" s="47"/>
      <c r="S77" s="47"/>
      <c r="T77" s="47"/>
      <c r="U77" s="55">
        <f t="shared" si="5"/>
        <v>0</v>
      </c>
      <c r="V77" s="46"/>
      <c r="W77" s="121"/>
      <c r="X77" s="125"/>
      <c r="Y77" s="46"/>
      <c r="Z77" s="83" t="str">
        <f t="shared" si="6"/>
        <v>-</v>
      </c>
      <c r="AA77" s="83" t="str">
        <f>IF(K77='Pag 08_Legendas'!B$12,"P&amp;D&amp;I","Bolsa e auxílio")</f>
        <v>Bolsa e auxílio</v>
      </c>
      <c r="AB77" s="83" t="str">
        <f t="shared" si="7"/>
        <v>NÃO</v>
      </c>
      <c r="AC77" s="83" t="str">
        <f t="shared" si="8"/>
        <v>NÃO</v>
      </c>
      <c r="AD77" s="83" t="str">
        <f>IF(K77='Pag 08_Legendas'!B$12,"SIM","NÃO")</f>
        <v>NÃO</v>
      </c>
      <c r="AE77" s="83" t="str">
        <f>IF(K77='Pag 08_Legendas'!B$11,"SIM","NÃO")</f>
        <v>NÃO</v>
      </c>
      <c r="AF77" s="83" t="str">
        <f>IF(K77='Pag 08_Legendas'!B$7,"SIM","NÃO")</f>
        <v>NÃO</v>
      </c>
      <c r="AG77" s="95">
        <f t="shared" si="9"/>
        <v>0</v>
      </c>
      <c r="AH77" s="83"/>
      <c r="AI77" s="9"/>
      <c r="AJ77" s="9"/>
      <c r="AK77" s="9"/>
      <c r="AL77" s="9"/>
      <c r="AM77" s="14"/>
    </row>
    <row r="78" spans="1:39" x14ac:dyDescent="0.2">
      <c r="A78" s="44"/>
      <c r="B78" s="45"/>
      <c r="C78" s="46"/>
      <c r="D78" s="45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7"/>
      <c r="P78" s="47"/>
      <c r="Q78" s="47"/>
      <c r="R78" s="47"/>
      <c r="S78" s="47"/>
      <c r="T78" s="47"/>
      <c r="U78" s="55">
        <f t="shared" si="5"/>
        <v>0</v>
      </c>
      <c r="V78" s="46"/>
      <c r="W78" s="121"/>
      <c r="X78" s="125"/>
      <c r="Y78" s="46"/>
      <c r="Z78" s="83" t="str">
        <f t="shared" si="6"/>
        <v>-</v>
      </c>
      <c r="AA78" s="83" t="str">
        <f>IF(K78='Pag 08_Legendas'!B$12,"P&amp;D&amp;I","Bolsa e auxílio")</f>
        <v>Bolsa e auxílio</v>
      </c>
      <c r="AB78" s="83" t="str">
        <f t="shared" si="7"/>
        <v>NÃO</v>
      </c>
      <c r="AC78" s="83" t="str">
        <f t="shared" si="8"/>
        <v>NÃO</v>
      </c>
      <c r="AD78" s="83" t="str">
        <f>IF(K78='Pag 08_Legendas'!B$12,"SIM","NÃO")</f>
        <v>NÃO</v>
      </c>
      <c r="AE78" s="83" t="str">
        <f>IF(K78='Pag 08_Legendas'!B$11,"SIM","NÃO")</f>
        <v>NÃO</v>
      </c>
      <c r="AF78" s="83" t="str">
        <f>IF(K78='Pag 08_Legendas'!B$7,"SIM","NÃO")</f>
        <v>NÃO</v>
      </c>
      <c r="AG78" s="95">
        <f t="shared" si="9"/>
        <v>0</v>
      </c>
      <c r="AH78" s="83"/>
      <c r="AI78" s="9"/>
      <c r="AJ78" s="9"/>
      <c r="AK78" s="9"/>
      <c r="AL78" s="9"/>
      <c r="AM78" s="14"/>
    </row>
    <row r="79" spans="1:39" x14ac:dyDescent="0.2">
      <c r="A79" s="44"/>
      <c r="B79" s="45"/>
      <c r="C79" s="46"/>
      <c r="D79" s="45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7"/>
      <c r="P79" s="47"/>
      <c r="Q79" s="47"/>
      <c r="R79" s="47"/>
      <c r="S79" s="47"/>
      <c r="T79" s="47"/>
      <c r="U79" s="55">
        <f t="shared" si="5"/>
        <v>0</v>
      </c>
      <c r="V79" s="46"/>
      <c r="W79" s="121"/>
      <c r="X79" s="125"/>
      <c r="Y79" s="46"/>
      <c r="Z79" s="83" t="str">
        <f t="shared" si="6"/>
        <v>-</v>
      </c>
      <c r="AA79" s="83" t="str">
        <f>IF(K79='Pag 08_Legendas'!B$12,"P&amp;D&amp;I","Bolsa e auxílio")</f>
        <v>Bolsa e auxílio</v>
      </c>
      <c r="AB79" s="83" t="str">
        <f t="shared" si="7"/>
        <v>NÃO</v>
      </c>
      <c r="AC79" s="83" t="str">
        <f t="shared" si="8"/>
        <v>NÃO</v>
      </c>
      <c r="AD79" s="83" t="str">
        <f>IF(K79='Pag 08_Legendas'!B$12,"SIM","NÃO")</f>
        <v>NÃO</v>
      </c>
      <c r="AE79" s="83" t="str">
        <f>IF(K79='Pag 08_Legendas'!B$11,"SIM","NÃO")</f>
        <v>NÃO</v>
      </c>
      <c r="AF79" s="83" t="str">
        <f>IF(K79='Pag 08_Legendas'!B$7,"SIM","NÃO")</f>
        <v>NÃO</v>
      </c>
      <c r="AG79" s="95">
        <f t="shared" si="9"/>
        <v>0</v>
      </c>
      <c r="AH79" s="83"/>
      <c r="AI79" s="9"/>
      <c r="AJ79" s="9"/>
      <c r="AK79" s="9"/>
      <c r="AL79" s="9"/>
      <c r="AM79" s="14"/>
    </row>
    <row r="80" spans="1:39" x14ac:dyDescent="0.2">
      <c r="A80" s="44"/>
      <c r="B80" s="45"/>
      <c r="C80" s="46"/>
      <c r="D80" s="45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7"/>
      <c r="P80" s="47"/>
      <c r="Q80" s="47"/>
      <c r="R80" s="47"/>
      <c r="S80" s="47"/>
      <c r="T80" s="47"/>
      <c r="U80" s="55">
        <f t="shared" si="5"/>
        <v>0</v>
      </c>
      <c r="V80" s="46"/>
      <c r="W80" s="121"/>
      <c r="X80" s="125"/>
      <c r="Y80" s="46"/>
      <c r="Z80" s="83" t="str">
        <f t="shared" si="6"/>
        <v>-</v>
      </c>
      <c r="AA80" s="83" t="str">
        <f>IF(K80='Pag 08_Legendas'!B$12,"P&amp;D&amp;I","Bolsa e auxílio")</f>
        <v>Bolsa e auxílio</v>
      </c>
      <c r="AB80" s="83" t="str">
        <f t="shared" si="7"/>
        <v>NÃO</v>
      </c>
      <c r="AC80" s="83" t="str">
        <f t="shared" si="8"/>
        <v>NÃO</v>
      </c>
      <c r="AD80" s="83" t="str">
        <f>IF(K80='Pag 08_Legendas'!B$12,"SIM","NÃO")</f>
        <v>NÃO</v>
      </c>
      <c r="AE80" s="83" t="str">
        <f>IF(K80='Pag 08_Legendas'!B$11,"SIM","NÃO")</f>
        <v>NÃO</v>
      </c>
      <c r="AF80" s="83" t="str">
        <f>IF(K80='Pag 08_Legendas'!B$7,"SIM","NÃO")</f>
        <v>NÃO</v>
      </c>
      <c r="AG80" s="95">
        <f t="shared" si="9"/>
        <v>0</v>
      </c>
      <c r="AH80" s="83"/>
      <c r="AI80" s="9"/>
      <c r="AJ80" s="9"/>
      <c r="AK80" s="9"/>
      <c r="AL80" s="9"/>
      <c r="AM80" s="14"/>
    </row>
    <row r="81" spans="1:199" x14ac:dyDescent="0.2">
      <c r="A81" s="44"/>
      <c r="B81" s="45"/>
      <c r="C81" s="46"/>
      <c r="D81" s="45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7"/>
      <c r="P81" s="47"/>
      <c r="Q81" s="47"/>
      <c r="R81" s="47"/>
      <c r="S81" s="47"/>
      <c r="T81" s="47"/>
      <c r="U81" s="55">
        <f t="shared" si="5"/>
        <v>0</v>
      </c>
      <c r="V81" s="46"/>
      <c r="W81" s="121"/>
      <c r="X81" s="125"/>
      <c r="Y81" s="46"/>
      <c r="Z81" s="83" t="str">
        <f t="shared" si="6"/>
        <v>-</v>
      </c>
      <c r="AA81" s="83" t="str">
        <f>IF(K81='Pag 08_Legendas'!B$12,"P&amp;D&amp;I","Bolsa e auxílio")</f>
        <v>Bolsa e auxílio</v>
      </c>
      <c r="AB81" s="83" t="str">
        <f t="shared" si="7"/>
        <v>NÃO</v>
      </c>
      <c r="AC81" s="83" t="str">
        <f t="shared" si="8"/>
        <v>NÃO</v>
      </c>
      <c r="AD81" s="83" t="str">
        <f>IF(K81='Pag 08_Legendas'!B$12,"SIM","NÃO")</f>
        <v>NÃO</v>
      </c>
      <c r="AE81" s="83" t="str">
        <f>IF(K81='Pag 08_Legendas'!B$11,"SIM","NÃO")</f>
        <v>NÃO</v>
      </c>
      <c r="AF81" s="83" t="str">
        <f>IF(K81='Pag 08_Legendas'!B$7,"SIM","NÃO")</f>
        <v>NÃO</v>
      </c>
      <c r="AG81" s="95">
        <f t="shared" si="9"/>
        <v>0</v>
      </c>
      <c r="AH81" s="83"/>
      <c r="AI81" s="9"/>
      <c r="AJ81" s="9"/>
      <c r="AK81" s="9"/>
      <c r="AL81" s="9"/>
      <c r="AM81" s="14"/>
    </row>
    <row r="82" spans="1:199" x14ac:dyDescent="0.2">
      <c r="A82" s="44"/>
      <c r="B82" s="45"/>
      <c r="C82" s="46"/>
      <c r="D82" s="45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7"/>
      <c r="P82" s="47"/>
      <c r="Q82" s="47"/>
      <c r="R82" s="47"/>
      <c r="S82" s="47"/>
      <c r="T82" s="47"/>
      <c r="U82" s="55">
        <f t="shared" si="5"/>
        <v>0</v>
      </c>
      <c r="V82" s="46"/>
      <c r="W82" s="121"/>
      <c r="X82" s="125"/>
      <c r="Y82" s="46"/>
      <c r="Z82" s="83" t="str">
        <f t="shared" si="6"/>
        <v>-</v>
      </c>
      <c r="AA82" s="83" t="str">
        <f>IF(K82='Pag 08_Legendas'!B$12,"P&amp;D&amp;I","Bolsa e auxílio")</f>
        <v>Bolsa e auxílio</v>
      </c>
      <c r="AB82" s="83" t="str">
        <f t="shared" si="7"/>
        <v>NÃO</v>
      </c>
      <c r="AC82" s="83" t="str">
        <f t="shared" si="8"/>
        <v>NÃO</v>
      </c>
      <c r="AD82" s="83" t="str">
        <f>IF(K82='Pag 08_Legendas'!B$12,"SIM","NÃO")</f>
        <v>NÃO</v>
      </c>
      <c r="AE82" s="83" t="str">
        <f>IF(K82='Pag 08_Legendas'!B$11,"SIM","NÃO")</f>
        <v>NÃO</v>
      </c>
      <c r="AF82" s="83" t="str">
        <f>IF(K82='Pag 08_Legendas'!B$7,"SIM","NÃO")</f>
        <v>NÃO</v>
      </c>
      <c r="AG82" s="95">
        <f t="shared" si="9"/>
        <v>0</v>
      </c>
      <c r="AH82" s="83"/>
      <c r="AI82" s="9"/>
      <c r="AJ82" s="9"/>
      <c r="AK82" s="9"/>
      <c r="AL82" s="9"/>
      <c r="AM82" s="14"/>
    </row>
    <row r="83" spans="1:199" s="2" customFormat="1" ht="13.5" x14ac:dyDescent="0.2">
      <c r="A83" s="44"/>
      <c r="B83" s="45"/>
      <c r="C83" s="48"/>
      <c r="D83" s="45"/>
      <c r="E83" s="46"/>
      <c r="F83" s="46"/>
      <c r="G83" s="46"/>
      <c r="H83" s="46"/>
      <c r="I83" s="48"/>
      <c r="J83" s="46"/>
      <c r="K83" s="48"/>
      <c r="L83" s="48"/>
      <c r="M83" s="46"/>
      <c r="N83" s="46"/>
      <c r="O83" s="47"/>
      <c r="P83" s="47"/>
      <c r="Q83" s="47"/>
      <c r="R83" s="47"/>
      <c r="S83" s="47"/>
      <c r="T83" s="47"/>
      <c r="U83" s="55">
        <f t="shared" si="5"/>
        <v>0</v>
      </c>
      <c r="V83" s="48"/>
      <c r="W83" s="121"/>
      <c r="X83" s="125"/>
      <c r="Y83" s="48"/>
      <c r="Z83" s="83" t="str">
        <f t="shared" si="6"/>
        <v>-</v>
      </c>
      <c r="AA83" s="83" t="str">
        <f>IF(K83='Pag 08_Legendas'!B$12,"P&amp;D&amp;I","Bolsa e auxílio")</f>
        <v>Bolsa e auxílio</v>
      </c>
      <c r="AB83" s="83" t="str">
        <f t="shared" si="7"/>
        <v>NÃO</v>
      </c>
      <c r="AC83" s="83" t="str">
        <f t="shared" si="8"/>
        <v>NÃO</v>
      </c>
      <c r="AD83" s="83" t="str">
        <f>IF(K83='Pag 08_Legendas'!B$12,"SIM","NÃO")</f>
        <v>NÃO</v>
      </c>
      <c r="AE83" s="83" t="str">
        <f>IF(K83='Pag 08_Legendas'!B$11,"SIM","NÃO")</f>
        <v>NÃO</v>
      </c>
      <c r="AF83" s="83" t="str">
        <f>IF(K83='Pag 08_Legendas'!B$7,"SIM","NÃO")</f>
        <v>NÃO</v>
      </c>
      <c r="AG83" s="95">
        <f t="shared" si="9"/>
        <v>0</v>
      </c>
      <c r="AH83" s="84"/>
      <c r="AI83" s="10"/>
      <c r="AJ83" s="11"/>
      <c r="AK83" s="10"/>
      <c r="AL83" s="11"/>
      <c r="AM83" s="11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</row>
    <row r="84" spans="1:199" ht="13.5" x14ac:dyDescent="0.2">
      <c r="A84" s="44"/>
      <c r="B84" s="45"/>
      <c r="C84" s="48"/>
      <c r="D84" s="45"/>
      <c r="E84" s="46"/>
      <c r="F84" s="46"/>
      <c r="G84" s="46"/>
      <c r="H84" s="46"/>
      <c r="I84" s="48"/>
      <c r="J84" s="46"/>
      <c r="K84" s="48"/>
      <c r="L84" s="48"/>
      <c r="M84" s="46"/>
      <c r="N84" s="46"/>
      <c r="O84" s="47"/>
      <c r="P84" s="47"/>
      <c r="Q84" s="47"/>
      <c r="R84" s="47"/>
      <c r="S84" s="47"/>
      <c r="T84" s="47"/>
      <c r="U84" s="55">
        <f t="shared" si="5"/>
        <v>0</v>
      </c>
      <c r="V84" s="48"/>
      <c r="W84" s="121"/>
      <c r="X84" s="125"/>
      <c r="Y84" s="48"/>
      <c r="Z84" s="83" t="str">
        <f t="shared" si="6"/>
        <v>-</v>
      </c>
      <c r="AA84" s="83" t="str">
        <f>IF(K84='Pag 08_Legendas'!B$12,"P&amp;D&amp;I","Bolsa e auxílio")</f>
        <v>Bolsa e auxílio</v>
      </c>
      <c r="AB84" s="83" t="str">
        <f t="shared" si="7"/>
        <v>NÃO</v>
      </c>
      <c r="AC84" s="83" t="str">
        <f t="shared" si="8"/>
        <v>NÃO</v>
      </c>
      <c r="AD84" s="83" t="str">
        <f>IF(K84='Pag 08_Legendas'!B$12,"SIM","NÃO")</f>
        <v>NÃO</v>
      </c>
      <c r="AE84" s="83" t="str">
        <f>IF(K84='Pag 08_Legendas'!B$11,"SIM","NÃO")</f>
        <v>NÃO</v>
      </c>
      <c r="AF84" s="83" t="str">
        <f>IF(K84='Pag 08_Legendas'!B$7,"SIM","NÃO")</f>
        <v>NÃO</v>
      </c>
      <c r="AG84" s="95">
        <f t="shared" si="9"/>
        <v>0</v>
      </c>
      <c r="AH84" s="84"/>
      <c r="AI84" s="10"/>
      <c r="AJ84" s="11"/>
      <c r="AK84" s="10"/>
      <c r="AL84" s="11"/>
      <c r="AM84" s="11"/>
    </row>
    <row r="85" spans="1:199" ht="13.5" x14ac:dyDescent="0.2">
      <c r="A85" s="44"/>
      <c r="B85" s="45"/>
      <c r="C85" s="48"/>
      <c r="D85" s="45"/>
      <c r="E85" s="46"/>
      <c r="F85" s="46"/>
      <c r="G85" s="46"/>
      <c r="H85" s="46"/>
      <c r="I85" s="48"/>
      <c r="J85" s="46"/>
      <c r="K85" s="48"/>
      <c r="L85" s="48"/>
      <c r="M85" s="46"/>
      <c r="N85" s="46"/>
      <c r="O85" s="47"/>
      <c r="P85" s="47"/>
      <c r="Q85" s="47"/>
      <c r="R85" s="47"/>
      <c r="S85" s="47"/>
      <c r="T85" s="47"/>
      <c r="U85" s="55">
        <f t="shared" si="5"/>
        <v>0</v>
      </c>
      <c r="V85" s="48"/>
      <c r="W85" s="121"/>
      <c r="X85" s="125"/>
      <c r="Y85" s="48"/>
      <c r="Z85" s="83" t="str">
        <f t="shared" si="6"/>
        <v>-</v>
      </c>
      <c r="AA85" s="83" t="str">
        <f>IF(K85='Pag 08_Legendas'!B$12,"P&amp;D&amp;I","Bolsa e auxílio")</f>
        <v>Bolsa e auxílio</v>
      </c>
      <c r="AB85" s="83" t="str">
        <f t="shared" si="7"/>
        <v>NÃO</v>
      </c>
      <c r="AC85" s="83" t="str">
        <f t="shared" si="8"/>
        <v>NÃO</v>
      </c>
      <c r="AD85" s="83" t="str">
        <f>IF(K85='Pag 08_Legendas'!B$12,"SIM","NÃO")</f>
        <v>NÃO</v>
      </c>
      <c r="AE85" s="83" t="str">
        <f>IF(K85='Pag 08_Legendas'!B$11,"SIM","NÃO")</f>
        <v>NÃO</v>
      </c>
      <c r="AF85" s="83" t="str">
        <f>IF(K85='Pag 08_Legendas'!B$7,"SIM","NÃO")</f>
        <v>NÃO</v>
      </c>
      <c r="AG85" s="95">
        <f t="shared" si="9"/>
        <v>0</v>
      </c>
      <c r="AH85" s="84"/>
      <c r="AI85" s="10"/>
      <c r="AJ85" s="11"/>
      <c r="AK85" s="10"/>
      <c r="AL85" s="11"/>
      <c r="AM85" s="11"/>
    </row>
    <row r="86" spans="1:199" ht="13.5" x14ac:dyDescent="0.2">
      <c r="A86" s="44"/>
      <c r="B86" s="45"/>
      <c r="C86" s="48"/>
      <c r="D86" s="45"/>
      <c r="E86" s="46"/>
      <c r="F86" s="46"/>
      <c r="G86" s="46"/>
      <c r="H86" s="46"/>
      <c r="I86" s="48"/>
      <c r="J86" s="46"/>
      <c r="K86" s="48"/>
      <c r="L86" s="48"/>
      <c r="M86" s="46"/>
      <c r="N86" s="46"/>
      <c r="O86" s="47"/>
      <c r="P86" s="47"/>
      <c r="Q86" s="47"/>
      <c r="R86" s="47"/>
      <c r="S86" s="47"/>
      <c r="T86" s="47"/>
      <c r="U86" s="55">
        <f t="shared" si="5"/>
        <v>0</v>
      </c>
      <c r="V86" s="48"/>
      <c r="W86" s="121"/>
      <c r="X86" s="125"/>
      <c r="Y86" s="48"/>
      <c r="Z86" s="83" t="str">
        <f t="shared" si="6"/>
        <v>-</v>
      </c>
      <c r="AA86" s="83" t="str">
        <f>IF(K86='Pag 08_Legendas'!B$12,"P&amp;D&amp;I","Bolsa e auxílio")</f>
        <v>Bolsa e auxílio</v>
      </c>
      <c r="AB86" s="83" t="str">
        <f t="shared" si="7"/>
        <v>NÃO</v>
      </c>
      <c r="AC86" s="83" t="str">
        <f t="shared" si="8"/>
        <v>NÃO</v>
      </c>
      <c r="AD86" s="83" t="str">
        <f>IF(K86='Pag 08_Legendas'!B$12,"SIM","NÃO")</f>
        <v>NÃO</v>
      </c>
      <c r="AE86" s="83" t="str">
        <f>IF(K86='Pag 08_Legendas'!B$11,"SIM","NÃO")</f>
        <v>NÃO</v>
      </c>
      <c r="AF86" s="83" t="str">
        <f>IF(K86='Pag 08_Legendas'!B$7,"SIM","NÃO")</f>
        <v>NÃO</v>
      </c>
      <c r="AG86" s="95">
        <f t="shared" si="9"/>
        <v>0</v>
      </c>
      <c r="AH86" s="84"/>
      <c r="AI86" s="10"/>
      <c r="AJ86" s="11"/>
      <c r="AK86" s="10"/>
      <c r="AL86" s="11"/>
      <c r="AM86" s="11"/>
    </row>
    <row r="87" spans="1:199" ht="13.5" x14ac:dyDescent="0.2">
      <c r="A87" s="44"/>
      <c r="B87" s="45"/>
      <c r="C87" s="48"/>
      <c r="D87" s="45"/>
      <c r="E87" s="46"/>
      <c r="F87" s="46"/>
      <c r="G87" s="46"/>
      <c r="H87" s="46"/>
      <c r="I87" s="48"/>
      <c r="J87" s="46"/>
      <c r="K87" s="48"/>
      <c r="L87" s="48"/>
      <c r="M87" s="46"/>
      <c r="N87" s="46"/>
      <c r="O87" s="47"/>
      <c r="P87" s="47"/>
      <c r="Q87" s="47"/>
      <c r="R87" s="47"/>
      <c r="S87" s="47"/>
      <c r="T87" s="47"/>
      <c r="U87" s="55">
        <f t="shared" si="5"/>
        <v>0</v>
      </c>
      <c r="V87" s="48"/>
      <c r="W87" s="121"/>
      <c r="X87" s="125"/>
      <c r="Y87" s="48"/>
      <c r="Z87" s="83" t="str">
        <f t="shared" si="6"/>
        <v>-</v>
      </c>
      <c r="AA87" s="83" t="str">
        <f>IF(K87='Pag 08_Legendas'!B$12,"P&amp;D&amp;I","Bolsa e auxílio")</f>
        <v>Bolsa e auxílio</v>
      </c>
      <c r="AB87" s="83" t="str">
        <f t="shared" si="7"/>
        <v>NÃO</v>
      </c>
      <c r="AC87" s="83" t="str">
        <f t="shared" si="8"/>
        <v>NÃO</v>
      </c>
      <c r="AD87" s="83" t="str">
        <f>IF(K87='Pag 08_Legendas'!B$12,"SIM","NÃO")</f>
        <v>NÃO</v>
      </c>
      <c r="AE87" s="83" t="str">
        <f>IF(K87='Pag 08_Legendas'!B$11,"SIM","NÃO")</f>
        <v>NÃO</v>
      </c>
      <c r="AF87" s="83" t="str">
        <f>IF(K87='Pag 08_Legendas'!B$7,"SIM","NÃO")</f>
        <v>NÃO</v>
      </c>
      <c r="AG87" s="95">
        <f t="shared" si="9"/>
        <v>0</v>
      </c>
      <c r="AH87" s="84"/>
      <c r="AI87" s="10"/>
      <c r="AJ87" s="11"/>
      <c r="AK87" s="10"/>
      <c r="AL87" s="11"/>
      <c r="AM87" s="11"/>
    </row>
    <row r="88" spans="1:199" ht="13.5" x14ac:dyDescent="0.2">
      <c r="A88" s="44"/>
      <c r="B88" s="45"/>
      <c r="C88" s="48"/>
      <c r="D88" s="45"/>
      <c r="E88" s="46"/>
      <c r="F88" s="46"/>
      <c r="G88" s="46"/>
      <c r="H88" s="46"/>
      <c r="I88" s="48"/>
      <c r="J88" s="46"/>
      <c r="K88" s="48"/>
      <c r="L88" s="48"/>
      <c r="M88" s="46"/>
      <c r="N88" s="46"/>
      <c r="O88" s="47"/>
      <c r="P88" s="47"/>
      <c r="Q88" s="47"/>
      <c r="R88" s="47"/>
      <c r="S88" s="47"/>
      <c r="T88" s="47"/>
      <c r="U88" s="55">
        <f t="shared" si="5"/>
        <v>0</v>
      </c>
      <c r="V88" s="48"/>
      <c r="W88" s="121"/>
      <c r="X88" s="125"/>
      <c r="Y88" s="48"/>
      <c r="Z88" s="83" t="str">
        <f t="shared" si="6"/>
        <v>-</v>
      </c>
      <c r="AA88" s="83" t="str">
        <f>IF(K88='Pag 08_Legendas'!B$12,"P&amp;D&amp;I","Bolsa e auxílio")</f>
        <v>Bolsa e auxílio</v>
      </c>
      <c r="AB88" s="83" t="str">
        <f t="shared" si="7"/>
        <v>NÃO</v>
      </c>
      <c r="AC88" s="83" t="str">
        <f t="shared" si="8"/>
        <v>NÃO</v>
      </c>
      <c r="AD88" s="83" t="str">
        <f>IF(K88='Pag 08_Legendas'!B$12,"SIM","NÃO")</f>
        <v>NÃO</v>
      </c>
      <c r="AE88" s="83" t="str">
        <f>IF(K88='Pag 08_Legendas'!B$11,"SIM","NÃO")</f>
        <v>NÃO</v>
      </c>
      <c r="AF88" s="83" t="str">
        <f>IF(K88='Pag 08_Legendas'!B$7,"SIM","NÃO")</f>
        <v>NÃO</v>
      </c>
      <c r="AG88" s="95">
        <f t="shared" si="9"/>
        <v>0</v>
      </c>
      <c r="AH88" s="84"/>
      <c r="AI88" s="10"/>
      <c r="AJ88" s="11"/>
      <c r="AK88" s="10"/>
      <c r="AL88" s="11"/>
      <c r="AM88" s="11"/>
    </row>
    <row r="89" spans="1:199" ht="13.5" x14ac:dyDescent="0.2">
      <c r="A89" s="44"/>
      <c r="B89" s="45"/>
      <c r="C89" s="48"/>
      <c r="D89" s="45"/>
      <c r="E89" s="46"/>
      <c r="F89" s="46"/>
      <c r="G89" s="46"/>
      <c r="H89" s="46"/>
      <c r="I89" s="48"/>
      <c r="J89" s="46"/>
      <c r="K89" s="48"/>
      <c r="L89" s="48"/>
      <c r="M89" s="46"/>
      <c r="N89" s="46"/>
      <c r="O89" s="47"/>
      <c r="P89" s="47"/>
      <c r="Q89" s="47"/>
      <c r="R89" s="47"/>
      <c r="S89" s="47"/>
      <c r="T89" s="47"/>
      <c r="U89" s="55">
        <f t="shared" si="5"/>
        <v>0</v>
      </c>
      <c r="V89" s="48"/>
      <c r="W89" s="121"/>
      <c r="X89" s="125"/>
      <c r="Y89" s="48"/>
      <c r="Z89" s="83" t="str">
        <f t="shared" si="6"/>
        <v>-</v>
      </c>
      <c r="AA89" s="83" t="str">
        <f>IF(K89='Pag 08_Legendas'!B$12,"P&amp;D&amp;I","Bolsa e auxílio")</f>
        <v>Bolsa e auxílio</v>
      </c>
      <c r="AB89" s="83" t="str">
        <f t="shared" si="7"/>
        <v>NÃO</v>
      </c>
      <c r="AC89" s="83" t="str">
        <f t="shared" si="8"/>
        <v>NÃO</v>
      </c>
      <c r="AD89" s="83" t="str">
        <f>IF(K89='Pag 08_Legendas'!B$12,"SIM","NÃO")</f>
        <v>NÃO</v>
      </c>
      <c r="AE89" s="83" t="str">
        <f>IF(K89='Pag 08_Legendas'!B$11,"SIM","NÃO")</f>
        <v>NÃO</v>
      </c>
      <c r="AF89" s="83" t="str">
        <f>IF(K89='Pag 08_Legendas'!B$7,"SIM","NÃO")</f>
        <v>NÃO</v>
      </c>
      <c r="AG89" s="95">
        <f t="shared" si="9"/>
        <v>0</v>
      </c>
      <c r="AH89" s="84"/>
      <c r="AI89" s="10"/>
      <c r="AJ89" s="11"/>
      <c r="AK89" s="10"/>
      <c r="AL89" s="11"/>
      <c r="AM89" s="11"/>
    </row>
    <row r="90" spans="1:199" ht="13.5" x14ac:dyDescent="0.2">
      <c r="A90" s="44"/>
      <c r="B90" s="45"/>
      <c r="C90" s="48"/>
      <c r="D90" s="45"/>
      <c r="E90" s="46"/>
      <c r="F90" s="46"/>
      <c r="G90" s="46"/>
      <c r="H90" s="46"/>
      <c r="I90" s="48"/>
      <c r="J90" s="46"/>
      <c r="K90" s="48"/>
      <c r="L90" s="48"/>
      <c r="M90" s="46"/>
      <c r="N90" s="46"/>
      <c r="O90" s="47"/>
      <c r="P90" s="47"/>
      <c r="Q90" s="47"/>
      <c r="R90" s="47"/>
      <c r="S90" s="47"/>
      <c r="T90" s="47"/>
      <c r="U90" s="55">
        <f t="shared" si="5"/>
        <v>0</v>
      </c>
      <c r="V90" s="48"/>
      <c r="W90" s="121"/>
      <c r="X90" s="125"/>
      <c r="Y90" s="48"/>
      <c r="Z90" s="83" t="str">
        <f t="shared" si="6"/>
        <v>-</v>
      </c>
      <c r="AA90" s="83" t="str">
        <f>IF(K90='Pag 08_Legendas'!B$12,"P&amp;D&amp;I","Bolsa e auxílio")</f>
        <v>Bolsa e auxílio</v>
      </c>
      <c r="AB90" s="83" t="str">
        <f t="shared" si="7"/>
        <v>NÃO</v>
      </c>
      <c r="AC90" s="83" t="str">
        <f t="shared" si="8"/>
        <v>NÃO</v>
      </c>
      <c r="AD90" s="83" t="str">
        <f>IF(K90='Pag 08_Legendas'!B$12,"SIM","NÃO")</f>
        <v>NÃO</v>
      </c>
      <c r="AE90" s="83" t="str">
        <f>IF(K90='Pag 08_Legendas'!B$11,"SIM","NÃO")</f>
        <v>NÃO</v>
      </c>
      <c r="AF90" s="83" t="str">
        <f>IF(K90='Pag 08_Legendas'!B$7,"SIM","NÃO")</f>
        <v>NÃO</v>
      </c>
      <c r="AG90" s="95">
        <f t="shared" si="9"/>
        <v>0</v>
      </c>
      <c r="AH90" s="84"/>
      <c r="AI90" s="10"/>
      <c r="AJ90" s="11"/>
      <c r="AK90" s="10"/>
      <c r="AL90" s="11"/>
      <c r="AM90" s="11"/>
    </row>
    <row r="91" spans="1:199" ht="13.5" x14ac:dyDescent="0.2">
      <c r="A91" s="44"/>
      <c r="B91" s="45"/>
      <c r="C91" s="48"/>
      <c r="D91" s="45"/>
      <c r="E91" s="46"/>
      <c r="F91" s="46"/>
      <c r="G91" s="46"/>
      <c r="H91" s="46"/>
      <c r="I91" s="48"/>
      <c r="J91" s="46"/>
      <c r="K91" s="48"/>
      <c r="L91" s="48"/>
      <c r="M91" s="46"/>
      <c r="N91" s="46"/>
      <c r="O91" s="47"/>
      <c r="P91" s="47"/>
      <c r="Q91" s="47"/>
      <c r="R91" s="47"/>
      <c r="S91" s="47"/>
      <c r="T91" s="47"/>
      <c r="U91" s="55">
        <f t="shared" si="5"/>
        <v>0</v>
      </c>
      <c r="V91" s="48"/>
      <c r="W91" s="121"/>
      <c r="X91" s="125"/>
      <c r="Y91" s="48"/>
      <c r="Z91" s="83" t="str">
        <f t="shared" si="6"/>
        <v>-</v>
      </c>
      <c r="AA91" s="83" t="str">
        <f>IF(K91='Pag 08_Legendas'!B$12,"P&amp;D&amp;I","Bolsa e auxílio")</f>
        <v>Bolsa e auxílio</v>
      </c>
      <c r="AB91" s="83" t="str">
        <f t="shared" si="7"/>
        <v>NÃO</v>
      </c>
      <c r="AC91" s="83" t="str">
        <f t="shared" si="8"/>
        <v>NÃO</v>
      </c>
      <c r="AD91" s="83" t="str">
        <f>IF(K91='Pag 08_Legendas'!B$12,"SIM","NÃO")</f>
        <v>NÃO</v>
      </c>
      <c r="AE91" s="83" t="str">
        <f>IF(K91='Pag 08_Legendas'!B$11,"SIM","NÃO")</f>
        <v>NÃO</v>
      </c>
      <c r="AF91" s="83" t="str">
        <f>IF(K91='Pag 08_Legendas'!B$7,"SIM","NÃO")</f>
        <v>NÃO</v>
      </c>
      <c r="AG91" s="95">
        <f t="shared" si="9"/>
        <v>0</v>
      </c>
      <c r="AH91" s="84"/>
      <c r="AI91" s="10"/>
      <c r="AJ91" s="11"/>
      <c r="AK91" s="10"/>
      <c r="AL91" s="11"/>
      <c r="AM91" s="11"/>
    </row>
    <row r="92" spans="1:199" ht="13.5" x14ac:dyDescent="0.2">
      <c r="A92" s="44"/>
      <c r="B92" s="45"/>
      <c r="C92" s="48"/>
      <c r="D92" s="45"/>
      <c r="E92" s="46"/>
      <c r="F92" s="46"/>
      <c r="G92" s="46"/>
      <c r="H92" s="46"/>
      <c r="I92" s="48"/>
      <c r="J92" s="46"/>
      <c r="K92" s="48"/>
      <c r="L92" s="48"/>
      <c r="M92" s="46"/>
      <c r="N92" s="46"/>
      <c r="O92" s="47"/>
      <c r="P92" s="47"/>
      <c r="Q92" s="47"/>
      <c r="R92" s="47"/>
      <c r="S92" s="47"/>
      <c r="T92" s="47"/>
      <c r="U92" s="55">
        <f t="shared" si="5"/>
        <v>0</v>
      </c>
      <c r="V92" s="48"/>
      <c r="W92" s="121"/>
      <c r="X92" s="125"/>
      <c r="Y92" s="48"/>
      <c r="Z92" s="83" t="str">
        <f t="shared" si="6"/>
        <v>-</v>
      </c>
      <c r="AA92" s="83" t="str">
        <f>IF(K92='Pag 08_Legendas'!B$12,"P&amp;D&amp;I","Bolsa e auxílio")</f>
        <v>Bolsa e auxílio</v>
      </c>
      <c r="AB92" s="83" t="str">
        <f t="shared" si="7"/>
        <v>NÃO</v>
      </c>
      <c r="AC92" s="83" t="str">
        <f t="shared" si="8"/>
        <v>NÃO</v>
      </c>
      <c r="AD92" s="83" t="str">
        <f>IF(K92='Pag 08_Legendas'!B$12,"SIM","NÃO")</f>
        <v>NÃO</v>
      </c>
      <c r="AE92" s="83" t="str">
        <f>IF(K92='Pag 08_Legendas'!B$11,"SIM","NÃO")</f>
        <v>NÃO</v>
      </c>
      <c r="AF92" s="83" t="str">
        <f>IF(K92='Pag 08_Legendas'!B$7,"SIM","NÃO")</f>
        <v>NÃO</v>
      </c>
      <c r="AG92" s="95">
        <f t="shared" si="9"/>
        <v>0</v>
      </c>
      <c r="AH92" s="84"/>
      <c r="AI92" s="10"/>
      <c r="AJ92" s="11"/>
      <c r="AK92" s="10"/>
      <c r="AL92" s="11"/>
      <c r="AM92" s="11"/>
    </row>
    <row r="93" spans="1:199" ht="13.5" x14ac:dyDescent="0.2">
      <c r="A93" s="52"/>
      <c r="B93" s="56"/>
      <c r="C93" s="48"/>
      <c r="D93" s="56"/>
      <c r="E93" s="46"/>
      <c r="F93" s="46"/>
      <c r="G93" s="46"/>
      <c r="H93" s="46"/>
      <c r="I93" s="48"/>
      <c r="J93" s="46"/>
      <c r="K93" s="48"/>
      <c r="L93" s="48"/>
      <c r="M93" s="46"/>
      <c r="N93" s="46"/>
      <c r="O93" s="47"/>
      <c r="P93" s="47"/>
      <c r="Q93" s="47"/>
      <c r="R93" s="47"/>
      <c r="S93" s="47"/>
      <c r="T93" s="47"/>
      <c r="U93" s="55">
        <f t="shared" si="5"/>
        <v>0</v>
      </c>
      <c r="V93" s="48"/>
      <c r="W93" s="121"/>
      <c r="X93" s="125"/>
      <c r="Y93" s="48"/>
      <c r="Z93" s="83" t="str">
        <f t="shared" si="6"/>
        <v>-</v>
      </c>
      <c r="AA93" s="83" t="str">
        <f>IF(K93='Pag 08_Legendas'!B$12,"P&amp;D&amp;I","Bolsa e auxílio")</f>
        <v>Bolsa e auxílio</v>
      </c>
      <c r="AB93" s="83" t="str">
        <f t="shared" si="7"/>
        <v>NÃO</v>
      </c>
      <c r="AC93" s="83" t="str">
        <f t="shared" si="8"/>
        <v>NÃO</v>
      </c>
      <c r="AD93" s="83" t="str">
        <f>IF(K93='Pag 08_Legendas'!B$12,"SIM","NÃO")</f>
        <v>NÃO</v>
      </c>
      <c r="AE93" s="83" t="str">
        <f>IF(K93='Pag 08_Legendas'!B$11,"SIM","NÃO")</f>
        <v>NÃO</v>
      </c>
      <c r="AF93" s="83" t="str">
        <f>IF(K93='Pag 08_Legendas'!B$7,"SIM","NÃO")</f>
        <v>NÃO</v>
      </c>
      <c r="AG93" s="95">
        <f t="shared" si="9"/>
        <v>0</v>
      </c>
      <c r="AH93" s="84"/>
      <c r="AI93" s="10"/>
      <c r="AJ93" s="11"/>
      <c r="AK93" s="10"/>
      <c r="AL93" s="11"/>
      <c r="AM93" s="11"/>
    </row>
    <row r="94" spans="1:199" ht="13.5" x14ac:dyDescent="0.2">
      <c r="A94" s="44"/>
      <c r="B94" s="45"/>
      <c r="C94" s="48"/>
      <c r="D94" s="45"/>
      <c r="E94" s="46"/>
      <c r="F94" s="46"/>
      <c r="G94" s="46"/>
      <c r="H94" s="46"/>
      <c r="I94" s="48"/>
      <c r="J94" s="46"/>
      <c r="K94" s="48"/>
      <c r="L94" s="48"/>
      <c r="M94" s="46"/>
      <c r="N94" s="46"/>
      <c r="O94" s="47"/>
      <c r="P94" s="47"/>
      <c r="Q94" s="47"/>
      <c r="R94" s="47"/>
      <c r="S94" s="47"/>
      <c r="T94" s="47"/>
      <c r="U94" s="55">
        <f t="shared" si="5"/>
        <v>0</v>
      </c>
      <c r="V94" s="48"/>
      <c r="W94" s="121"/>
      <c r="X94" s="125"/>
      <c r="Y94" s="48"/>
      <c r="Z94" s="83" t="str">
        <f t="shared" si="6"/>
        <v>-</v>
      </c>
      <c r="AA94" s="83" t="str">
        <f>IF(K94='Pag 08_Legendas'!B$12,"P&amp;D&amp;I","Bolsa e auxílio")</f>
        <v>Bolsa e auxílio</v>
      </c>
      <c r="AB94" s="83" t="str">
        <f t="shared" si="7"/>
        <v>NÃO</v>
      </c>
      <c r="AC94" s="83" t="str">
        <f t="shared" si="8"/>
        <v>NÃO</v>
      </c>
      <c r="AD94" s="83" t="str">
        <f>IF(K94='Pag 08_Legendas'!B$12,"SIM","NÃO")</f>
        <v>NÃO</v>
      </c>
      <c r="AE94" s="83" t="str">
        <f>IF(K94='Pag 08_Legendas'!B$11,"SIM","NÃO")</f>
        <v>NÃO</v>
      </c>
      <c r="AF94" s="83" t="str">
        <f>IF(K94='Pag 08_Legendas'!B$7,"SIM","NÃO")</f>
        <v>NÃO</v>
      </c>
      <c r="AG94" s="95">
        <f t="shared" si="9"/>
        <v>0</v>
      </c>
      <c r="AH94" s="84"/>
      <c r="AI94" s="10"/>
      <c r="AJ94" s="11"/>
      <c r="AK94" s="10"/>
      <c r="AL94" s="11"/>
      <c r="AM94" s="11"/>
    </row>
    <row r="95" spans="1:199" ht="13.5" x14ac:dyDescent="0.2">
      <c r="A95" s="44"/>
      <c r="B95" s="45"/>
      <c r="C95" s="48"/>
      <c r="D95" s="45"/>
      <c r="E95" s="46"/>
      <c r="F95" s="46"/>
      <c r="G95" s="46"/>
      <c r="H95" s="46"/>
      <c r="I95" s="48"/>
      <c r="J95" s="46"/>
      <c r="K95" s="48"/>
      <c r="L95" s="48"/>
      <c r="M95" s="46"/>
      <c r="N95" s="46"/>
      <c r="O95" s="47"/>
      <c r="P95" s="47"/>
      <c r="Q95" s="47"/>
      <c r="R95" s="47"/>
      <c r="S95" s="47"/>
      <c r="T95" s="47"/>
      <c r="U95" s="55">
        <f t="shared" si="5"/>
        <v>0</v>
      </c>
      <c r="V95" s="48"/>
      <c r="W95" s="121"/>
      <c r="X95" s="125"/>
      <c r="Y95" s="48"/>
      <c r="Z95" s="83" t="str">
        <f t="shared" si="6"/>
        <v>-</v>
      </c>
      <c r="AA95" s="83" t="str">
        <f>IF(K95='Pag 08_Legendas'!B$12,"P&amp;D&amp;I","Bolsa e auxílio")</f>
        <v>Bolsa e auxílio</v>
      </c>
      <c r="AB95" s="83" t="str">
        <f t="shared" si="7"/>
        <v>NÃO</v>
      </c>
      <c r="AC95" s="83" t="str">
        <f t="shared" si="8"/>
        <v>NÃO</v>
      </c>
      <c r="AD95" s="83" t="str">
        <f>IF(K95='Pag 08_Legendas'!B$12,"SIM","NÃO")</f>
        <v>NÃO</v>
      </c>
      <c r="AE95" s="83" t="str">
        <f>IF(K95='Pag 08_Legendas'!B$11,"SIM","NÃO")</f>
        <v>NÃO</v>
      </c>
      <c r="AF95" s="83" t="str">
        <f>IF(K95='Pag 08_Legendas'!B$7,"SIM","NÃO")</f>
        <v>NÃO</v>
      </c>
      <c r="AG95" s="95">
        <f t="shared" si="9"/>
        <v>0</v>
      </c>
      <c r="AH95" s="84"/>
      <c r="AI95" s="10"/>
      <c r="AJ95" s="11"/>
      <c r="AK95" s="10"/>
      <c r="AL95" s="11"/>
      <c r="AM95" s="11"/>
    </row>
    <row r="96" spans="1:199" ht="13.5" x14ac:dyDescent="0.2">
      <c r="A96" s="52"/>
      <c r="B96" s="56"/>
      <c r="C96" s="48"/>
      <c r="D96" s="56"/>
      <c r="E96" s="46"/>
      <c r="F96" s="46"/>
      <c r="G96" s="46"/>
      <c r="H96" s="46"/>
      <c r="I96" s="48"/>
      <c r="J96" s="46"/>
      <c r="K96" s="48"/>
      <c r="L96" s="48"/>
      <c r="M96" s="46"/>
      <c r="N96" s="46"/>
      <c r="O96" s="47"/>
      <c r="P96" s="47"/>
      <c r="Q96" s="47"/>
      <c r="R96" s="47"/>
      <c r="S96" s="47"/>
      <c r="T96" s="47"/>
      <c r="U96" s="55">
        <f t="shared" si="5"/>
        <v>0</v>
      </c>
      <c r="V96" s="48"/>
      <c r="W96" s="121"/>
      <c r="X96" s="125"/>
      <c r="Y96" s="48"/>
      <c r="Z96" s="83" t="str">
        <f t="shared" si="6"/>
        <v>-</v>
      </c>
      <c r="AA96" s="83" t="str">
        <f>IF(K96='Pag 08_Legendas'!B$12,"P&amp;D&amp;I","Bolsa e auxílio")</f>
        <v>Bolsa e auxílio</v>
      </c>
      <c r="AB96" s="83" t="str">
        <f t="shared" si="7"/>
        <v>NÃO</v>
      </c>
      <c r="AC96" s="83" t="str">
        <f t="shared" si="8"/>
        <v>NÃO</v>
      </c>
      <c r="AD96" s="83" t="str">
        <f>IF(K96='Pag 08_Legendas'!B$12,"SIM","NÃO")</f>
        <v>NÃO</v>
      </c>
      <c r="AE96" s="83" t="str">
        <f>IF(K96='Pag 08_Legendas'!B$11,"SIM","NÃO")</f>
        <v>NÃO</v>
      </c>
      <c r="AF96" s="83" t="str">
        <f>IF(K96='Pag 08_Legendas'!B$7,"SIM","NÃO")</f>
        <v>NÃO</v>
      </c>
      <c r="AG96" s="95">
        <f t="shared" si="9"/>
        <v>0</v>
      </c>
      <c r="AH96" s="84"/>
      <c r="AI96" s="10"/>
      <c r="AJ96" s="11"/>
      <c r="AK96" s="10"/>
      <c r="AL96" s="11"/>
      <c r="AM96" s="11"/>
    </row>
    <row r="97" spans="1:39" ht="13.5" x14ac:dyDescent="0.2">
      <c r="A97" s="44"/>
      <c r="B97" s="45"/>
      <c r="C97" s="48"/>
      <c r="D97" s="45"/>
      <c r="E97" s="46"/>
      <c r="F97" s="46"/>
      <c r="G97" s="46"/>
      <c r="H97" s="46"/>
      <c r="I97" s="48"/>
      <c r="J97" s="46"/>
      <c r="K97" s="48"/>
      <c r="L97" s="48"/>
      <c r="M97" s="46"/>
      <c r="N97" s="46"/>
      <c r="O97" s="47"/>
      <c r="P97" s="47"/>
      <c r="Q97" s="47"/>
      <c r="R97" s="47"/>
      <c r="S97" s="47"/>
      <c r="T97" s="47"/>
      <c r="U97" s="55">
        <f t="shared" si="5"/>
        <v>0</v>
      </c>
      <c r="V97" s="48"/>
      <c r="W97" s="121"/>
      <c r="X97" s="125"/>
      <c r="Y97" s="48"/>
      <c r="Z97" s="83" t="str">
        <f t="shared" si="6"/>
        <v>-</v>
      </c>
      <c r="AA97" s="83" t="str">
        <f>IF(K97='Pag 08_Legendas'!B$12,"P&amp;D&amp;I","Bolsa e auxílio")</f>
        <v>Bolsa e auxílio</v>
      </c>
      <c r="AB97" s="83" t="str">
        <f t="shared" si="7"/>
        <v>NÃO</v>
      </c>
      <c r="AC97" s="83" t="str">
        <f t="shared" si="8"/>
        <v>NÃO</v>
      </c>
      <c r="AD97" s="83" t="str">
        <f>IF(K97='Pag 08_Legendas'!B$12,"SIM","NÃO")</f>
        <v>NÃO</v>
      </c>
      <c r="AE97" s="83" t="str">
        <f>IF(K97='Pag 08_Legendas'!B$11,"SIM","NÃO")</f>
        <v>NÃO</v>
      </c>
      <c r="AF97" s="83" t="str">
        <f>IF(K97='Pag 08_Legendas'!B$7,"SIM","NÃO")</f>
        <v>NÃO</v>
      </c>
      <c r="AG97" s="95">
        <f t="shared" si="9"/>
        <v>0</v>
      </c>
      <c r="AH97" s="84"/>
      <c r="AI97" s="10"/>
      <c r="AJ97" s="11"/>
      <c r="AK97" s="10"/>
      <c r="AL97" s="11"/>
      <c r="AM97" s="11"/>
    </row>
    <row r="98" spans="1:39" ht="13.5" x14ac:dyDescent="0.2">
      <c r="A98" s="44"/>
      <c r="B98" s="45"/>
      <c r="C98" s="48"/>
      <c r="D98" s="45"/>
      <c r="E98" s="46"/>
      <c r="F98" s="46"/>
      <c r="G98" s="46"/>
      <c r="H98" s="46"/>
      <c r="I98" s="48"/>
      <c r="J98" s="46"/>
      <c r="K98" s="48"/>
      <c r="L98" s="48"/>
      <c r="M98" s="46"/>
      <c r="N98" s="46"/>
      <c r="O98" s="47"/>
      <c r="P98" s="47"/>
      <c r="Q98" s="47"/>
      <c r="R98" s="47"/>
      <c r="S98" s="47"/>
      <c r="T98" s="47"/>
      <c r="U98" s="55">
        <f t="shared" si="5"/>
        <v>0</v>
      </c>
      <c r="V98" s="48"/>
      <c r="W98" s="121"/>
      <c r="X98" s="125"/>
      <c r="Y98" s="48"/>
      <c r="Z98" s="83" t="str">
        <f t="shared" si="6"/>
        <v>-</v>
      </c>
      <c r="AA98" s="83" t="str">
        <f>IF(K98='Pag 08_Legendas'!B$12,"P&amp;D&amp;I","Bolsa e auxílio")</f>
        <v>Bolsa e auxílio</v>
      </c>
      <c r="AB98" s="83" t="str">
        <f t="shared" si="7"/>
        <v>NÃO</v>
      </c>
      <c r="AC98" s="83" t="str">
        <f t="shared" si="8"/>
        <v>NÃO</v>
      </c>
      <c r="AD98" s="83" t="str">
        <f>IF(K98='Pag 08_Legendas'!B$12,"SIM","NÃO")</f>
        <v>NÃO</v>
      </c>
      <c r="AE98" s="83" t="str">
        <f>IF(K98='Pag 08_Legendas'!B$11,"SIM","NÃO")</f>
        <v>NÃO</v>
      </c>
      <c r="AF98" s="83" t="str">
        <f>IF(K98='Pag 08_Legendas'!B$7,"SIM","NÃO")</f>
        <v>NÃO</v>
      </c>
      <c r="AG98" s="95">
        <f t="shared" si="9"/>
        <v>0</v>
      </c>
      <c r="AH98" s="84"/>
      <c r="AI98" s="10"/>
      <c r="AJ98" s="11"/>
      <c r="AK98" s="10"/>
      <c r="AL98" s="11"/>
      <c r="AM98" s="11"/>
    </row>
    <row r="99" spans="1:39" ht="13.5" x14ac:dyDescent="0.2">
      <c r="A99" s="44"/>
      <c r="B99" s="45"/>
      <c r="C99" s="48"/>
      <c r="D99" s="45"/>
      <c r="E99" s="46"/>
      <c r="F99" s="46"/>
      <c r="G99" s="46"/>
      <c r="H99" s="46"/>
      <c r="I99" s="48"/>
      <c r="J99" s="46"/>
      <c r="K99" s="48"/>
      <c r="L99" s="48"/>
      <c r="M99" s="46"/>
      <c r="N99" s="46"/>
      <c r="O99" s="47"/>
      <c r="P99" s="47"/>
      <c r="Q99" s="47"/>
      <c r="R99" s="47"/>
      <c r="S99" s="47"/>
      <c r="T99" s="47"/>
      <c r="U99" s="55">
        <f t="shared" si="5"/>
        <v>0</v>
      </c>
      <c r="V99" s="48"/>
      <c r="W99" s="121"/>
      <c r="X99" s="125"/>
      <c r="Y99" s="48"/>
      <c r="Z99" s="83" t="str">
        <f t="shared" si="6"/>
        <v>-</v>
      </c>
      <c r="AA99" s="83" t="str">
        <f>IF(K99='Pag 08_Legendas'!B$12,"P&amp;D&amp;I","Bolsa e auxílio")</f>
        <v>Bolsa e auxílio</v>
      </c>
      <c r="AB99" s="83" t="str">
        <f t="shared" si="7"/>
        <v>NÃO</v>
      </c>
      <c r="AC99" s="83" t="str">
        <f t="shared" si="8"/>
        <v>NÃO</v>
      </c>
      <c r="AD99" s="83" t="str">
        <f>IF(K99='Pag 08_Legendas'!B$12,"SIM","NÃO")</f>
        <v>NÃO</v>
      </c>
      <c r="AE99" s="83" t="str">
        <f>IF(K99='Pag 08_Legendas'!B$11,"SIM","NÃO")</f>
        <v>NÃO</v>
      </c>
      <c r="AF99" s="83" t="str">
        <f>IF(K99='Pag 08_Legendas'!B$7,"SIM","NÃO")</f>
        <v>NÃO</v>
      </c>
      <c r="AG99" s="95">
        <f t="shared" si="9"/>
        <v>0</v>
      </c>
      <c r="AH99" s="84"/>
      <c r="AI99" s="10"/>
      <c r="AJ99" s="11"/>
      <c r="AK99" s="10"/>
      <c r="AL99" s="11"/>
      <c r="AM99" s="11"/>
    </row>
    <row r="100" spans="1:39" ht="13.5" x14ac:dyDescent="0.2">
      <c r="A100" s="44"/>
      <c r="B100" s="45"/>
      <c r="C100" s="48"/>
      <c r="D100" s="45"/>
      <c r="E100" s="46"/>
      <c r="F100" s="46"/>
      <c r="G100" s="46"/>
      <c r="H100" s="46"/>
      <c r="I100" s="48"/>
      <c r="J100" s="46"/>
      <c r="K100" s="48"/>
      <c r="L100" s="48"/>
      <c r="M100" s="46"/>
      <c r="N100" s="46"/>
      <c r="O100" s="47"/>
      <c r="P100" s="47"/>
      <c r="Q100" s="47"/>
      <c r="R100" s="47"/>
      <c r="S100" s="47"/>
      <c r="T100" s="47"/>
      <c r="U100" s="55">
        <f t="shared" si="5"/>
        <v>0</v>
      </c>
      <c r="V100" s="48"/>
      <c r="W100" s="121"/>
      <c r="X100" s="125"/>
      <c r="Y100" s="48"/>
      <c r="Z100" s="83" t="str">
        <f t="shared" si="6"/>
        <v>-</v>
      </c>
      <c r="AA100" s="83" t="str">
        <f>IF(K100='Pag 08_Legendas'!B$12,"P&amp;D&amp;I","Bolsa e auxílio")</f>
        <v>Bolsa e auxílio</v>
      </c>
      <c r="AB100" s="83" t="str">
        <f t="shared" si="7"/>
        <v>NÃO</v>
      </c>
      <c r="AC100" s="83" t="str">
        <f t="shared" si="8"/>
        <v>NÃO</v>
      </c>
      <c r="AD100" s="83" t="str">
        <f>IF(K100='Pag 08_Legendas'!B$12,"SIM","NÃO")</f>
        <v>NÃO</v>
      </c>
      <c r="AE100" s="83" t="str">
        <f>IF(K100='Pag 08_Legendas'!B$11,"SIM","NÃO")</f>
        <v>NÃO</v>
      </c>
      <c r="AF100" s="83" t="str">
        <f>IF(K100='Pag 08_Legendas'!B$7,"SIM","NÃO")</f>
        <v>NÃO</v>
      </c>
      <c r="AG100" s="95">
        <f t="shared" si="9"/>
        <v>0</v>
      </c>
      <c r="AH100" s="84"/>
      <c r="AI100" s="10"/>
      <c r="AJ100" s="11"/>
      <c r="AK100" s="10"/>
      <c r="AL100" s="11"/>
      <c r="AM100" s="11"/>
    </row>
    <row r="101" spans="1:39" ht="13.5" x14ac:dyDescent="0.2">
      <c r="A101" s="44"/>
      <c r="B101" s="45"/>
      <c r="C101" s="48"/>
      <c r="D101" s="45"/>
      <c r="E101" s="46"/>
      <c r="F101" s="46"/>
      <c r="G101" s="46"/>
      <c r="H101" s="46"/>
      <c r="I101" s="48"/>
      <c r="J101" s="46"/>
      <c r="K101" s="48"/>
      <c r="L101" s="48"/>
      <c r="M101" s="46"/>
      <c r="N101" s="46"/>
      <c r="O101" s="47"/>
      <c r="P101" s="47"/>
      <c r="Q101" s="47"/>
      <c r="R101" s="47"/>
      <c r="S101" s="47"/>
      <c r="T101" s="47"/>
      <c r="U101" s="55">
        <f t="shared" si="5"/>
        <v>0</v>
      </c>
      <c r="V101" s="48"/>
      <c r="W101" s="121"/>
      <c r="X101" s="125"/>
      <c r="Y101" s="48"/>
      <c r="Z101" s="83" t="str">
        <f t="shared" si="6"/>
        <v>-</v>
      </c>
      <c r="AA101" s="83" t="str">
        <f>IF(K101='Pag 08_Legendas'!B$12,"P&amp;D&amp;I","Bolsa e auxílio")</f>
        <v>Bolsa e auxílio</v>
      </c>
      <c r="AB101" s="83" t="str">
        <f t="shared" si="7"/>
        <v>NÃO</v>
      </c>
      <c r="AC101" s="83" t="str">
        <f t="shared" si="8"/>
        <v>NÃO</v>
      </c>
      <c r="AD101" s="83" t="str">
        <f>IF(K101='Pag 08_Legendas'!B$12,"SIM","NÃO")</f>
        <v>NÃO</v>
      </c>
      <c r="AE101" s="83" t="str">
        <f>IF(K101='Pag 08_Legendas'!B$11,"SIM","NÃO")</f>
        <v>NÃO</v>
      </c>
      <c r="AF101" s="83" t="str">
        <f>IF(K101='Pag 08_Legendas'!B$7,"SIM","NÃO")</f>
        <v>NÃO</v>
      </c>
      <c r="AG101" s="95">
        <f t="shared" si="9"/>
        <v>0</v>
      </c>
      <c r="AH101" s="84"/>
      <c r="AI101" s="10"/>
      <c r="AJ101" s="11"/>
      <c r="AK101" s="10"/>
      <c r="AL101" s="11"/>
      <c r="AM101" s="11"/>
    </row>
    <row r="102" spans="1:39" ht="13.5" x14ac:dyDescent="0.2">
      <c r="A102" s="44"/>
      <c r="B102" s="45"/>
      <c r="C102" s="48"/>
      <c r="D102" s="45"/>
      <c r="E102" s="46"/>
      <c r="F102" s="46"/>
      <c r="G102" s="46"/>
      <c r="H102" s="46"/>
      <c r="I102" s="48"/>
      <c r="J102" s="46"/>
      <c r="K102" s="48"/>
      <c r="L102" s="48"/>
      <c r="M102" s="46"/>
      <c r="N102" s="46"/>
      <c r="O102" s="47"/>
      <c r="P102" s="47"/>
      <c r="Q102" s="47"/>
      <c r="R102" s="47"/>
      <c r="S102" s="47"/>
      <c r="T102" s="47"/>
      <c r="U102" s="55">
        <f t="shared" si="5"/>
        <v>0</v>
      </c>
      <c r="V102" s="48"/>
      <c r="W102" s="121"/>
      <c r="X102" s="125"/>
      <c r="Y102" s="48"/>
      <c r="Z102" s="83" t="str">
        <f t="shared" si="6"/>
        <v>-</v>
      </c>
      <c r="AA102" s="83" t="str">
        <f>IF(K102='Pag 08_Legendas'!B$12,"P&amp;D&amp;I","Bolsa e auxílio")</f>
        <v>Bolsa e auxílio</v>
      </c>
      <c r="AB102" s="83" t="str">
        <f t="shared" si="7"/>
        <v>NÃO</v>
      </c>
      <c r="AC102" s="83" t="str">
        <f t="shared" si="8"/>
        <v>NÃO</v>
      </c>
      <c r="AD102" s="83" t="str">
        <f>IF(K102='Pag 08_Legendas'!B$12,"SIM","NÃO")</f>
        <v>NÃO</v>
      </c>
      <c r="AE102" s="83" t="str">
        <f>IF(K102='Pag 08_Legendas'!B$11,"SIM","NÃO")</f>
        <v>NÃO</v>
      </c>
      <c r="AF102" s="83" t="str">
        <f>IF(K102='Pag 08_Legendas'!B$7,"SIM","NÃO")</f>
        <v>NÃO</v>
      </c>
      <c r="AG102" s="95">
        <f t="shared" si="9"/>
        <v>0</v>
      </c>
      <c r="AH102" s="84"/>
      <c r="AI102" s="10"/>
      <c r="AJ102" s="11"/>
      <c r="AK102" s="10"/>
      <c r="AL102" s="11"/>
      <c r="AM102" s="11"/>
    </row>
    <row r="103" spans="1:39" ht="13.5" x14ac:dyDescent="0.2">
      <c r="A103" s="44"/>
      <c r="B103" s="45"/>
      <c r="C103" s="48"/>
      <c r="D103" s="45"/>
      <c r="E103" s="46"/>
      <c r="F103" s="46"/>
      <c r="G103" s="46"/>
      <c r="H103" s="46"/>
      <c r="I103" s="48"/>
      <c r="J103" s="46"/>
      <c r="K103" s="48"/>
      <c r="L103" s="48"/>
      <c r="M103" s="46"/>
      <c r="N103" s="46"/>
      <c r="O103" s="47"/>
      <c r="P103" s="47"/>
      <c r="Q103" s="47"/>
      <c r="R103" s="47"/>
      <c r="S103" s="47"/>
      <c r="T103" s="47"/>
      <c r="U103" s="55">
        <f t="shared" si="5"/>
        <v>0</v>
      </c>
      <c r="V103" s="48"/>
      <c r="W103" s="121"/>
      <c r="X103" s="125"/>
      <c r="Y103" s="48"/>
      <c r="Z103" s="83" t="str">
        <f t="shared" si="6"/>
        <v>-</v>
      </c>
      <c r="AA103" s="83" t="str">
        <f>IF(K103='Pag 08_Legendas'!B$12,"P&amp;D&amp;I","Bolsa e auxílio")</f>
        <v>Bolsa e auxílio</v>
      </c>
      <c r="AB103" s="83" t="str">
        <f t="shared" si="7"/>
        <v>NÃO</v>
      </c>
      <c r="AC103" s="83" t="str">
        <f t="shared" si="8"/>
        <v>NÃO</v>
      </c>
      <c r="AD103" s="83" t="str">
        <f>IF(K103='Pag 08_Legendas'!B$12,"SIM","NÃO")</f>
        <v>NÃO</v>
      </c>
      <c r="AE103" s="83" t="str">
        <f>IF(K103='Pag 08_Legendas'!B$11,"SIM","NÃO")</f>
        <v>NÃO</v>
      </c>
      <c r="AF103" s="83" t="str">
        <f>IF(K103='Pag 08_Legendas'!B$7,"SIM","NÃO")</f>
        <v>NÃO</v>
      </c>
      <c r="AG103" s="95">
        <f t="shared" si="9"/>
        <v>0</v>
      </c>
      <c r="AH103" s="84"/>
      <c r="AI103" s="10"/>
      <c r="AJ103" s="11"/>
      <c r="AK103" s="10"/>
      <c r="AL103" s="11"/>
      <c r="AM103" s="11"/>
    </row>
    <row r="104" spans="1:39" ht="13.5" x14ac:dyDescent="0.2">
      <c r="A104" s="52"/>
      <c r="B104" s="56"/>
      <c r="C104" s="48"/>
      <c r="D104" s="56"/>
      <c r="E104" s="46"/>
      <c r="F104" s="46"/>
      <c r="G104" s="46"/>
      <c r="H104" s="46"/>
      <c r="I104" s="48"/>
      <c r="J104" s="46"/>
      <c r="K104" s="48"/>
      <c r="L104" s="48"/>
      <c r="M104" s="46"/>
      <c r="N104" s="46"/>
      <c r="O104" s="47"/>
      <c r="P104" s="47"/>
      <c r="Q104" s="47"/>
      <c r="R104" s="47"/>
      <c r="S104" s="47"/>
      <c r="T104" s="47"/>
      <c r="U104" s="55">
        <f t="shared" si="5"/>
        <v>0</v>
      </c>
      <c r="V104" s="48"/>
      <c r="W104" s="121"/>
      <c r="X104" s="125"/>
      <c r="Y104" s="48"/>
      <c r="Z104" s="83" t="str">
        <f t="shared" si="6"/>
        <v>-</v>
      </c>
      <c r="AA104" s="83" t="str">
        <f>IF(K104='Pag 08_Legendas'!B$12,"P&amp;D&amp;I","Bolsa e auxílio")</f>
        <v>Bolsa e auxílio</v>
      </c>
      <c r="AB104" s="83" t="str">
        <f t="shared" si="7"/>
        <v>NÃO</v>
      </c>
      <c r="AC104" s="83" t="str">
        <f t="shared" si="8"/>
        <v>NÃO</v>
      </c>
      <c r="AD104" s="83" t="str">
        <f>IF(K104='Pag 08_Legendas'!B$12,"SIM","NÃO")</f>
        <v>NÃO</v>
      </c>
      <c r="AE104" s="83" t="str">
        <f>IF(K104='Pag 08_Legendas'!B$11,"SIM","NÃO")</f>
        <v>NÃO</v>
      </c>
      <c r="AF104" s="83" t="str">
        <f>IF(K104='Pag 08_Legendas'!B$7,"SIM","NÃO")</f>
        <v>NÃO</v>
      </c>
      <c r="AG104" s="95">
        <f t="shared" si="9"/>
        <v>0</v>
      </c>
      <c r="AH104" s="84"/>
      <c r="AI104" s="10"/>
      <c r="AJ104" s="11"/>
      <c r="AK104" s="10"/>
      <c r="AL104" s="11"/>
      <c r="AM104" s="11"/>
    </row>
    <row r="105" spans="1:39" ht="13.5" x14ac:dyDescent="0.2">
      <c r="A105" s="44"/>
      <c r="B105" s="45"/>
      <c r="C105" s="48"/>
      <c r="D105" s="45"/>
      <c r="E105" s="46"/>
      <c r="F105" s="46"/>
      <c r="G105" s="46"/>
      <c r="H105" s="46"/>
      <c r="I105" s="48"/>
      <c r="J105" s="46"/>
      <c r="K105" s="48"/>
      <c r="L105" s="48"/>
      <c r="M105" s="46"/>
      <c r="N105" s="46"/>
      <c r="O105" s="47"/>
      <c r="P105" s="47"/>
      <c r="Q105" s="47"/>
      <c r="R105" s="47"/>
      <c r="S105" s="47"/>
      <c r="T105" s="47"/>
      <c r="U105" s="55">
        <f t="shared" si="5"/>
        <v>0</v>
      </c>
      <c r="V105" s="48"/>
      <c r="W105" s="121"/>
      <c r="X105" s="125"/>
      <c r="Y105" s="48"/>
      <c r="Z105" s="83" t="str">
        <f t="shared" si="6"/>
        <v>-</v>
      </c>
      <c r="AA105" s="83" t="str">
        <f>IF(K105='Pag 08_Legendas'!B$12,"P&amp;D&amp;I","Bolsa e auxílio")</f>
        <v>Bolsa e auxílio</v>
      </c>
      <c r="AB105" s="83" t="str">
        <f t="shared" si="7"/>
        <v>NÃO</v>
      </c>
      <c r="AC105" s="83" t="str">
        <f t="shared" si="8"/>
        <v>NÃO</v>
      </c>
      <c r="AD105" s="83" t="str">
        <f>IF(K105='Pag 08_Legendas'!B$12,"SIM","NÃO")</f>
        <v>NÃO</v>
      </c>
      <c r="AE105" s="83" t="str">
        <f>IF(K105='Pag 08_Legendas'!B$11,"SIM","NÃO")</f>
        <v>NÃO</v>
      </c>
      <c r="AF105" s="83" t="str">
        <f>IF(K105='Pag 08_Legendas'!B$7,"SIM","NÃO")</f>
        <v>NÃO</v>
      </c>
      <c r="AG105" s="95">
        <f t="shared" si="9"/>
        <v>0</v>
      </c>
      <c r="AH105" s="84"/>
      <c r="AI105" s="10"/>
      <c r="AJ105" s="11"/>
      <c r="AK105" s="10"/>
      <c r="AL105" s="11"/>
      <c r="AM105" s="11"/>
    </row>
    <row r="106" spans="1:39" ht="13.5" x14ac:dyDescent="0.2">
      <c r="A106" s="44"/>
      <c r="B106" s="45"/>
      <c r="C106" s="48"/>
      <c r="D106" s="45"/>
      <c r="E106" s="46"/>
      <c r="F106" s="46"/>
      <c r="G106" s="46"/>
      <c r="H106" s="46"/>
      <c r="I106" s="48"/>
      <c r="J106" s="46"/>
      <c r="K106" s="48"/>
      <c r="L106" s="48"/>
      <c r="M106" s="46"/>
      <c r="N106" s="46"/>
      <c r="O106" s="47"/>
      <c r="P106" s="47"/>
      <c r="Q106" s="47"/>
      <c r="R106" s="47"/>
      <c r="S106" s="47"/>
      <c r="T106" s="47"/>
      <c r="U106" s="55">
        <f t="shared" si="5"/>
        <v>0</v>
      </c>
      <c r="V106" s="48"/>
      <c r="W106" s="121"/>
      <c r="X106" s="125"/>
      <c r="Y106" s="48"/>
      <c r="Z106" s="83" t="str">
        <f t="shared" si="6"/>
        <v>-</v>
      </c>
      <c r="AA106" s="83" t="str">
        <f>IF(K106='Pag 08_Legendas'!B$12,"P&amp;D&amp;I","Bolsa e auxílio")</f>
        <v>Bolsa e auxílio</v>
      </c>
      <c r="AB106" s="83" t="str">
        <f t="shared" si="7"/>
        <v>NÃO</v>
      </c>
      <c r="AC106" s="83" t="str">
        <f t="shared" si="8"/>
        <v>NÃO</v>
      </c>
      <c r="AD106" s="83" t="str">
        <f>IF(K106='Pag 08_Legendas'!B$12,"SIM","NÃO")</f>
        <v>NÃO</v>
      </c>
      <c r="AE106" s="83" t="str">
        <f>IF(K106='Pag 08_Legendas'!B$11,"SIM","NÃO")</f>
        <v>NÃO</v>
      </c>
      <c r="AF106" s="83" t="str">
        <f>IF(K106='Pag 08_Legendas'!B$7,"SIM","NÃO")</f>
        <v>NÃO</v>
      </c>
      <c r="AG106" s="95">
        <f t="shared" si="9"/>
        <v>0</v>
      </c>
      <c r="AH106" s="84"/>
      <c r="AI106" s="10"/>
      <c r="AJ106" s="11"/>
      <c r="AK106" s="10"/>
      <c r="AL106" s="11"/>
      <c r="AM106" s="11"/>
    </row>
    <row r="107" spans="1:39" ht="13.5" x14ac:dyDescent="0.2">
      <c r="A107" s="44"/>
      <c r="B107" s="45"/>
      <c r="C107" s="48"/>
      <c r="D107" s="45"/>
      <c r="E107" s="46"/>
      <c r="F107" s="46"/>
      <c r="G107" s="46"/>
      <c r="H107" s="46"/>
      <c r="I107" s="48"/>
      <c r="J107" s="46"/>
      <c r="K107" s="48"/>
      <c r="L107" s="48"/>
      <c r="M107" s="46"/>
      <c r="N107" s="46"/>
      <c r="O107" s="47"/>
      <c r="P107" s="47"/>
      <c r="Q107" s="47"/>
      <c r="R107" s="47"/>
      <c r="S107" s="47"/>
      <c r="T107" s="47"/>
      <c r="U107" s="55">
        <f t="shared" si="5"/>
        <v>0</v>
      </c>
      <c r="V107" s="48"/>
      <c r="W107" s="121"/>
      <c r="X107" s="125"/>
      <c r="Y107" s="48"/>
      <c r="Z107" s="83" t="str">
        <f t="shared" si="6"/>
        <v>-</v>
      </c>
      <c r="AA107" s="83" t="str">
        <f>IF(K107='Pag 08_Legendas'!B$12,"P&amp;D&amp;I","Bolsa e auxílio")</f>
        <v>Bolsa e auxílio</v>
      </c>
      <c r="AB107" s="83" t="str">
        <f t="shared" si="7"/>
        <v>NÃO</v>
      </c>
      <c r="AC107" s="83" t="str">
        <f t="shared" si="8"/>
        <v>NÃO</v>
      </c>
      <c r="AD107" s="83" t="str">
        <f>IF(K107='Pag 08_Legendas'!B$12,"SIM","NÃO")</f>
        <v>NÃO</v>
      </c>
      <c r="AE107" s="83" t="str">
        <f>IF(K107='Pag 08_Legendas'!B$11,"SIM","NÃO")</f>
        <v>NÃO</v>
      </c>
      <c r="AF107" s="83" t="str">
        <f>IF(K107='Pag 08_Legendas'!B$7,"SIM","NÃO")</f>
        <v>NÃO</v>
      </c>
      <c r="AG107" s="95">
        <f t="shared" si="9"/>
        <v>0</v>
      </c>
      <c r="AH107" s="84"/>
      <c r="AI107" s="10"/>
      <c r="AJ107" s="11"/>
      <c r="AK107" s="10"/>
      <c r="AL107" s="11"/>
      <c r="AM107" s="11"/>
    </row>
    <row r="108" spans="1:39" s="1" customFormat="1" ht="13.5" x14ac:dyDescent="0.2">
      <c r="A108" s="44"/>
      <c r="B108" s="45"/>
      <c r="C108" s="45"/>
      <c r="D108" s="45"/>
      <c r="E108" s="46"/>
      <c r="F108" s="46"/>
      <c r="G108" s="46"/>
      <c r="H108" s="46"/>
      <c r="I108" s="45"/>
      <c r="J108" s="46"/>
      <c r="K108" s="45"/>
      <c r="L108" s="45"/>
      <c r="M108" s="46"/>
      <c r="N108" s="46"/>
      <c r="O108" s="47"/>
      <c r="P108" s="47"/>
      <c r="Q108" s="47"/>
      <c r="R108" s="47"/>
      <c r="S108" s="47"/>
      <c r="T108" s="47"/>
      <c r="U108" s="55">
        <f t="shared" si="5"/>
        <v>0</v>
      </c>
      <c r="V108" s="45"/>
      <c r="W108" s="121"/>
      <c r="X108" s="125"/>
      <c r="Y108" s="45"/>
      <c r="Z108" s="83" t="str">
        <f t="shared" si="6"/>
        <v>-</v>
      </c>
      <c r="AA108" s="83" t="str">
        <f>IF(K108='Pag 08_Legendas'!B$12,"P&amp;D&amp;I","Bolsa e auxílio")</f>
        <v>Bolsa e auxílio</v>
      </c>
      <c r="AB108" s="83" t="str">
        <f t="shared" si="7"/>
        <v>NÃO</v>
      </c>
      <c r="AC108" s="83" t="str">
        <f t="shared" si="8"/>
        <v>NÃO</v>
      </c>
      <c r="AD108" s="83" t="str">
        <f>IF(K108='Pag 08_Legendas'!B$12,"SIM","NÃO")</f>
        <v>NÃO</v>
      </c>
      <c r="AE108" s="83" t="str">
        <f>IF(K108='Pag 08_Legendas'!B$11,"SIM","NÃO")</f>
        <v>NÃO</v>
      </c>
      <c r="AF108" s="83" t="str">
        <f>IF(K108='Pag 08_Legendas'!B$7,"SIM","NÃO")</f>
        <v>NÃO</v>
      </c>
      <c r="AG108" s="95">
        <f t="shared" si="9"/>
        <v>0</v>
      </c>
      <c r="AH108" s="85"/>
      <c r="AI108" s="18"/>
      <c r="AJ108" s="17"/>
      <c r="AK108" s="152"/>
      <c r="AL108" s="153"/>
      <c r="AM108" s="18"/>
    </row>
    <row r="109" spans="1:39" s="1" customFormat="1" ht="13.5" x14ac:dyDescent="0.25">
      <c r="A109" s="163" t="s">
        <v>152</v>
      </c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96"/>
      <c r="AA109" s="97"/>
      <c r="AB109" s="96"/>
      <c r="AC109" s="96"/>
      <c r="AD109" s="96"/>
      <c r="AE109" s="96"/>
      <c r="AF109" s="96"/>
      <c r="AG109" s="97"/>
      <c r="AH109" s="96"/>
      <c r="AI109" s="7"/>
      <c r="AJ109" s="15"/>
      <c r="AK109" s="152"/>
      <c r="AL109" s="164"/>
      <c r="AM109" s="12"/>
    </row>
    <row r="110" spans="1:39" s="1" customFormat="1" ht="39" customHeight="1" x14ac:dyDescent="0.25">
      <c r="A110" s="16"/>
      <c r="B110" s="16"/>
      <c r="C110" s="16"/>
      <c r="D110" s="16"/>
      <c r="E110" s="16"/>
      <c r="F110" s="16"/>
      <c r="G110" s="126"/>
      <c r="H110" s="127"/>
      <c r="I110" s="128"/>
      <c r="J110" s="129"/>
      <c r="K110" s="128"/>
      <c r="L110" s="128"/>
      <c r="M110" s="128"/>
      <c r="N110" s="128"/>
      <c r="O110" s="7"/>
      <c r="P110" s="17"/>
      <c r="Q110" s="7"/>
      <c r="R110" s="17"/>
      <c r="S110" s="7"/>
      <c r="T110" s="17"/>
      <c r="U110" s="17"/>
      <c r="V110" s="17"/>
      <c r="W110" s="17"/>
      <c r="X110" s="17"/>
      <c r="Y110" s="7"/>
      <c r="Z110" s="85"/>
      <c r="AA110" s="97"/>
      <c r="AB110" s="85"/>
      <c r="AC110" s="85"/>
      <c r="AD110" s="85"/>
      <c r="AE110" s="85"/>
      <c r="AF110" s="85"/>
      <c r="AG110" s="97"/>
      <c r="AH110" s="85"/>
      <c r="AI110" s="7"/>
      <c r="AJ110" s="17"/>
      <c r="AK110" s="152"/>
      <c r="AL110" s="164"/>
      <c r="AM110" s="12"/>
    </row>
    <row r="111" spans="1:39" ht="16.5" customHeight="1" x14ac:dyDescent="0.2">
      <c r="A111" s="130"/>
      <c r="B111" s="130"/>
      <c r="C111" s="130"/>
      <c r="D111" s="130"/>
      <c r="E111" s="130"/>
      <c r="F111" s="130"/>
      <c r="G111" s="131"/>
      <c r="H111" s="131"/>
      <c r="I111" s="131"/>
      <c r="J111" s="131"/>
      <c r="K111" s="131"/>
      <c r="L111" s="131"/>
      <c r="M111" s="131"/>
      <c r="N111" s="131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AH111" s="78"/>
      <c r="AI111" s="4"/>
      <c r="AJ111" s="4"/>
      <c r="AK111" s="165"/>
      <c r="AL111" s="165"/>
      <c r="AM111" s="4"/>
    </row>
    <row r="112" spans="1:39" ht="22.9" customHeight="1" x14ac:dyDescent="0.2">
      <c r="A112" s="169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69"/>
      <c r="AE112" s="169"/>
      <c r="AF112" s="169"/>
      <c r="AG112" s="169"/>
      <c r="AH112" s="169"/>
      <c r="AI112" s="169"/>
      <c r="AJ112" s="169"/>
      <c r="AK112" s="169"/>
      <c r="AL112" s="169"/>
      <c r="AM112" s="169"/>
    </row>
    <row r="113" spans="1:39" ht="15.75" customHeight="1" x14ac:dyDescent="0.2">
      <c r="A113" s="13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69"/>
      <c r="AJ113" s="169"/>
      <c r="AK113" s="169"/>
      <c r="AL113" s="169"/>
      <c r="AM113" s="169"/>
    </row>
    <row r="114" spans="1:39" ht="15.75" customHeight="1" x14ac:dyDescent="0.35">
      <c r="A114" s="133"/>
      <c r="B114" s="133"/>
      <c r="C114" s="133"/>
      <c r="D114" s="133"/>
      <c r="E114" s="133"/>
      <c r="F114" s="133"/>
      <c r="G114" s="135"/>
      <c r="H114" s="135"/>
      <c r="I114" s="135"/>
      <c r="J114" s="135"/>
      <c r="K114" s="135"/>
      <c r="L114" s="135"/>
      <c r="M114" s="135"/>
      <c r="N114" s="135"/>
      <c r="O114" s="136"/>
      <c r="P114" s="136"/>
      <c r="Q114" s="136"/>
      <c r="R114" s="136"/>
      <c r="S114" s="137"/>
      <c r="T114" s="137"/>
      <c r="U114" s="137"/>
      <c r="V114" s="137"/>
      <c r="W114" s="137"/>
      <c r="X114" s="137"/>
      <c r="Y114" s="137"/>
      <c r="Z114" s="138"/>
      <c r="AA114" s="138"/>
      <c r="AB114" s="138"/>
      <c r="AC114" s="138"/>
      <c r="AD114" s="138"/>
      <c r="AE114" s="138"/>
      <c r="AF114" s="138"/>
      <c r="AG114" s="138"/>
      <c r="AH114" s="138"/>
      <c r="AI114" s="137"/>
      <c r="AJ114" s="137"/>
      <c r="AK114" s="137"/>
      <c r="AL114" s="137"/>
      <c r="AM114" s="4"/>
    </row>
    <row r="115" spans="1:39" ht="15.75" customHeight="1" x14ac:dyDescent="0.2">
      <c r="A115" s="170"/>
      <c r="B115" s="170"/>
      <c r="C115" s="170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Z115" s="170"/>
      <c r="AA115" s="170"/>
      <c r="AB115" s="170"/>
      <c r="AC115" s="170"/>
      <c r="AD115" s="170"/>
      <c r="AE115" s="170"/>
      <c r="AF115" s="170"/>
      <c r="AG115" s="170"/>
      <c r="AH115" s="170"/>
      <c r="AI115" s="170"/>
      <c r="AJ115" s="170"/>
      <c r="AK115" s="170"/>
      <c r="AL115" s="170"/>
      <c r="AM115" s="170"/>
    </row>
    <row r="116" spans="1:39" s="139" customFormat="1" ht="15.75" customHeight="1" x14ac:dyDescent="0.25">
      <c r="A116" s="170"/>
      <c r="B116" s="170"/>
      <c r="C116" s="170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70"/>
      <c r="T116" s="170"/>
      <c r="U116" s="170"/>
      <c r="V116" s="170"/>
      <c r="W116" s="170"/>
      <c r="X116" s="170"/>
      <c r="Y116" s="170"/>
      <c r="Z116" s="170"/>
      <c r="AA116" s="170"/>
      <c r="AB116" s="170"/>
      <c r="AC116" s="170"/>
      <c r="AD116" s="170"/>
      <c r="AE116" s="170"/>
      <c r="AF116" s="170"/>
      <c r="AG116" s="170"/>
      <c r="AH116" s="170"/>
      <c r="AI116" s="170"/>
      <c r="AJ116" s="170"/>
      <c r="AK116" s="170"/>
      <c r="AL116" s="170"/>
      <c r="AM116" s="170"/>
    </row>
    <row r="117" spans="1:39" ht="21" customHeight="1" x14ac:dyDescent="0.2">
      <c r="A117" s="170"/>
      <c r="B117" s="170"/>
      <c r="C117" s="170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  <c r="AI117" s="170"/>
      <c r="AJ117" s="170"/>
      <c r="AK117" s="170"/>
      <c r="AL117" s="170"/>
      <c r="AM117" s="170"/>
    </row>
    <row r="118" spans="1:39" ht="8.25" customHeight="1" x14ac:dyDescent="0.2">
      <c r="A118" s="170"/>
      <c r="B118" s="170"/>
      <c r="C118" s="170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70"/>
      <c r="T118" s="170"/>
      <c r="U118" s="170"/>
      <c r="V118" s="170"/>
      <c r="W118" s="170"/>
      <c r="X118" s="170"/>
      <c r="Y118" s="170"/>
      <c r="Z118" s="170"/>
      <c r="AA118" s="170"/>
      <c r="AB118" s="170"/>
      <c r="AC118" s="170"/>
      <c r="AD118" s="170"/>
      <c r="AE118" s="170"/>
      <c r="AF118" s="170"/>
      <c r="AG118" s="170"/>
      <c r="AH118" s="170"/>
      <c r="AI118" s="170"/>
      <c r="AJ118" s="170"/>
      <c r="AK118" s="170"/>
      <c r="AL118" s="170"/>
      <c r="AM118" s="170"/>
    </row>
    <row r="119" spans="1:39" ht="11.25" customHeight="1" x14ac:dyDescent="0.2">
      <c r="A119" s="170"/>
      <c r="B119" s="170"/>
      <c r="C119" s="170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</row>
    <row r="120" spans="1:39" ht="15" customHeight="1" x14ac:dyDescent="0.25">
      <c r="A120" s="140"/>
      <c r="B120" s="140"/>
      <c r="C120" s="140"/>
      <c r="D120" s="140"/>
      <c r="E120" s="140"/>
      <c r="F120" s="140"/>
      <c r="G120" s="148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49"/>
      <c r="AB120" s="149"/>
      <c r="AC120" s="149"/>
      <c r="AD120" s="149"/>
      <c r="AE120" s="149"/>
      <c r="AF120" s="149"/>
      <c r="AG120" s="149"/>
      <c r="AH120" s="142"/>
      <c r="AI120" s="141"/>
      <c r="AK120" s="150"/>
      <c r="AL120" s="150"/>
    </row>
    <row r="121" spans="1:39" ht="14.25" customHeight="1" x14ac:dyDescent="0.25">
      <c r="A121" s="148"/>
      <c r="B121" s="148"/>
      <c r="C121" s="148"/>
      <c r="D121" s="148"/>
      <c r="E121" s="148"/>
      <c r="F121" s="148"/>
      <c r="G121" s="149"/>
      <c r="H121" s="149"/>
      <c r="I121" s="149"/>
      <c r="J121" s="149"/>
      <c r="K121" s="149"/>
      <c r="L121" s="149"/>
      <c r="M121" s="149"/>
      <c r="N121" s="149"/>
      <c r="O121" s="149"/>
      <c r="P121" s="149"/>
      <c r="Q121" s="149"/>
      <c r="R121" s="149"/>
      <c r="S121" s="149"/>
      <c r="T121" s="149"/>
      <c r="U121" s="149"/>
      <c r="V121" s="149"/>
      <c r="W121" s="149"/>
      <c r="X121" s="149"/>
      <c r="Y121" s="150"/>
      <c r="AK121" s="150"/>
      <c r="AL121" s="150"/>
    </row>
  </sheetData>
  <sheetProtection algorithmName="SHA-512" hashValue="x3eivaRRYZpsqZET06xpjHBLX6/70y4dIBp7kkJQu3+Cn5i+YCWszQlRUlqUDt2b2McGM7TzdCwPydLYewr/Lg==" saltValue="1I3K2UE2O+B89EpgAopi4g==" spinCount="100000" sheet="1" formatRows="0" sort="0" autoFilter="0" pivotTables="0"/>
  <autoFilter ref="A6:Y109" xr:uid="{37E6716E-032C-4A71-8580-51A3D80226BD}"/>
  <mergeCells count="17">
    <mergeCell ref="A121:Y121"/>
    <mergeCell ref="AK121:AL121"/>
    <mergeCell ref="A115:AM119"/>
    <mergeCell ref="G120:AG120"/>
    <mergeCell ref="AK120:AL120"/>
    <mergeCell ref="A112:AM112"/>
    <mergeCell ref="AI113:AM113"/>
    <mergeCell ref="A5:N5"/>
    <mergeCell ref="O5:Y5"/>
    <mergeCell ref="AK108:AL108"/>
    <mergeCell ref="AK109:AL109"/>
    <mergeCell ref="A1:Y1"/>
    <mergeCell ref="A2:Y2"/>
    <mergeCell ref="A109:Y109"/>
    <mergeCell ref="AK110:AL110"/>
    <mergeCell ref="AK111:AL111"/>
    <mergeCell ref="A3:Y3"/>
  </mergeCells>
  <conditionalFormatting sqref="A7:T108 V7:V108 Y7:Y108">
    <cfRule type="cellIs" dxfId="6" priority="15" operator="equal">
      <formula>$S$4</formula>
    </cfRule>
  </conditionalFormatting>
  <conditionalFormatting sqref="W7:X108">
    <cfRule type="containsBlanks" dxfId="5" priority="1">
      <formula>LEN(TRIM(W7))=0</formula>
    </cfRule>
    <cfRule type="cellIs" dxfId="4" priority="2" stopIfTrue="1" operator="equal">
      <formula>"Concluído"</formula>
    </cfRule>
    <cfRule type="containsBlanks" priority="3" stopIfTrue="1">
      <formula>LEN(TRIM(W7))=0</formula>
    </cfRule>
    <cfRule type="cellIs" dxfId="3" priority="5" stopIfTrue="1" operator="between">
      <formula>$K$4</formula>
      <formula>$L$4</formula>
    </cfRule>
    <cfRule type="timePeriod" dxfId="2" priority="6" stopIfTrue="1" timePeriod="nextMonth">
      <formula>AND(MONTH(W7)=MONTH(EDATE(TODAY(),0+1)),YEAR(W7)=YEAR(EDATE(TODAY(),0+1)))</formula>
    </cfRule>
    <cfRule type="cellIs" dxfId="1" priority="7" stopIfTrue="1" operator="lessThan">
      <formula>$K$4</formula>
    </cfRule>
    <cfRule type="cellIs" dxfId="0" priority="8" stopIfTrue="1" operator="greaterThan">
      <formula>$L$4</formula>
    </cfRule>
  </conditionalFormatting>
  <dataValidations count="3">
    <dataValidation type="list" allowBlank="1" showInputMessage="1" showErrorMessage="1" sqref="I7:I108" xr:uid="{00000000-0002-0000-0100-000000000000}">
      <formula1>"CCQA,Cetea,Cereal Chocotec,Cial,CTC,DG,Fruthotec,Tecnolat"</formula1>
    </dataValidation>
    <dataValidation type="list" allowBlank="1" showInputMessage="1" showErrorMessage="1" sqref="C7:C108 M7:N108" xr:uid="{00000000-0002-0000-0100-000001000000}">
      <formula1>"S,N"</formula1>
    </dataValidation>
    <dataValidation type="list" allowBlank="1" showInputMessage="1" showErrorMessage="1" sqref="F7:F108" xr:uid="{00000000-0002-0000-0100-000002000000}">
      <formula1>"FQ-07.02,FQ-07.11"</formula1>
    </dataValidation>
  </dataValidations>
  <printOptions verticalCentered="1"/>
  <pageMargins left="0.39370078740157483" right="0" top="0.78740157480314965" bottom="0.78740157480314965" header="0.19685039370078741" footer="0"/>
  <pageSetup paperSize="9" scale="30" orientation="landscape" r:id="rId1"/>
  <headerFooter alignWithMargins="0">
    <oddHeader>&amp;R&amp;P/&amp;N</oddHeader>
    <oddFooter>&amp;LFQ-07.54 (anexo ao PQ-07.02) - RA - revisão 03 de 02/02/26 - Página 2/8</oddFooter>
  </headerFooter>
  <rowBreaks count="1" manualBreakCount="1">
    <brk id="123" max="44" man="1"/>
  </rowBreaks>
  <colBreaks count="1" manualBreakCount="1">
    <brk id="25" max="1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tão1_Clique">
                <anchor moveWithCells="1" sizeWithCells="1">
                  <from>
                    <xdr:col>39</xdr:col>
                    <xdr:colOff>152400</xdr:colOff>
                    <xdr:row>5</xdr:row>
                    <xdr:rowOff>9525</xdr:rowOff>
                  </from>
                  <to>
                    <xdr:col>40</xdr:col>
                    <xdr:colOff>590550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tão2_Clique">
                <anchor moveWithCells="1" sizeWithCells="1">
                  <from>
                    <xdr:col>41</xdr:col>
                    <xdr:colOff>66675</xdr:colOff>
                    <xdr:row>5</xdr:row>
                    <xdr:rowOff>0</xdr:rowOff>
                  </from>
                  <to>
                    <xdr:col>42</xdr:col>
                    <xdr:colOff>600075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'Pag 08_Legendas'!$A$3:$A$8</xm:f>
          </x14:formula1>
          <xm:sqref>J7:J108</xm:sqref>
        </x14:dataValidation>
        <x14:dataValidation type="list" allowBlank="1" showInputMessage="1" showErrorMessage="1" xr:uid="{00000000-0002-0000-0100-000004000000}">
          <x14:formula1>
            <xm:f>'Pag 08_Legendas'!$C$3:$C$14</xm:f>
          </x14:formula1>
          <xm:sqref>L7:L108</xm:sqref>
        </x14:dataValidation>
        <x14:dataValidation type="list" allowBlank="1" showInputMessage="1" showErrorMessage="1" xr:uid="{00000000-0002-0000-0100-000005000000}">
          <x14:formula1>
            <xm:f>'Pag 08_Legendas'!$B$3:$B$14</xm:f>
          </x14:formula1>
          <xm:sqref>K7:K108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59"/>
  <sheetViews>
    <sheetView tabSelected="1" view="pageBreakPreview" zoomScale="60" zoomScaleNormal="106" workbookViewId="0">
      <selection activeCell="A16" sqref="A16"/>
    </sheetView>
  </sheetViews>
  <sheetFormatPr defaultRowHeight="12.75" x14ac:dyDescent="0.2"/>
  <cols>
    <col min="1" max="1" width="17.140625" style="90" customWidth="1"/>
    <col min="2" max="2" width="11.85546875" bestFit="1" customWidth="1"/>
    <col min="3" max="3" width="10.7109375" bestFit="1" customWidth="1"/>
    <col min="4" max="4" width="8.42578125" bestFit="1" customWidth="1"/>
    <col min="5" max="5" width="10.7109375" bestFit="1" customWidth="1"/>
    <col min="6" max="6" width="14.5703125" bestFit="1" customWidth="1"/>
    <col min="7" max="7" width="16.28515625" bestFit="1" customWidth="1"/>
    <col min="8" max="8" width="23.7109375" bestFit="1" customWidth="1"/>
    <col min="9" max="9" width="10.7109375" bestFit="1" customWidth="1"/>
  </cols>
  <sheetData>
    <row r="1" spans="1:9" x14ac:dyDescent="0.2">
      <c r="A1" s="175" t="s">
        <v>40</v>
      </c>
      <c r="B1" s="175"/>
      <c r="C1" s="175"/>
      <c r="D1" s="175"/>
      <c r="E1" s="175"/>
      <c r="F1" s="175"/>
      <c r="G1" s="175"/>
      <c r="H1" s="175"/>
      <c r="I1" s="175"/>
    </row>
    <row r="3" spans="1:9" x14ac:dyDescent="0.2">
      <c r="A3" s="174" t="s">
        <v>142</v>
      </c>
      <c r="B3" s="174"/>
      <c r="C3" s="174"/>
      <c r="D3" s="174"/>
      <c r="E3" s="174"/>
      <c r="F3" s="174"/>
      <c r="G3" s="174"/>
      <c r="H3" s="174"/>
      <c r="I3" s="174"/>
    </row>
    <row r="5" spans="1:9" ht="23.25" customHeight="1" x14ac:dyDescent="0.2">
      <c r="A5" s="35" t="s">
        <v>25</v>
      </c>
      <c r="B5" s="36" t="s">
        <v>27</v>
      </c>
      <c r="C5" s="36" t="s">
        <v>16</v>
      </c>
      <c r="D5" s="37" t="s">
        <v>17</v>
      </c>
      <c r="E5" s="37" t="s">
        <v>18</v>
      </c>
      <c r="F5" s="37" t="s">
        <v>19</v>
      </c>
      <c r="G5" s="37" t="s">
        <v>20</v>
      </c>
      <c r="H5" s="37" t="s">
        <v>21</v>
      </c>
      <c r="I5" s="37" t="s">
        <v>28</v>
      </c>
    </row>
    <row r="6" spans="1:9" x14ac:dyDescent="0.2">
      <c r="A6" s="89" t="s">
        <v>0</v>
      </c>
      <c r="B6" s="21">
        <f>SUM(COUNTIFS('Página 01_Cadastro'!G$6:G$120,'Página 03_Envio_Modalidade'!A6,'Página 01_Cadastro'!I$6:I$120,'Pag 08_Legendas'!B$12,'Página 01_Cadastro'!C$6:C$120,"S"))+B103</f>
        <v>0</v>
      </c>
      <c r="C6" s="22">
        <f>(SUMIFS('Página 01_Cadastro'!M$6:M$120,'Página 01_Cadastro'!G$6:G$120,'Página 03_Envio_Modalidade'!A6,'Página 01_Cadastro'!I$6:I$120,'Pag 08_Legendas'!B$12))+C103</f>
        <v>0</v>
      </c>
      <c r="D6" s="22">
        <f>(SUMIFS('Página 01_Cadastro'!N$6:N$120,'Página 01_Cadastro'!G$6:G$120,'Página 03_Envio_Modalidade'!A6,'Página 01_Cadastro'!I$6:I$120,'Pag 08_Legendas'!B$12))+D103</f>
        <v>0</v>
      </c>
      <c r="E6" s="22">
        <f>(SUMIFS('Página 01_Cadastro'!O$6:O$120,'Página 01_Cadastro'!G$6:G$120,'Página 03_Envio_Modalidade'!A6,'Página 01_Cadastro'!I$6:I$120,'Pag 08_Legendas'!B$12))+E103</f>
        <v>0</v>
      </c>
      <c r="F6" s="22">
        <f>(SUMIFS('Página 01_Cadastro'!P$6:P$120,'Página 01_Cadastro'!G$6:G$120,'Página 03_Envio_Modalidade'!A6,'Página 01_Cadastro'!I$6:I$120,'Pag 08_Legendas'!B$12))+F103</f>
        <v>0</v>
      </c>
      <c r="G6" s="22">
        <f>(SUMIFS('Página 01_Cadastro'!Q$6:Q$120,'Página 01_Cadastro'!G$6:G$120,'Página 03_Envio_Modalidade'!A6,'Página 01_Cadastro'!I$6:I$120,'Pag 08_Legendas'!B$12))+G103</f>
        <v>0</v>
      </c>
      <c r="H6" s="22">
        <f>(SUMIFS('Página 01_Cadastro'!R$6:R$120,'Página 01_Cadastro'!G$6:G$120,'Página 03_Envio_Modalidade'!A6,'Página 01_Cadastro'!I$6:I$120,'Pag 08_Legendas'!B$12))+H103</f>
        <v>0</v>
      </c>
      <c r="I6" s="22">
        <f>SUM(C6:H6)</f>
        <v>0</v>
      </c>
    </row>
    <row r="7" spans="1:9" x14ac:dyDescent="0.2">
      <c r="A7" s="89" t="s">
        <v>5</v>
      </c>
      <c r="B7" s="21">
        <f>(COUNTIFS('Página 01_Cadastro'!G$6:G$120,'Página 03_Envio_Modalidade'!A7,'Página 01_Cadastro'!I$6:I$120,'Pag 08_Legendas'!B$12,'Página 01_Cadastro'!C$6:C$120,"S"))+B104</f>
        <v>0</v>
      </c>
      <c r="C7" s="22">
        <f>(SUMIFS('Página 01_Cadastro'!M$6:M$120,'Página 01_Cadastro'!G$6:G$120,'Página 03_Envio_Modalidade'!A7,'Página 01_Cadastro'!I$6:I$120,'Pag 08_Legendas'!B$12))+C104</f>
        <v>0</v>
      </c>
      <c r="D7" s="22">
        <f>(SUMIFS('Página 01_Cadastro'!N$6:N$120,'Página 01_Cadastro'!G$6:G$120,'Página 03_Envio_Modalidade'!A7,'Página 01_Cadastro'!I$6:I$120,'Pag 08_Legendas'!B$12))+D104</f>
        <v>0</v>
      </c>
      <c r="E7" s="22">
        <f>(SUMIFS('Página 01_Cadastro'!O$6:O$120,'Página 01_Cadastro'!G$6:G$120,'Página 03_Envio_Modalidade'!A7,'Página 01_Cadastro'!I$6:I$120,'Pag 08_Legendas'!B$12))+E104</f>
        <v>0</v>
      </c>
      <c r="F7" s="22">
        <f>(SUMIFS('Página 01_Cadastro'!P$6:P$120,'Página 01_Cadastro'!G$6:G$120,'Página 03_Envio_Modalidade'!A7,'Página 01_Cadastro'!I$6:I$120,'Pag 08_Legendas'!B$12))+F104</f>
        <v>0</v>
      </c>
      <c r="G7" s="22">
        <f>(SUMIFS('Página 01_Cadastro'!Q$6:Q$120,'Página 01_Cadastro'!G$6:G$120,'Página 03_Envio_Modalidade'!A7,'Página 01_Cadastro'!I$6:I$120,'Pag 08_Legendas'!B$12))+G104</f>
        <v>0</v>
      </c>
      <c r="H7" s="22">
        <f>(SUMIFS('Página 01_Cadastro'!R$6:R$120,'Página 01_Cadastro'!G$6:G$120,'Página 03_Envio_Modalidade'!A7,'Página 01_Cadastro'!I$6:I$120,'Pag 08_Legendas'!B$12))+H104</f>
        <v>0</v>
      </c>
      <c r="I7" s="22">
        <f t="shared" ref="I7:I13" si="0">SUM(C7:H7)</f>
        <v>0</v>
      </c>
    </row>
    <row r="8" spans="1:9" x14ac:dyDescent="0.2">
      <c r="A8" s="89" t="s">
        <v>1</v>
      </c>
      <c r="B8" s="21">
        <f>(COUNTIFS('Página 01_Cadastro'!G$6:G$120,'Página 03_Envio_Modalidade'!A8,'Página 01_Cadastro'!I$6:I$120,'Pag 08_Legendas'!B$12,'Página 01_Cadastro'!C$6:C$120,"S"))+B105</f>
        <v>0</v>
      </c>
      <c r="C8" s="22">
        <f>(SUMIFS('Página 01_Cadastro'!M$6:M$120,'Página 01_Cadastro'!G$6:G$120,'Página 03_Envio_Modalidade'!A8,'Página 01_Cadastro'!I$6:I$120,'Pag 08_Legendas'!B$12))+C105</f>
        <v>0</v>
      </c>
      <c r="D8" s="22">
        <f>(SUMIFS('Página 01_Cadastro'!N$6:N$120,'Página 01_Cadastro'!G$6:G$120,'Página 03_Envio_Modalidade'!A8,'Página 01_Cadastro'!I$6:I$120,'Pag 08_Legendas'!B$12))+D105</f>
        <v>0</v>
      </c>
      <c r="E8" s="22">
        <f>(SUMIFS('Página 01_Cadastro'!O$6:O$120,'Página 01_Cadastro'!G$6:G$120,'Página 03_Envio_Modalidade'!A8,'Página 01_Cadastro'!I$6:I$120,'Pag 08_Legendas'!B$12))+E105</f>
        <v>0</v>
      </c>
      <c r="F8" s="22">
        <f>(SUMIFS('Página 01_Cadastro'!P$6:P$120,'Página 01_Cadastro'!G$6:G$120,'Página 03_Envio_Modalidade'!A8,'Página 01_Cadastro'!I$6:I$120,'Pag 08_Legendas'!B$12))+F105</f>
        <v>0</v>
      </c>
      <c r="G8" s="22">
        <f>(SUMIFS('Página 01_Cadastro'!Q$6:Q$120,'Página 01_Cadastro'!G$6:G$120,'Página 03_Envio_Modalidade'!A8,'Página 01_Cadastro'!I$6:I$120,'Pag 08_Legendas'!B$12))+G105</f>
        <v>0</v>
      </c>
      <c r="H8" s="22">
        <f>(SUMIFS('Página 01_Cadastro'!R$6:R$120,'Página 01_Cadastro'!G$6:G$120,'Página 03_Envio_Modalidade'!A8,'Página 01_Cadastro'!I$6:I$120,'Pag 08_Legendas'!B$12))+H105</f>
        <v>0</v>
      </c>
      <c r="I8" s="22">
        <f t="shared" si="0"/>
        <v>0</v>
      </c>
    </row>
    <row r="9" spans="1:9" x14ac:dyDescent="0.2">
      <c r="A9" s="89" t="s">
        <v>26</v>
      </c>
      <c r="B9" s="21">
        <f>(COUNTIFS('Página 01_Cadastro'!G$6:G$120,'Página 03_Envio_Modalidade'!A9,'Página 01_Cadastro'!I$6:I$120,'Pag 08_Legendas'!B$12,'Página 01_Cadastro'!C$6:C$120,"S"))+B106</f>
        <v>0</v>
      </c>
      <c r="C9" s="22">
        <f>(SUMIFS('Página 01_Cadastro'!M$6:M$120,'Página 01_Cadastro'!G$6:G$120,'Página 03_Envio_Modalidade'!A9,'Página 01_Cadastro'!I$6:I$120,'Pag 08_Legendas'!B$12))+C106</f>
        <v>0</v>
      </c>
      <c r="D9" s="22">
        <f>(SUMIFS('Página 01_Cadastro'!N$6:N$120,'Página 01_Cadastro'!G$6:G$120,'Página 03_Envio_Modalidade'!A9,'Página 01_Cadastro'!I$6:I$120,'Pag 08_Legendas'!B$12))+D106</f>
        <v>0</v>
      </c>
      <c r="E9" s="22">
        <f>(SUMIFS('Página 01_Cadastro'!O$6:O$120,'Página 01_Cadastro'!G$6:G$120,'Página 03_Envio_Modalidade'!A9,'Página 01_Cadastro'!I$6:I$120,'Pag 08_Legendas'!B$12))+E106</f>
        <v>0</v>
      </c>
      <c r="F9" s="22">
        <f>(SUMIFS('Página 01_Cadastro'!P$6:P$120,'Página 01_Cadastro'!G$6:G$120,'Página 03_Envio_Modalidade'!A9,'Página 01_Cadastro'!I$6:I$120,'Pag 08_Legendas'!B$12))+F106</f>
        <v>0</v>
      </c>
      <c r="G9" s="22">
        <f>(SUMIFS('Página 01_Cadastro'!Q$6:Q$120,'Página 01_Cadastro'!G$6:G$120,'Página 03_Envio_Modalidade'!A9,'Página 01_Cadastro'!I$6:I$120,'Pag 08_Legendas'!B$12))+G106</f>
        <v>0</v>
      </c>
      <c r="H9" s="22">
        <f>(SUMIFS('Página 01_Cadastro'!R$6:R$120,'Página 01_Cadastro'!G$6:G$120,'Página 03_Envio_Modalidade'!A9,'Página 01_Cadastro'!I$6:I$120,'Pag 08_Legendas'!B$12))+H106</f>
        <v>0</v>
      </c>
      <c r="I9" s="22">
        <f t="shared" si="0"/>
        <v>0</v>
      </c>
    </row>
    <row r="10" spans="1:9" x14ac:dyDescent="0.2">
      <c r="A10" s="89" t="s">
        <v>2</v>
      </c>
      <c r="B10" s="21">
        <f>(COUNTIFS('Página 01_Cadastro'!G$6:G$120,'Página 03_Envio_Modalidade'!A10,'Página 01_Cadastro'!I$6:I$120,'Pag 08_Legendas'!B$12,'Página 01_Cadastro'!C$6:C$120,"S"))+B107</f>
        <v>0</v>
      </c>
      <c r="C10" s="22">
        <f>(SUMIFS('Página 01_Cadastro'!M$6:M$120,'Página 01_Cadastro'!G$6:G$120,'Página 03_Envio_Modalidade'!A10,'Página 01_Cadastro'!I$6:I$120,'Pag 08_Legendas'!B$12))+C107</f>
        <v>0</v>
      </c>
      <c r="D10" s="22">
        <f>(SUMIFS('Página 01_Cadastro'!N$6:N$120,'Página 01_Cadastro'!G$6:G$120,'Página 03_Envio_Modalidade'!A10,'Página 01_Cadastro'!I$6:I$120,'Pag 08_Legendas'!B$12))+D107</f>
        <v>0</v>
      </c>
      <c r="E10" s="22">
        <f>(SUMIFS('Página 01_Cadastro'!O$6:O$120,'Página 01_Cadastro'!G$6:G$120,'Página 03_Envio_Modalidade'!A10,'Página 01_Cadastro'!I$6:I$120,'Pag 08_Legendas'!B$12))+E107</f>
        <v>0</v>
      </c>
      <c r="F10" s="22">
        <f>(SUMIFS('Página 01_Cadastro'!P$6:P$120,'Página 01_Cadastro'!G$6:G$120,'Página 03_Envio_Modalidade'!A10,'Página 01_Cadastro'!I$6:I$120,'Pag 08_Legendas'!B$12))+F107</f>
        <v>0</v>
      </c>
      <c r="G10" s="22">
        <f>(SUMIFS('Página 01_Cadastro'!Q$6:Q$120,'Página 01_Cadastro'!G$6:G$120,'Página 03_Envio_Modalidade'!A10,'Página 01_Cadastro'!I$6:I$120,'Pag 08_Legendas'!B$12))+G107</f>
        <v>0</v>
      </c>
      <c r="H10" s="22">
        <f>(SUMIFS('Página 01_Cadastro'!R$6:R$120,'Página 01_Cadastro'!G$6:G$120,'Página 03_Envio_Modalidade'!A10,'Página 01_Cadastro'!I$6:I$120,'Pag 08_Legendas'!B$12))+H107</f>
        <v>0</v>
      </c>
      <c r="I10" s="22">
        <f t="shared" si="0"/>
        <v>0</v>
      </c>
    </row>
    <row r="11" spans="1:9" x14ac:dyDescent="0.2">
      <c r="A11" s="89" t="s">
        <v>4</v>
      </c>
      <c r="B11" s="21">
        <f>(COUNTIFS('Página 01_Cadastro'!G$6:G$120,'Página 03_Envio_Modalidade'!A11,'Página 01_Cadastro'!I$6:I$120,'Pag 08_Legendas'!B$12,'Página 01_Cadastro'!C$6:C$120,"S"))+B108</f>
        <v>0</v>
      </c>
      <c r="C11" s="22">
        <f>(SUMIFS('Página 01_Cadastro'!M$6:M$120,'Página 01_Cadastro'!G$6:G$120,'Página 03_Envio_Modalidade'!A11,'Página 01_Cadastro'!I$6:I$120,'Pag 08_Legendas'!B$12))+C108</f>
        <v>0</v>
      </c>
      <c r="D11" s="22">
        <f>(SUMIFS('Página 01_Cadastro'!N$6:N$120,'Página 01_Cadastro'!G$6:G$120,'Página 03_Envio_Modalidade'!A11,'Página 01_Cadastro'!I$6:I$120,'Pag 08_Legendas'!B$12))+D108</f>
        <v>0</v>
      </c>
      <c r="E11" s="22">
        <f>(SUMIFS('Página 01_Cadastro'!O$6:O$120,'Página 01_Cadastro'!G$6:G$120,'Página 03_Envio_Modalidade'!A11,'Página 01_Cadastro'!I$6:I$120,'Pag 08_Legendas'!B$12))+E108</f>
        <v>0</v>
      </c>
      <c r="F11" s="22">
        <f>(SUMIFS('Página 01_Cadastro'!P$6:P$120,'Página 01_Cadastro'!G$6:G$120,'Página 03_Envio_Modalidade'!A11,'Página 01_Cadastro'!I$6:I$120,'Pag 08_Legendas'!B$12))+F108</f>
        <v>0</v>
      </c>
      <c r="G11" s="22">
        <f>(SUMIFS('Página 01_Cadastro'!Q$6:Q$120,'Página 01_Cadastro'!G$6:G$120,'Página 03_Envio_Modalidade'!A11,'Página 01_Cadastro'!I$6:I$120,'Pag 08_Legendas'!B$12))+G108</f>
        <v>0</v>
      </c>
      <c r="H11" s="22">
        <f>(SUMIFS('Página 01_Cadastro'!R$6:R$120,'Página 01_Cadastro'!G$6:G$120,'Página 03_Envio_Modalidade'!A11,'Página 01_Cadastro'!I$6:I$120,'Pag 08_Legendas'!B$12))+H108</f>
        <v>0</v>
      </c>
      <c r="I11" s="22">
        <f t="shared" si="0"/>
        <v>0</v>
      </c>
    </row>
    <row r="12" spans="1:9" x14ac:dyDescent="0.2">
      <c r="A12" s="89" t="s">
        <v>3</v>
      </c>
      <c r="B12" s="21">
        <f>(COUNTIFS('Página 01_Cadastro'!G$6:G$120,'Página 03_Envio_Modalidade'!A12,'Página 01_Cadastro'!I$6:I$120,'Pag 08_Legendas'!B$12,'Página 01_Cadastro'!C$6:C$120,"S"))+B109</f>
        <v>0</v>
      </c>
      <c r="C12" s="22">
        <f>(SUMIFS('Página 01_Cadastro'!M$6:M$120,'Página 01_Cadastro'!G$6:G$120,'Página 03_Envio_Modalidade'!A12,'Página 01_Cadastro'!I$6:I$120,'Pag 08_Legendas'!B$12))+C109</f>
        <v>0</v>
      </c>
      <c r="D12" s="22">
        <f>(SUMIFS('Página 01_Cadastro'!N$6:N$120,'Página 01_Cadastro'!G$6:G$120,'Página 03_Envio_Modalidade'!A12,'Página 01_Cadastro'!I$6:I$120,'Pag 08_Legendas'!B$12))+D109</f>
        <v>0</v>
      </c>
      <c r="E12" s="22">
        <f>(SUMIFS('Página 01_Cadastro'!O$6:O$120,'Página 01_Cadastro'!G$6:G$120,'Página 03_Envio_Modalidade'!A12,'Página 01_Cadastro'!I$6:I$120,'Pag 08_Legendas'!B$12))+E109</f>
        <v>0</v>
      </c>
      <c r="F12" s="22">
        <f>(SUMIFS('Página 01_Cadastro'!P$6:P$120,'Página 01_Cadastro'!G$6:G$120,'Página 03_Envio_Modalidade'!A12,'Página 01_Cadastro'!I$6:I$120,'Pag 08_Legendas'!B$12))+F109</f>
        <v>0</v>
      </c>
      <c r="G12" s="22">
        <f>(SUMIFS('Página 01_Cadastro'!Q$6:Q$120,'Página 01_Cadastro'!G$6:G$120,'Página 03_Envio_Modalidade'!A12,'Página 01_Cadastro'!I$6:I$120,'Pag 08_Legendas'!B$12))+G109</f>
        <v>0</v>
      </c>
      <c r="H12" s="22">
        <f>(SUMIFS('Página 01_Cadastro'!R$6:R$120,'Página 01_Cadastro'!G$6:G$120,'Página 03_Envio_Modalidade'!A12,'Página 01_Cadastro'!I$6:I$120,'Pag 08_Legendas'!B$12))+H109</f>
        <v>0</v>
      </c>
      <c r="I12" s="22">
        <f t="shared" si="0"/>
        <v>0</v>
      </c>
    </row>
    <row r="13" spans="1:9" x14ac:dyDescent="0.2">
      <c r="A13" s="43" t="s">
        <v>6</v>
      </c>
      <c r="B13" s="31">
        <f>SUM(B6:B12)</f>
        <v>0</v>
      </c>
      <c r="C13" s="33">
        <f t="shared" ref="C13:H13" si="1">SUM(C6:C12)</f>
        <v>0</v>
      </c>
      <c r="D13" s="33">
        <f t="shared" si="1"/>
        <v>0</v>
      </c>
      <c r="E13" s="33">
        <f t="shared" si="1"/>
        <v>0</v>
      </c>
      <c r="F13" s="33">
        <f t="shared" si="1"/>
        <v>0</v>
      </c>
      <c r="G13" s="33">
        <f t="shared" si="1"/>
        <v>0</v>
      </c>
      <c r="H13" s="33">
        <f t="shared" si="1"/>
        <v>0</v>
      </c>
      <c r="I13" s="33">
        <f t="shared" si="0"/>
        <v>0</v>
      </c>
    </row>
    <row r="16" spans="1:9" x14ac:dyDescent="0.2">
      <c r="A16" s="174" t="s">
        <v>34</v>
      </c>
      <c r="B16" s="174"/>
      <c r="C16" s="174"/>
      <c r="D16" s="174"/>
      <c r="E16" s="174"/>
      <c r="F16" s="174"/>
      <c r="G16" s="174"/>
      <c r="H16" s="174"/>
      <c r="I16" s="174"/>
    </row>
    <row r="18" spans="1:9" x14ac:dyDescent="0.2">
      <c r="A18" s="35" t="s">
        <v>25</v>
      </c>
      <c r="B18" s="36" t="s">
        <v>27</v>
      </c>
      <c r="C18" s="36" t="s">
        <v>16</v>
      </c>
      <c r="D18" s="37" t="s">
        <v>17</v>
      </c>
      <c r="E18" s="37" t="s">
        <v>18</v>
      </c>
      <c r="F18" s="37" t="s">
        <v>19</v>
      </c>
      <c r="G18" s="37" t="s">
        <v>20</v>
      </c>
      <c r="H18" s="37" t="s">
        <v>21</v>
      </c>
      <c r="I18" s="37" t="s">
        <v>28</v>
      </c>
    </row>
    <row r="19" spans="1:9" x14ac:dyDescent="0.2">
      <c r="A19" s="89" t="s">
        <v>0</v>
      </c>
      <c r="B19" s="21">
        <f>COUNTIFS('Página 01_Cadastro'!G$6:G$120,'Página 03_Envio_Modalidade'!A19,'Página 01_Cadastro'!I$6:I$120,'Pag 08_Legendas'!B$11,'Página 01_Cadastro'!C$6:C$120,"S")</f>
        <v>0</v>
      </c>
      <c r="C19" s="22">
        <f>SUMIFS('Página 01_Cadastro'!M$6:M$120,'Página 01_Cadastro'!G$6:G$120,'Página 03_Envio_Modalidade'!A19,'Página 01_Cadastro'!I$6:I$120,'Pag 08_Legendas'!B$11)</f>
        <v>0</v>
      </c>
      <c r="D19" s="22">
        <f>SUMIFS('Página 01_Cadastro'!N$6:N$120,'Página 01_Cadastro'!G$6:G$120,'Página 03_Envio_Modalidade'!A19,'Página 01_Cadastro'!I$6:I$120,'Pag 08_Legendas'!B$11)</f>
        <v>0</v>
      </c>
      <c r="E19" s="22">
        <f>SUMIFS('Página 01_Cadastro'!O$6:O$120,'Página 01_Cadastro'!G$6:G$120,'Página 03_Envio_Modalidade'!A19,'Página 01_Cadastro'!I$6:I$120,'Pag 08_Legendas'!B$11)</f>
        <v>0</v>
      </c>
      <c r="F19" s="22">
        <f>SUMIFS('Página 01_Cadastro'!P$6:P$120,'Página 01_Cadastro'!G$6:G$120,'Página 03_Envio_Modalidade'!A19,'Página 01_Cadastro'!I$6:I$120,'Pag 08_Legendas'!B$11)</f>
        <v>0</v>
      </c>
      <c r="G19" s="22">
        <f>SUMIFS('Página 01_Cadastro'!Q$6:Q$120,'Página 01_Cadastro'!G$6:G$120,'Página 03_Envio_Modalidade'!A19,'Página 01_Cadastro'!I$6:I$120,'Pag 08_Legendas'!B$11)</f>
        <v>0</v>
      </c>
      <c r="H19" s="22">
        <f>SUMIFS('Página 01_Cadastro'!R$6:R$120,'Página 01_Cadastro'!G$6:G$120,'Página 03_Envio_Modalidade'!A19,'Página 01_Cadastro'!I$6:I$120,'Pag 08_Legendas'!B$11)</f>
        <v>0</v>
      </c>
      <c r="I19" s="22">
        <f>SUM(C19:H19)</f>
        <v>0</v>
      </c>
    </row>
    <row r="20" spans="1:9" x14ac:dyDescent="0.2">
      <c r="A20" s="89" t="s">
        <v>5</v>
      </c>
      <c r="B20" s="21">
        <f>COUNTIFS('Página 01_Cadastro'!G$6:G$120,'Página 03_Envio_Modalidade'!A20,'Página 01_Cadastro'!I$6:I$120,'Pag 08_Legendas'!B$11,'Página 01_Cadastro'!C$6:C$120,"S")</f>
        <v>0</v>
      </c>
      <c r="C20" s="22">
        <f>SUMIFS('Página 01_Cadastro'!M$6:M$120,'Página 01_Cadastro'!G$6:G$120,'Página 03_Envio_Modalidade'!A20,'Página 01_Cadastro'!I$6:I$120,'Pag 08_Legendas'!B$11)</f>
        <v>0</v>
      </c>
      <c r="D20" s="22">
        <f>SUMIFS('Página 01_Cadastro'!N$6:N$120,'Página 01_Cadastro'!G$6:G$120,'Página 03_Envio_Modalidade'!A20,'Página 01_Cadastro'!I$6:I$120,'Pag 08_Legendas'!B$11)</f>
        <v>0</v>
      </c>
      <c r="E20" s="22">
        <f>SUMIFS('Página 01_Cadastro'!O$6:O$120,'Página 01_Cadastro'!G$6:G$120,'Página 03_Envio_Modalidade'!A20,'Página 01_Cadastro'!I$6:I$120,'Pag 08_Legendas'!B$11)</f>
        <v>0</v>
      </c>
      <c r="F20" s="22">
        <f>SUMIFS('Página 01_Cadastro'!P$6:P$120,'Página 01_Cadastro'!G$6:G$120,'Página 03_Envio_Modalidade'!A20,'Página 01_Cadastro'!I$6:I$120,'Pag 08_Legendas'!B$11)</f>
        <v>0</v>
      </c>
      <c r="G20" s="22">
        <f>SUMIFS('Página 01_Cadastro'!Q$6:Q$120,'Página 01_Cadastro'!G$6:G$120,'Página 03_Envio_Modalidade'!A20,'Página 01_Cadastro'!I$6:I$120,'Pag 08_Legendas'!B$11)</f>
        <v>0</v>
      </c>
      <c r="H20" s="22">
        <f>SUMIFS('Página 01_Cadastro'!R$6:R$120,'Página 01_Cadastro'!G$6:G$120,'Página 03_Envio_Modalidade'!A20,'Página 01_Cadastro'!I$6:I$120,'Pag 08_Legendas'!B$11)</f>
        <v>0</v>
      </c>
      <c r="I20" s="22">
        <f t="shared" ref="I20:I26" si="2">SUM(C20:H20)</f>
        <v>0</v>
      </c>
    </row>
    <row r="21" spans="1:9" x14ac:dyDescent="0.2">
      <c r="A21" s="89" t="s">
        <v>1</v>
      </c>
      <c r="B21" s="21">
        <f>COUNTIFS('Página 01_Cadastro'!G$6:G$120,'Página 03_Envio_Modalidade'!A21,'Página 01_Cadastro'!I$6:I$120,'Pag 08_Legendas'!B$11,'Página 01_Cadastro'!C$6:C$120,"S")</f>
        <v>0</v>
      </c>
      <c r="C21" s="22">
        <f>SUMIFS('Página 01_Cadastro'!M$6:M$120,'Página 01_Cadastro'!G$6:G$120,'Página 03_Envio_Modalidade'!A21,'Página 01_Cadastro'!I$6:I$120,'Pag 08_Legendas'!B$11)</f>
        <v>0</v>
      </c>
      <c r="D21" s="22">
        <f>SUMIFS('Página 01_Cadastro'!N$6:N$120,'Página 01_Cadastro'!G$6:G$120,'Página 03_Envio_Modalidade'!A21,'Página 01_Cadastro'!I$6:I$120,'Pag 08_Legendas'!B$11)</f>
        <v>0</v>
      </c>
      <c r="E21" s="22">
        <f>SUMIFS('Página 01_Cadastro'!O$6:O$120,'Página 01_Cadastro'!G$6:G$120,'Página 03_Envio_Modalidade'!A21,'Página 01_Cadastro'!I$6:I$120,'Pag 08_Legendas'!B$11)</f>
        <v>0</v>
      </c>
      <c r="F21" s="22">
        <f>SUMIFS('Página 01_Cadastro'!P$6:P$120,'Página 01_Cadastro'!G$6:G$120,'Página 03_Envio_Modalidade'!A21,'Página 01_Cadastro'!I$6:I$120,'Pag 08_Legendas'!B$11)</f>
        <v>0</v>
      </c>
      <c r="G21" s="22">
        <f>SUMIFS('Página 01_Cadastro'!Q$6:Q$120,'Página 01_Cadastro'!G$6:G$120,'Página 03_Envio_Modalidade'!A21,'Página 01_Cadastro'!I$6:I$120,'Pag 08_Legendas'!B$11)</f>
        <v>0</v>
      </c>
      <c r="H21" s="22">
        <f>SUMIFS('Página 01_Cadastro'!R$6:R$120,'Página 01_Cadastro'!G$6:G$120,'Página 03_Envio_Modalidade'!A21,'Página 01_Cadastro'!I$6:I$120,'Pag 08_Legendas'!B$11)</f>
        <v>0</v>
      </c>
      <c r="I21" s="22">
        <f t="shared" si="2"/>
        <v>0</v>
      </c>
    </row>
    <row r="22" spans="1:9" x14ac:dyDescent="0.2">
      <c r="A22" s="89" t="s">
        <v>26</v>
      </c>
      <c r="B22" s="21">
        <f>COUNTIFS('Página 01_Cadastro'!G$6:G$120,'Página 03_Envio_Modalidade'!A22,'Página 01_Cadastro'!I$6:I$120,'Pag 08_Legendas'!B$11,'Página 01_Cadastro'!C$6:C$120,"S")</f>
        <v>0</v>
      </c>
      <c r="C22" s="22">
        <f>SUMIFS('Página 01_Cadastro'!M$6:M$120,'Página 01_Cadastro'!G$6:G$120,'Página 03_Envio_Modalidade'!A22,'Página 01_Cadastro'!I$6:I$120,'Pag 08_Legendas'!B$11)</f>
        <v>0</v>
      </c>
      <c r="D22" s="22">
        <f>SUMIFS('Página 01_Cadastro'!N$6:N$120,'Página 01_Cadastro'!G$6:G$120,'Página 03_Envio_Modalidade'!A22,'Página 01_Cadastro'!I$6:I$120,'Pag 08_Legendas'!B$11)</f>
        <v>0</v>
      </c>
      <c r="E22" s="22">
        <f>SUMIFS('Página 01_Cadastro'!O$6:O$120,'Página 01_Cadastro'!G$6:G$120,'Página 03_Envio_Modalidade'!A22,'Página 01_Cadastro'!I$6:I$120,'Pag 08_Legendas'!B$11)</f>
        <v>0</v>
      </c>
      <c r="F22" s="22">
        <f>SUMIFS('Página 01_Cadastro'!P$6:P$120,'Página 01_Cadastro'!G$6:G$120,'Página 03_Envio_Modalidade'!A22,'Página 01_Cadastro'!I$6:I$120,'Pag 08_Legendas'!B$11)</f>
        <v>0</v>
      </c>
      <c r="G22" s="22">
        <f>SUMIFS('Página 01_Cadastro'!Q$6:Q$120,'Página 01_Cadastro'!G$6:G$120,'Página 03_Envio_Modalidade'!A22,'Página 01_Cadastro'!I$6:I$120,'Pag 08_Legendas'!B$11)</f>
        <v>0</v>
      </c>
      <c r="H22" s="22">
        <f>SUMIFS('Página 01_Cadastro'!R$6:R$120,'Página 01_Cadastro'!G$6:G$120,'Página 03_Envio_Modalidade'!A22,'Página 01_Cadastro'!I$6:I$120,'Pag 08_Legendas'!B$11)</f>
        <v>0</v>
      </c>
      <c r="I22" s="22">
        <f t="shared" si="2"/>
        <v>0</v>
      </c>
    </row>
    <row r="23" spans="1:9" x14ac:dyDescent="0.2">
      <c r="A23" s="89" t="s">
        <v>2</v>
      </c>
      <c r="B23" s="21">
        <f>COUNTIFS('Página 01_Cadastro'!G$6:G$120,'Página 03_Envio_Modalidade'!A23,'Página 01_Cadastro'!I$6:I$120,'Pag 08_Legendas'!B$11,'Página 01_Cadastro'!C$6:C$120,"S")</f>
        <v>0</v>
      </c>
      <c r="C23" s="22">
        <f>SUMIFS('Página 01_Cadastro'!M$6:M$120,'Página 01_Cadastro'!G$6:G$120,'Página 03_Envio_Modalidade'!A23,'Página 01_Cadastro'!I$6:I$120,'Pag 08_Legendas'!B$11)</f>
        <v>0</v>
      </c>
      <c r="D23" s="22">
        <f>SUMIFS('Página 01_Cadastro'!N$6:N$120,'Página 01_Cadastro'!G$6:G$120,'Página 03_Envio_Modalidade'!A23,'Página 01_Cadastro'!I$6:I$120,'Pag 08_Legendas'!B$11)</f>
        <v>0</v>
      </c>
      <c r="E23" s="22">
        <f>SUMIFS('Página 01_Cadastro'!O$6:O$120,'Página 01_Cadastro'!G$6:G$120,'Página 03_Envio_Modalidade'!A23,'Página 01_Cadastro'!I$6:I$120,'Pag 08_Legendas'!B$11)</f>
        <v>0</v>
      </c>
      <c r="F23" s="22">
        <f>SUMIFS('Página 01_Cadastro'!P$6:P$120,'Página 01_Cadastro'!G$6:G$120,'Página 03_Envio_Modalidade'!A23,'Página 01_Cadastro'!I$6:I$120,'Pag 08_Legendas'!B$11)</f>
        <v>0</v>
      </c>
      <c r="G23" s="22">
        <f>SUMIFS('Página 01_Cadastro'!Q$6:Q$120,'Página 01_Cadastro'!G$6:G$120,'Página 03_Envio_Modalidade'!A23,'Página 01_Cadastro'!I$6:I$120,'Pag 08_Legendas'!B$11)</f>
        <v>0</v>
      </c>
      <c r="H23" s="22">
        <f>SUMIFS('Página 01_Cadastro'!R$6:R$120,'Página 01_Cadastro'!G$6:G$120,'Página 03_Envio_Modalidade'!A23,'Página 01_Cadastro'!I$6:I$120,'Pag 08_Legendas'!B$11)</f>
        <v>0</v>
      </c>
      <c r="I23" s="22">
        <f t="shared" si="2"/>
        <v>0</v>
      </c>
    </row>
    <row r="24" spans="1:9" x14ac:dyDescent="0.2">
      <c r="A24" s="89" t="s">
        <v>4</v>
      </c>
      <c r="B24" s="21">
        <f>COUNTIFS('Página 01_Cadastro'!G$6:G$120,'Página 03_Envio_Modalidade'!A24,'Página 01_Cadastro'!I$6:I$120,'Pag 08_Legendas'!B$11,'Página 01_Cadastro'!C$6:C$120,"S")</f>
        <v>0</v>
      </c>
      <c r="C24" s="22">
        <f>SUMIFS('Página 01_Cadastro'!M$6:M$120,'Página 01_Cadastro'!G$6:G$120,'Página 03_Envio_Modalidade'!A24,'Página 01_Cadastro'!I$6:I$120,'Pag 08_Legendas'!B$11)</f>
        <v>0</v>
      </c>
      <c r="D24" s="22">
        <f>SUMIFS('Página 01_Cadastro'!N$6:N$120,'Página 01_Cadastro'!G$6:G$120,'Página 03_Envio_Modalidade'!A24,'Página 01_Cadastro'!I$6:I$120,'Pag 08_Legendas'!B$11)</f>
        <v>0</v>
      </c>
      <c r="E24" s="22">
        <f>SUMIFS('Página 01_Cadastro'!O$6:O$120,'Página 01_Cadastro'!G$6:G$120,'Página 03_Envio_Modalidade'!A24,'Página 01_Cadastro'!I$6:I$120,'Pag 08_Legendas'!B$11)</f>
        <v>0</v>
      </c>
      <c r="F24" s="22">
        <f>SUMIFS('Página 01_Cadastro'!P$6:P$120,'Página 01_Cadastro'!G$6:G$120,'Página 03_Envio_Modalidade'!A24,'Página 01_Cadastro'!I$6:I$120,'Pag 08_Legendas'!B$11)</f>
        <v>0</v>
      </c>
      <c r="G24" s="22">
        <f>SUMIFS('Página 01_Cadastro'!Q$6:Q$120,'Página 01_Cadastro'!G$6:G$120,'Página 03_Envio_Modalidade'!A24,'Página 01_Cadastro'!I$6:I$120,'Pag 08_Legendas'!B$11)</f>
        <v>0</v>
      </c>
      <c r="H24" s="22">
        <f>SUMIFS('Página 01_Cadastro'!R$6:R$120,'Página 01_Cadastro'!G$6:G$120,'Página 03_Envio_Modalidade'!A24,'Página 01_Cadastro'!I$6:I$120,'Pag 08_Legendas'!B$11)</f>
        <v>0</v>
      </c>
      <c r="I24" s="22">
        <f t="shared" si="2"/>
        <v>0</v>
      </c>
    </row>
    <row r="25" spans="1:9" x14ac:dyDescent="0.2">
      <c r="A25" s="89" t="s">
        <v>3</v>
      </c>
      <c r="B25" s="21">
        <f>COUNTIFS('Página 01_Cadastro'!G$6:G$120,'Página 03_Envio_Modalidade'!A25,'Página 01_Cadastro'!I$6:I$120,'Pag 08_Legendas'!B$11,'Página 01_Cadastro'!C$6:C$120,"S")</f>
        <v>0</v>
      </c>
      <c r="C25" s="22">
        <f>SUMIFS('Página 01_Cadastro'!M$6:M$120,'Página 01_Cadastro'!G$6:G$120,'Página 03_Envio_Modalidade'!A25,'Página 01_Cadastro'!I$6:I$120,'Pag 08_Legendas'!B$11)</f>
        <v>0</v>
      </c>
      <c r="D25" s="22">
        <f>SUMIFS('Página 01_Cadastro'!N$6:N$120,'Página 01_Cadastro'!G$6:G$120,'Página 03_Envio_Modalidade'!A25,'Página 01_Cadastro'!I$6:I$120,'Pag 08_Legendas'!B$11)</f>
        <v>0</v>
      </c>
      <c r="E25" s="22">
        <f>SUMIFS('Página 01_Cadastro'!O$6:O$120,'Página 01_Cadastro'!G$6:G$120,'Página 03_Envio_Modalidade'!A25,'Página 01_Cadastro'!I$6:I$120,'Pag 08_Legendas'!B$11)</f>
        <v>0</v>
      </c>
      <c r="F25" s="22">
        <f>SUMIFS('Página 01_Cadastro'!P$6:P$120,'Página 01_Cadastro'!G$6:G$120,'Página 03_Envio_Modalidade'!A25,'Página 01_Cadastro'!I$6:I$120,'Pag 08_Legendas'!B$11)</f>
        <v>0</v>
      </c>
      <c r="G25" s="22">
        <f>SUMIFS('Página 01_Cadastro'!Q$6:Q$120,'Página 01_Cadastro'!G$6:G$120,'Página 03_Envio_Modalidade'!A25,'Página 01_Cadastro'!I$6:I$120,'Pag 08_Legendas'!B$11)</f>
        <v>0</v>
      </c>
      <c r="H25" s="22">
        <f>SUMIFS('Página 01_Cadastro'!R$6:R$120,'Página 01_Cadastro'!G$6:G$120,'Página 03_Envio_Modalidade'!A25,'Página 01_Cadastro'!I$6:I$120,'Pag 08_Legendas'!B$11)</f>
        <v>0</v>
      </c>
      <c r="I25" s="22">
        <f t="shared" si="2"/>
        <v>0</v>
      </c>
    </row>
    <row r="26" spans="1:9" x14ac:dyDescent="0.2">
      <c r="A26" s="43" t="s">
        <v>6</v>
      </c>
      <c r="B26" s="31">
        <f>SUM(B19:B25)</f>
        <v>0</v>
      </c>
      <c r="C26" s="33">
        <f t="shared" ref="C26" si="3">SUM(C19:C25)</f>
        <v>0</v>
      </c>
      <c r="D26" s="33">
        <f t="shared" ref="D26" si="4">SUM(D19:D25)</f>
        <v>0</v>
      </c>
      <c r="E26" s="33">
        <f t="shared" ref="E26" si="5">SUM(E19:E25)</f>
        <v>0</v>
      </c>
      <c r="F26" s="33">
        <f t="shared" ref="F26" si="6">SUM(F19:F25)</f>
        <v>0</v>
      </c>
      <c r="G26" s="33">
        <f t="shared" ref="G26" si="7">SUM(G19:G25)</f>
        <v>0</v>
      </c>
      <c r="H26" s="33">
        <f t="shared" ref="H26" si="8">SUM(H19:H25)</f>
        <v>0</v>
      </c>
      <c r="I26" s="33">
        <f t="shared" si="2"/>
        <v>0</v>
      </c>
    </row>
    <row r="28" spans="1:9" x14ac:dyDescent="0.2">
      <c r="A28" s="174" t="s">
        <v>35</v>
      </c>
      <c r="B28" s="174"/>
      <c r="C28" s="174"/>
      <c r="D28" s="174"/>
      <c r="E28" s="174"/>
      <c r="F28" s="174"/>
      <c r="G28" s="174"/>
      <c r="H28" s="174"/>
      <c r="I28" s="174"/>
    </row>
    <row r="30" spans="1:9" x14ac:dyDescent="0.2">
      <c r="A30" s="35" t="s">
        <v>25</v>
      </c>
      <c r="B30" s="36" t="s">
        <v>27</v>
      </c>
      <c r="C30" s="36" t="s">
        <v>16</v>
      </c>
      <c r="D30" s="37" t="s">
        <v>17</v>
      </c>
      <c r="E30" s="37" t="s">
        <v>18</v>
      </c>
      <c r="F30" s="37" t="s">
        <v>19</v>
      </c>
      <c r="G30" s="37" t="s">
        <v>20</v>
      </c>
      <c r="H30" s="37" t="s">
        <v>21</v>
      </c>
      <c r="I30" s="37" t="s">
        <v>28</v>
      </c>
    </row>
    <row r="31" spans="1:9" x14ac:dyDescent="0.2">
      <c r="A31" s="89" t="s">
        <v>0</v>
      </c>
      <c r="B31" s="21">
        <f>COUNTIFS('Página 01_Cadastro'!G$6:G$120,'Página 03_Envio_Modalidade'!A31,'Página 01_Cadastro'!I$6:I$120,'Pag 08_Legendas'!B$7,'Página 01_Cadastro'!C$6:C$120,"S")</f>
        <v>0</v>
      </c>
      <c r="C31" s="22">
        <f>SUMIFS('Página 01_Cadastro'!M$6:M$120,'Página 01_Cadastro'!G$6:G$120,'Página 03_Envio_Modalidade'!A31,'Página 01_Cadastro'!I$6:I$120,'Pag 08_Legendas'!B$7)</f>
        <v>0</v>
      </c>
      <c r="D31" s="22">
        <f>SUMIFS('Página 01_Cadastro'!N$6:N$120,'Página 01_Cadastro'!G$6:G$120,'Página 03_Envio_Modalidade'!A31,'Página 01_Cadastro'!I$6:I$120,'Pag 08_Legendas'!B$7)</f>
        <v>0</v>
      </c>
      <c r="E31" s="22">
        <f>SUMIFS('Página 01_Cadastro'!O$6:O$120,'Página 01_Cadastro'!G$6:G$120,'Página 03_Envio_Modalidade'!A31,'Página 01_Cadastro'!I$6:I$120,'Pag 08_Legendas'!B$7)</f>
        <v>0</v>
      </c>
      <c r="F31" s="22">
        <f>SUMIFS('Página 01_Cadastro'!P$6:P$120,'Página 01_Cadastro'!G$6:G$120,'Página 03_Envio_Modalidade'!A31,'Página 01_Cadastro'!I$6:I$120,'Pag 08_Legendas'!B$7)</f>
        <v>0</v>
      </c>
      <c r="G31" s="22">
        <f>SUMIFS('Página 01_Cadastro'!Q$6:Q$120,'Página 01_Cadastro'!G$6:G$120,'Página 03_Envio_Modalidade'!A31,'Página 01_Cadastro'!I$6:I$120,'Pag 08_Legendas'!B$7)</f>
        <v>0</v>
      </c>
      <c r="H31" s="22">
        <f>SUMIFS('Página 01_Cadastro'!R$6:R$120,'Página 01_Cadastro'!G$6:G$120,'Página 03_Envio_Modalidade'!A31,'Página 01_Cadastro'!I$6:I$120,'Pag 08_Legendas'!B$7)</f>
        <v>0</v>
      </c>
      <c r="I31" s="22">
        <f>SUM(C31:H31)</f>
        <v>0</v>
      </c>
    </row>
    <row r="32" spans="1:9" x14ac:dyDescent="0.2">
      <c r="A32" s="89" t="s">
        <v>5</v>
      </c>
      <c r="B32" s="21">
        <f>COUNTIFS('Página 01_Cadastro'!G$6:G$120,'Página 03_Envio_Modalidade'!A32,'Página 01_Cadastro'!I$6:I$120,'Pag 08_Legendas'!B$7,'Página 01_Cadastro'!C$6:C$120,"S")</f>
        <v>0</v>
      </c>
      <c r="C32" s="22">
        <f>SUMIFS('Página 01_Cadastro'!M$6:M$120,'Página 01_Cadastro'!G$6:G$120,'Página 03_Envio_Modalidade'!A32,'Página 01_Cadastro'!I$6:I$120,'Pag 08_Legendas'!B$7)</f>
        <v>0</v>
      </c>
      <c r="D32" s="22">
        <f>SUMIFS('Página 01_Cadastro'!N$6:N$120,'Página 01_Cadastro'!G$6:G$120,'Página 03_Envio_Modalidade'!A32,'Página 01_Cadastro'!I$6:I$120,'Pag 08_Legendas'!B$7)</f>
        <v>0</v>
      </c>
      <c r="E32" s="22">
        <f>SUMIFS('Página 01_Cadastro'!O$6:O$120,'Página 01_Cadastro'!G$6:G$120,'Página 03_Envio_Modalidade'!A32,'Página 01_Cadastro'!I$6:I$120,'Pag 08_Legendas'!B$7)</f>
        <v>0</v>
      </c>
      <c r="F32" s="22">
        <f>SUMIFS('Página 01_Cadastro'!P$6:P$120,'Página 01_Cadastro'!G$6:G$120,'Página 03_Envio_Modalidade'!A32,'Página 01_Cadastro'!I$6:I$120,'Pag 08_Legendas'!B$7)</f>
        <v>0</v>
      </c>
      <c r="G32" s="22">
        <f>SUMIFS('Página 01_Cadastro'!Q$6:Q$120,'Página 01_Cadastro'!G$6:G$120,'Página 03_Envio_Modalidade'!A32,'Página 01_Cadastro'!I$6:I$120,'Pag 08_Legendas'!B$7)</f>
        <v>0</v>
      </c>
      <c r="H32" s="22">
        <f>SUMIFS('Página 01_Cadastro'!R$6:R$120,'Página 01_Cadastro'!G$6:G$120,'Página 03_Envio_Modalidade'!A32,'Página 01_Cadastro'!I$6:I$120,'Pag 08_Legendas'!B$7)</f>
        <v>0</v>
      </c>
      <c r="I32" s="22">
        <f t="shared" ref="I32:I38" si="9">SUM(C32:H32)</f>
        <v>0</v>
      </c>
    </row>
    <row r="33" spans="1:9" x14ac:dyDescent="0.2">
      <c r="A33" s="89" t="s">
        <v>1</v>
      </c>
      <c r="B33" s="21">
        <f>COUNTIFS('Página 01_Cadastro'!G$6:G$120,'Página 03_Envio_Modalidade'!A33,'Página 01_Cadastro'!I$6:I$120,'Pag 08_Legendas'!B$7,'Página 01_Cadastro'!C$6:C$120,"S")</f>
        <v>0</v>
      </c>
      <c r="C33" s="22">
        <f>SUMIFS('Página 01_Cadastro'!M$6:M$120,'Página 01_Cadastro'!G$6:G$120,'Página 03_Envio_Modalidade'!A33,'Página 01_Cadastro'!I$6:I$120,'Pag 08_Legendas'!B$7)</f>
        <v>0</v>
      </c>
      <c r="D33" s="22">
        <f>SUMIFS('Página 01_Cadastro'!N$6:N$120,'Página 01_Cadastro'!G$6:G$120,'Página 03_Envio_Modalidade'!A33,'Página 01_Cadastro'!I$6:I$120,'Pag 08_Legendas'!B$7)</f>
        <v>0</v>
      </c>
      <c r="E33" s="22">
        <f>SUMIFS('Página 01_Cadastro'!O$6:O$120,'Página 01_Cadastro'!G$6:G$120,'Página 03_Envio_Modalidade'!A33,'Página 01_Cadastro'!I$6:I$120,'Pag 08_Legendas'!B$7)</f>
        <v>0</v>
      </c>
      <c r="F33" s="22">
        <f>SUMIFS('Página 01_Cadastro'!P$6:P$120,'Página 01_Cadastro'!G$6:G$120,'Página 03_Envio_Modalidade'!A33,'Página 01_Cadastro'!I$6:I$120,'Pag 08_Legendas'!B$7)</f>
        <v>0</v>
      </c>
      <c r="G33" s="22">
        <f>SUMIFS('Página 01_Cadastro'!Q$6:Q$120,'Página 01_Cadastro'!G$6:G$120,'Página 03_Envio_Modalidade'!A33,'Página 01_Cadastro'!I$6:I$120,'Pag 08_Legendas'!B$7)</f>
        <v>0</v>
      </c>
      <c r="H33" s="22">
        <f>SUMIFS('Página 01_Cadastro'!R$6:R$120,'Página 01_Cadastro'!G$6:G$120,'Página 03_Envio_Modalidade'!A33,'Página 01_Cadastro'!I$6:I$120,'Pag 08_Legendas'!B$7)</f>
        <v>0</v>
      </c>
      <c r="I33" s="22">
        <f t="shared" si="9"/>
        <v>0</v>
      </c>
    </row>
    <row r="34" spans="1:9" x14ac:dyDescent="0.2">
      <c r="A34" s="89" t="s">
        <v>26</v>
      </c>
      <c r="B34" s="21">
        <f>COUNTIFS('Página 01_Cadastro'!G$6:G$120,'Página 03_Envio_Modalidade'!A34,'Página 01_Cadastro'!I$6:I$120,'Pag 08_Legendas'!B$7,'Página 01_Cadastro'!C$6:C$120,"S")</f>
        <v>0</v>
      </c>
      <c r="C34" s="22">
        <f>SUMIFS('Página 01_Cadastro'!M$6:M$120,'Página 01_Cadastro'!G$6:G$120,'Página 03_Envio_Modalidade'!A34,'Página 01_Cadastro'!I$6:I$120,'Pag 08_Legendas'!B$7)</f>
        <v>0</v>
      </c>
      <c r="D34" s="22">
        <f>SUMIFS('Página 01_Cadastro'!N$6:N$120,'Página 01_Cadastro'!G$6:G$120,'Página 03_Envio_Modalidade'!A34,'Página 01_Cadastro'!I$6:I$120,'Pag 08_Legendas'!B$7)</f>
        <v>0</v>
      </c>
      <c r="E34" s="22">
        <f>SUMIFS('Página 01_Cadastro'!O$6:O$120,'Página 01_Cadastro'!G$6:G$120,'Página 03_Envio_Modalidade'!A34,'Página 01_Cadastro'!I$6:I$120,'Pag 08_Legendas'!B$7)</f>
        <v>0</v>
      </c>
      <c r="F34" s="22">
        <f>SUMIFS('Página 01_Cadastro'!P$6:P$120,'Página 01_Cadastro'!G$6:G$120,'Página 03_Envio_Modalidade'!A34,'Página 01_Cadastro'!I$6:I$120,'Pag 08_Legendas'!B$7)</f>
        <v>0</v>
      </c>
      <c r="G34" s="22">
        <f>SUMIFS('Página 01_Cadastro'!Q$6:Q$120,'Página 01_Cadastro'!G$6:G$120,'Página 03_Envio_Modalidade'!A34,'Página 01_Cadastro'!I$6:I$120,'Pag 08_Legendas'!B$7)</f>
        <v>0</v>
      </c>
      <c r="H34" s="22">
        <f>SUMIFS('Página 01_Cadastro'!R$6:R$120,'Página 01_Cadastro'!G$6:G$120,'Página 03_Envio_Modalidade'!A34,'Página 01_Cadastro'!I$6:I$120,'Pag 08_Legendas'!B$7)</f>
        <v>0</v>
      </c>
      <c r="I34" s="22">
        <f t="shared" si="9"/>
        <v>0</v>
      </c>
    </row>
    <row r="35" spans="1:9" x14ac:dyDescent="0.2">
      <c r="A35" s="89" t="s">
        <v>2</v>
      </c>
      <c r="B35" s="21">
        <f>COUNTIFS('Página 01_Cadastro'!G$6:G$120,'Página 03_Envio_Modalidade'!A35,'Página 01_Cadastro'!I$6:I$120,'Pag 08_Legendas'!B$7,'Página 01_Cadastro'!C$6:C$120,"S")</f>
        <v>0</v>
      </c>
      <c r="C35" s="22">
        <f>SUMIFS('Página 01_Cadastro'!M$6:M$120,'Página 01_Cadastro'!G$6:G$120,'Página 03_Envio_Modalidade'!A35,'Página 01_Cadastro'!I$6:I$120,'Pag 08_Legendas'!B$7)</f>
        <v>0</v>
      </c>
      <c r="D35" s="22">
        <f>SUMIFS('Página 01_Cadastro'!N$6:N$120,'Página 01_Cadastro'!G$6:G$120,'Página 03_Envio_Modalidade'!A35,'Página 01_Cadastro'!I$6:I$120,'Pag 08_Legendas'!B$7)</f>
        <v>0</v>
      </c>
      <c r="E35" s="22">
        <f>SUMIFS('Página 01_Cadastro'!O$6:O$120,'Página 01_Cadastro'!G$6:G$120,'Página 03_Envio_Modalidade'!A35,'Página 01_Cadastro'!I$6:I$120,'Pag 08_Legendas'!B$7)</f>
        <v>0</v>
      </c>
      <c r="F35" s="22">
        <f>SUMIFS('Página 01_Cadastro'!P$6:P$120,'Página 01_Cadastro'!G$6:G$120,'Página 03_Envio_Modalidade'!A35,'Página 01_Cadastro'!I$6:I$120,'Pag 08_Legendas'!B$7)</f>
        <v>0</v>
      </c>
      <c r="G35" s="22">
        <f>SUMIFS('Página 01_Cadastro'!Q$6:Q$120,'Página 01_Cadastro'!G$6:G$120,'Página 03_Envio_Modalidade'!A35,'Página 01_Cadastro'!I$6:I$120,'Pag 08_Legendas'!B$7)</f>
        <v>0</v>
      </c>
      <c r="H35" s="22">
        <f>SUMIFS('Página 01_Cadastro'!R$6:R$120,'Página 01_Cadastro'!G$6:G$120,'Página 03_Envio_Modalidade'!A35,'Página 01_Cadastro'!I$6:I$120,'Pag 08_Legendas'!B$7)</f>
        <v>0</v>
      </c>
      <c r="I35" s="22">
        <f t="shared" si="9"/>
        <v>0</v>
      </c>
    </row>
    <row r="36" spans="1:9" x14ac:dyDescent="0.2">
      <c r="A36" s="89" t="s">
        <v>4</v>
      </c>
      <c r="B36" s="21">
        <f>COUNTIFS('Página 01_Cadastro'!G$6:G$120,'Página 03_Envio_Modalidade'!A36,'Página 01_Cadastro'!I$6:I$120,'Pag 08_Legendas'!B$7,'Página 01_Cadastro'!C$6:C$120,"S")</f>
        <v>0</v>
      </c>
      <c r="C36" s="22">
        <f>SUMIFS('Página 01_Cadastro'!M$6:M$120,'Página 01_Cadastro'!G$6:G$120,'Página 03_Envio_Modalidade'!A36,'Página 01_Cadastro'!I$6:I$120,'Pag 08_Legendas'!B$7)</f>
        <v>0</v>
      </c>
      <c r="D36" s="22">
        <f>SUMIFS('Página 01_Cadastro'!N$6:N$120,'Página 01_Cadastro'!G$6:G$120,'Página 03_Envio_Modalidade'!A36,'Página 01_Cadastro'!I$6:I$120,'Pag 08_Legendas'!B$7)</f>
        <v>0</v>
      </c>
      <c r="E36" s="22">
        <f>SUMIFS('Página 01_Cadastro'!O$6:O$120,'Página 01_Cadastro'!G$6:G$120,'Página 03_Envio_Modalidade'!A36,'Página 01_Cadastro'!I$6:I$120,'Pag 08_Legendas'!B$7)</f>
        <v>0</v>
      </c>
      <c r="F36" s="22">
        <f>SUMIFS('Página 01_Cadastro'!P$6:P$120,'Página 01_Cadastro'!G$6:G$120,'Página 03_Envio_Modalidade'!A36,'Página 01_Cadastro'!I$6:I$120,'Pag 08_Legendas'!B$7)</f>
        <v>0</v>
      </c>
      <c r="G36" s="22">
        <f>SUMIFS('Página 01_Cadastro'!Q$6:Q$120,'Página 01_Cadastro'!G$6:G$120,'Página 03_Envio_Modalidade'!A36,'Página 01_Cadastro'!I$6:I$120,'Pag 08_Legendas'!B$7)</f>
        <v>0</v>
      </c>
      <c r="H36" s="22">
        <f>SUMIFS('Página 01_Cadastro'!R$6:R$120,'Página 01_Cadastro'!G$6:G$120,'Página 03_Envio_Modalidade'!A36,'Página 01_Cadastro'!I$6:I$120,'Pag 08_Legendas'!B$7)</f>
        <v>0</v>
      </c>
      <c r="I36" s="22">
        <f t="shared" si="9"/>
        <v>0</v>
      </c>
    </row>
    <row r="37" spans="1:9" x14ac:dyDescent="0.2">
      <c r="A37" s="89" t="s">
        <v>3</v>
      </c>
      <c r="B37" s="21">
        <f>COUNTIFS('Página 01_Cadastro'!G$6:G$120,'Página 03_Envio_Modalidade'!A37,'Página 01_Cadastro'!I$6:I$120,'Pag 08_Legendas'!B$7,'Página 01_Cadastro'!C$6:C$120,"S")</f>
        <v>0</v>
      </c>
      <c r="C37" s="22">
        <f>SUMIFS('Página 01_Cadastro'!M$6:M$120,'Página 01_Cadastro'!G$6:G$120,'Página 03_Envio_Modalidade'!A37,'Página 01_Cadastro'!I$6:I$120,'Pag 08_Legendas'!B$7)</f>
        <v>0</v>
      </c>
      <c r="D37" s="22">
        <f>SUMIFS('Página 01_Cadastro'!N$6:N$120,'Página 01_Cadastro'!G$6:G$120,'Página 03_Envio_Modalidade'!A37,'Página 01_Cadastro'!I$6:I$120,'Pag 08_Legendas'!B$7)</f>
        <v>0</v>
      </c>
      <c r="E37" s="22">
        <f>SUMIFS('Página 01_Cadastro'!O$6:O$120,'Página 01_Cadastro'!G$6:G$120,'Página 03_Envio_Modalidade'!A37,'Página 01_Cadastro'!I$6:I$120,'Pag 08_Legendas'!B$7)</f>
        <v>0</v>
      </c>
      <c r="F37" s="22">
        <f>SUMIFS('Página 01_Cadastro'!P$6:P$120,'Página 01_Cadastro'!G$6:G$120,'Página 03_Envio_Modalidade'!A37,'Página 01_Cadastro'!I$6:I$120,'Pag 08_Legendas'!B$7)</f>
        <v>0</v>
      </c>
      <c r="G37" s="22">
        <f>SUMIFS('Página 01_Cadastro'!Q$6:Q$120,'Página 01_Cadastro'!G$6:G$120,'Página 03_Envio_Modalidade'!A37,'Página 01_Cadastro'!I$6:I$120,'Pag 08_Legendas'!B$7)</f>
        <v>0</v>
      </c>
      <c r="H37" s="22">
        <f>SUMIFS('Página 01_Cadastro'!R$6:R$120,'Página 01_Cadastro'!G$6:G$120,'Página 03_Envio_Modalidade'!A37,'Página 01_Cadastro'!I$6:I$120,'Pag 08_Legendas'!B$7)</f>
        <v>0</v>
      </c>
      <c r="I37" s="22">
        <f t="shared" si="9"/>
        <v>0</v>
      </c>
    </row>
    <row r="38" spans="1:9" x14ac:dyDescent="0.2">
      <c r="A38" s="43" t="s">
        <v>6</v>
      </c>
      <c r="B38" s="31">
        <f>SUM(B31:B37)</f>
        <v>0</v>
      </c>
      <c r="C38" s="33">
        <f t="shared" ref="C38" si="10">SUM(C31:C37)</f>
        <v>0</v>
      </c>
      <c r="D38" s="33">
        <f t="shared" ref="D38" si="11">SUM(D31:D37)</f>
        <v>0</v>
      </c>
      <c r="E38" s="33">
        <f t="shared" ref="E38" si="12">SUM(E31:E37)</f>
        <v>0</v>
      </c>
      <c r="F38" s="33">
        <f t="shared" ref="F38" si="13">SUM(F31:F37)</f>
        <v>0</v>
      </c>
      <c r="G38" s="33">
        <f t="shared" ref="G38" si="14">SUM(G31:G37)</f>
        <v>0</v>
      </c>
      <c r="H38" s="33">
        <f t="shared" ref="H38" si="15">SUM(H31:H37)</f>
        <v>0</v>
      </c>
      <c r="I38" s="33">
        <f t="shared" si="9"/>
        <v>0</v>
      </c>
    </row>
    <row r="40" spans="1:9" x14ac:dyDescent="0.2">
      <c r="A40" s="174" t="s">
        <v>36</v>
      </c>
      <c r="B40" s="174"/>
      <c r="C40" s="174"/>
      <c r="D40" s="174"/>
      <c r="E40" s="174"/>
      <c r="F40" s="174"/>
      <c r="G40" s="174"/>
      <c r="H40" s="174"/>
      <c r="I40" s="174"/>
    </row>
    <row r="42" spans="1:9" x14ac:dyDescent="0.2">
      <c r="A42" s="35" t="s">
        <v>25</v>
      </c>
      <c r="B42" s="36" t="s">
        <v>27</v>
      </c>
      <c r="C42" s="36" t="s">
        <v>16</v>
      </c>
      <c r="D42" s="37" t="s">
        <v>17</v>
      </c>
      <c r="E42" s="37" t="s">
        <v>18</v>
      </c>
      <c r="F42" s="37" t="s">
        <v>19</v>
      </c>
      <c r="G42" s="37" t="s">
        <v>20</v>
      </c>
      <c r="H42" s="37" t="s">
        <v>21</v>
      </c>
      <c r="I42" s="37" t="s">
        <v>28</v>
      </c>
    </row>
    <row r="43" spans="1:9" x14ac:dyDescent="0.2">
      <c r="A43" s="89" t="s">
        <v>0</v>
      </c>
      <c r="B43" s="21">
        <f>COUNTIFS('Página 01_Cadastro'!G$6:G$120,'Página 03_Envio_Modalidade'!A43,'Página 01_Cadastro'!I$6:I$120,'Pag 08_Legendas'!B$13,'Página 01_Cadastro'!C$6:C$120,"S")</f>
        <v>0</v>
      </c>
      <c r="C43" s="22">
        <f>SUMIFS('Página 01_Cadastro'!M$6:M$120,'Página 01_Cadastro'!G$6:G$120,'Página 03_Envio_Modalidade'!A43,'Página 01_Cadastro'!I$6:I$120,'Pag 08_Legendas'!B$13)</f>
        <v>0</v>
      </c>
      <c r="D43" s="22">
        <f>SUMIFS('Página 01_Cadastro'!N$6:N$120,'Página 01_Cadastro'!G$6:G$120,'Página 03_Envio_Modalidade'!A43,'Página 01_Cadastro'!I$6:I$120,'Pag 08_Legendas'!B$13)</f>
        <v>0</v>
      </c>
      <c r="E43" s="22">
        <f>SUMIFS('Página 01_Cadastro'!O$6:O$120,'Página 01_Cadastro'!G$6:G$120,'Página 03_Envio_Modalidade'!A43,'Página 01_Cadastro'!I$6:I$120,'Pag 08_Legendas'!B$13)</f>
        <v>0</v>
      </c>
      <c r="F43" s="22">
        <f>SUMIFS('Página 01_Cadastro'!P$6:P$120,'Página 01_Cadastro'!G$6:G$120,'Página 03_Envio_Modalidade'!A43,'Página 01_Cadastro'!I$6:I$120,'Pag 08_Legendas'!B$13)</f>
        <v>0</v>
      </c>
      <c r="G43" s="22">
        <f>SUMIFS('Página 01_Cadastro'!Q$6:Q$120,'Página 01_Cadastro'!G$6:G$120,'Página 03_Envio_Modalidade'!A43,'Página 01_Cadastro'!I$6:I$120,'Pag 08_Legendas'!B$13)</f>
        <v>0</v>
      </c>
      <c r="H43" s="22">
        <f>SUMIFS('Página 01_Cadastro'!R$6:R$120,'Página 01_Cadastro'!G$6:G$120,'Página 03_Envio_Modalidade'!A43,'Página 01_Cadastro'!I$6:I$120,'Pag 08_Legendas'!B$13)</f>
        <v>0</v>
      </c>
      <c r="I43" s="22">
        <f>SUM(C43:H43)</f>
        <v>0</v>
      </c>
    </row>
    <row r="44" spans="1:9" x14ac:dyDescent="0.2">
      <c r="A44" s="89" t="s">
        <v>5</v>
      </c>
      <c r="B44" s="21">
        <f>COUNTIFS('Página 01_Cadastro'!G$6:G$120,'Página 03_Envio_Modalidade'!A44,'Página 01_Cadastro'!I$6:I$120,'Pag 08_Legendas'!B$13,'Página 01_Cadastro'!C$6:C$120,"S")</f>
        <v>0</v>
      </c>
      <c r="C44" s="22">
        <f>SUMIFS('Página 01_Cadastro'!M$6:M$120,'Página 01_Cadastro'!G$6:G$120,'Página 03_Envio_Modalidade'!A44,'Página 01_Cadastro'!I$6:I$120,'Pag 08_Legendas'!B$13)</f>
        <v>0</v>
      </c>
      <c r="D44" s="22">
        <f>SUMIFS('Página 01_Cadastro'!N$6:N$120,'Página 01_Cadastro'!G$6:G$120,'Página 03_Envio_Modalidade'!A44,'Página 01_Cadastro'!I$6:I$120,'Pag 08_Legendas'!B$13)</f>
        <v>0</v>
      </c>
      <c r="E44" s="22">
        <f>SUMIFS('Página 01_Cadastro'!O$6:O$120,'Página 01_Cadastro'!G$6:G$120,'Página 03_Envio_Modalidade'!A44,'Página 01_Cadastro'!I$6:I$120,'Pag 08_Legendas'!B$13)</f>
        <v>0</v>
      </c>
      <c r="F44" s="22">
        <f>SUMIFS('Página 01_Cadastro'!P$6:P$120,'Página 01_Cadastro'!G$6:G$120,'Página 03_Envio_Modalidade'!A44,'Página 01_Cadastro'!I$6:I$120,'Pag 08_Legendas'!B$13)</f>
        <v>0</v>
      </c>
      <c r="G44" s="22">
        <f>SUMIFS('Página 01_Cadastro'!Q$6:Q$120,'Página 01_Cadastro'!G$6:G$120,'Página 03_Envio_Modalidade'!A44,'Página 01_Cadastro'!I$6:I$120,'Pag 08_Legendas'!B$13)</f>
        <v>0</v>
      </c>
      <c r="H44" s="22">
        <f>SUMIFS('Página 01_Cadastro'!R$6:R$120,'Página 01_Cadastro'!G$6:G$120,'Página 03_Envio_Modalidade'!A44,'Página 01_Cadastro'!I$6:I$120,'Pag 08_Legendas'!B$13)</f>
        <v>0</v>
      </c>
      <c r="I44" s="22">
        <f t="shared" ref="I44:I50" si="16">SUM(C44:H44)</f>
        <v>0</v>
      </c>
    </row>
    <row r="45" spans="1:9" x14ac:dyDescent="0.2">
      <c r="A45" s="89" t="s">
        <v>1</v>
      </c>
      <c r="B45" s="21">
        <f>COUNTIFS('Página 01_Cadastro'!G$6:G$120,'Página 03_Envio_Modalidade'!A45,'Página 01_Cadastro'!I$6:I$120,'Pag 08_Legendas'!B$13,'Página 01_Cadastro'!C$6:C$120,"S")</f>
        <v>0</v>
      </c>
      <c r="C45" s="22">
        <f>SUMIFS('Página 01_Cadastro'!M$6:M$120,'Página 01_Cadastro'!G$6:G$120,'Página 03_Envio_Modalidade'!A45,'Página 01_Cadastro'!I$6:I$120,'Pag 08_Legendas'!B$13)</f>
        <v>0</v>
      </c>
      <c r="D45" s="22">
        <f>SUMIFS('Página 01_Cadastro'!N$6:N$120,'Página 01_Cadastro'!G$6:G$120,'Página 03_Envio_Modalidade'!A45,'Página 01_Cadastro'!I$6:I$120,'Pag 08_Legendas'!B$13)</f>
        <v>0</v>
      </c>
      <c r="E45" s="22">
        <f>SUMIFS('Página 01_Cadastro'!O$6:O$120,'Página 01_Cadastro'!G$6:G$120,'Página 03_Envio_Modalidade'!A45,'Página 01_Cadastro'!I$6:I$120,'Pag 08_Legendas'!B$13)</f>
        <v>0</v>
      </c>
      <c r="F45" s="22">
        <f>SUMIFS('Página 01_Cadastro'!P$6:P$120,'Página 01_Cadastro'!G$6:G$120,'Página 03_Envio_Modalidade'!A45,'Página 01_Cadastro'!I$6:I$120,'Pag 08_Legendas'!B$13)</f>
        <v>0</v>
      </c>
      <c r="G45" s="22">
        <f>SUMIFS('Página 01_Cadastro'!Q$6:Q$120,'Página 01_Cadastro'!G$6:G$120,'Página 03_Envio_Modalidade'!A45,'Página 01_Cadastro'!I$6:I$120,'Pag 08_Legendas'!B$13)</f>
        <v>0</v>
      </c>
      <c r="H45" s="22">
        <f>SUMIFS('Página 01_Cadastro'!R$6:R$120,'Página 01_Cadastro'!G$6:G$120,'Página 03_Envio_Modalidade'!A45,'Página 01_Cadastro'!I$6:I$120,'Pag 08_Legendas'!B$13)</f>
        <v>0</v>
      </c>
      <c r="I45" s="22">
        <f t="shared" si="16"/>
        <v>0</v>
      </c>
    </row>
    <row r="46" spans="1:9" x14ac:dyDescent="0.2">
      <c r="A46" s="89" t="s">
        <v>26</v>
      </c>
      <c r="B46" s="21">
        <f>COUNTIFS('Página 01_Cadastro'!G$6:G$120,'Página 03_Envio_Modalidade'!A46,'Página 01_Cadastro'!I$6:I$120,'Pag 08_Legendas'!B$13,'Página 01_Cadastro'!C$6:C$120,"S")</f>
        <v>0</v>
      </c>
      <c r="C46" s="22">
        <f>SUMIFS('Página 01_Cadastro'!M$6:M$120,'Página 01_Cadastro'!G$6:G$120,'Página 03_Envio_Modalidade'!A46,'Página 01_Cadastro'!I$6:I$120,'Pag 08_Legendas'!B$13)</f>
        <v>0</v>
      </c>
      <c r="D46" s="22">
        <f>SUMIFS('Página 01_Cadastro'!N$6:N$120,'Página 01_Cadastro'!G$6:G$120,'Página 03_Envio_Modalidade'!A46,'Página 01_Cadastro'!I$6:I$120,'Pag 08_Legendas'!B$13)</f>
        <v>0</v>
      </c>
      <c r="E46" s="22">
        <f>SUMIFS('Página 01_Cadastro'!O$6:O$120,'Página 01_Cadastro'!G$6:G$120,'Página 03_Envio_Modalidade'!A46,'Página 01_Cadastro'!I$6:I$120,'Pag 08_Legendas'!B$13)</f>
        <v>0</v>
      </c>
      <c r="F46" s="22">
        <f>SUMIFS('Página 01_Cadastro'!P$6:P$120,'Página 01_Cadastro'!G$6:G$120,'Página 03_Envio_Modalidade'!A46,'Página 01_Cadastro'!I$6:I$120,'Pag 08_Legendas'!B$13)</f>
        <v>0</v>
      </c>
      <c r="G46" s="22">
        <f>SUMIFS('Página 01_Cadastro'!Q$6:Q$120,'Página 01_Cadastro'!G$6:G$120,'Página 03_Envio_Modalidade'!A46,'Página 01_Cadastro'!I$6:I$120,'Pag 08_Legendas'!B$13)</f>
        <v>0</v>
      </c>
      <c r="H46" s="22">
        <f>SUMIFS('Página 01_Cadastro'!R$6:R$120,'Página 01_Cadastro'!G$6:G$120,'Página 03_Envio_Modalidade'!A46,'Página 01_Cadastro'!I$6:I$120,'Pag 08_Legendas'!B$13)</f>
        <v>0</v>
      </c>
      <c r="I46" s="22">
        <f t="shared" si="16"/>
        <v>0</v>
      </c>
    </row>
    <row r="47" spans="1:9" x14ac:dyDescent="0.2">
      <c r="A47" s="89" t="s">
        <v>2</v>
      </c>
      <c r="B47" s="21">
        <f>COUNTIFS('Página 01_Cadastro'!G$6:G$120,'Página 03_Envio_Modalidade'!A47,'Página 01_Cadastro'!I$6:I$120,'Pag 08_Legendas'!B$13,'Página 01_Cadastro'!C$6:C$120,"S")</f>
        <v>0</v>
      </c>
      <c r="C47" s="22">
        <f>SUMIFS('Página 01_Cadastro'!M$6:M$120,'Página 01_Cadastro'!G$6:G$120,'Página 03_Envio_Modalidade'!A47,'Página 01_Cadastro'!I$6:I$120,'Pag 08_Legendas'!B$13)</f>
        <v>0</v>
      </c>
      <c r="D47" s="22">
        <f>SUMIFS('Página 01_Cadastro'!N$6:N$120,'Página 01_Cadastro'!G$6:G$120,'Página 03_Envio_Modalidade'!A47,'Página 01_Cadastro'!I$6:I$120,'Pag 08_Legendas'!B$13)</f>
        <v>0</v>
      </c>
      <c r="E47" s="22">
        <f>SUMIFS('Página 01_Cadastro'!O$6:O$120,'Página 01_Cadastro'!G$6:G$120,'Página 03_Envio_Modalidade'!A47,'Página 01_Cadastro'!I$6:I$120,'Pag 08_Legendas'!B$13)</f>
        <v>0</v>
      </c>
      <c r="F47" s="22">
        <f>SUMIFS('Página 01_Cadastro'!P$6:P$120,'Página 01_Cadastro'!G$6:G$120,'Página 03_Envio_Modalidade'!A47,'Página 01_Cadastro'!I$6:I$120,'Pag 08_Legendas'!B$13)</f>
        <v>0</v>
      </c>
      <c r="G47" s="22">
        <f>SUMIFS('Página 01_Cadastro'!Q$6:Q$120,'Página 01_Cadastro'!G$6:G$120,'Página 03_Envio_Modalidade'!A47,'Página 01_Cadastro'!I$6:I$120,'Pag 08_Legendas'!B$13)</f>
        <v>0</v>
      </c>
      <c r="H47" s="22">
        <f>SUMIFS('Página 01_Cadastro'!R$6:R$120,'Página 01_Cadastro'!G$6:G$120,'Página 03_Envio_Modalidade'!A47,'Página 01_Cadastro'!I$6:I$120,'Pag 08_Legendas'!B$13)</f>
        <v>0</v>
      </c>
      <c r="I47" s="22">
        <f t="shared" si="16"/>
        <v>0</v>
      </c>
    </row>
    <row r="48" spans="1:9" x14ac:dyDescent="0.2">
      <c r="A48" s="89" t="s">
        <v>4</v>
      </c>
      <c r="B48" s="21">
        <f>COUNTIFS('Página 01_Cadastro'!G$6:G$120,'Página 03_Envio_Modalidade'!A48,'Página 01_Cadastro'!I$6:I$120,'Pag 08_Legendas'!B$13,'Página 01_Cadastro'!C$6:C$120,"S")</f>
        <v>0</v>
      </c>
      <c r="C48" s="22">
        <f>SUMIFS('Página 01_Cadastro'!M$6:M$120,'Página 01_Cadastro'!G$6:G$120,'Página 03_Envio_Modalidade'!A48,'Página 01_Cadastro'!I$6:I$120,'Pag 08_Legendas'!B$13)</f>
        <v>0</v>
      </c>
      <c r="D48" s="22">
        <f>SUMIFS('Página 01_Cadastro'!N$6:N$120,'Página 01_Cadastro'!G$6:G$120,'Página 03_Envio_Modalidade'!A48,'Página 01_Cadastro'!I$6:I$120,'Pag 08_Legendas'!B$13)</f>
        <v>0</v>
      </c>
      <c r="E48" s="22">
        <f>SUMIFS('Página 01_Cadastro'!O$6:O$120,'Página 01_Cadastro'!G$6:G$120,'Página 03_Envio_Modalidade'!A48,'Página 01_Cadastro'!I$6:I$120,'Pag 08_Legendas'!B$13)</f>
        <v>0</v>
      </c>
      <c r="F48" s="22">
        <f>SUMIFS('Página 01_Cadastro'!P$6:P$120,'Página 01_Cadastro'!G$6:G$120,'Página 03_Envio_Modalidade'!A48,'Página 01_Cadastro'!I$6:I$120,'Pag 08_Legendas'!B$13)</f>
        <v>0</v>
      </c>
      <c r="G48" s="22">
        <f>SUMIFS('Página 01_Cadastro'!Q$6:Q$120,'Página 01_Cadastro'!G$6:G$120,'Página 03_Envio_Modalidade'!A48,'Página 01_Cadastro'!I$6:I$120,'Pag 08_Legendas'!B$13)</f>
        <v>0</v>
      </c>
      <c r="H48" s="22">
        <f>SUMIFS('Página 01_Cadastro'!R$6:R$120,'Página 01_Cadastro'!G$6:G$120,'Página 03_Envio_Modalidade'!A48,'Página 01_Cadastro'!I$6:I$120,'Pag 08_Legendas'!B$13)</f>
        <v>0</v>
      </c>
      <c r="I48" s="22">
        <f t="shared" si="16"/>
        <v>0</v>
      </c>
    </row>
    <row r="49" spans="1:9" x14ac:dyDescent="0.2">
      <c r="A49" s="89" t="s">
        <v>3</v>
      </c>
      <c r="B49" s="21">
        <f>COUNTIFS('Página 01_Cadastro'!G$6:G$120,'Página 03_Envio_Modalidade'!A49,'Página 01_Cadastro'!I$6:I$120,'Pag 08_Legendas'!B$13,'Página 01_Cadastro'!C$6:C$120,"S")</f>
        <v>0</v>
      </c>
      <c r="C49" s="22">
        <f>SUMIFS('Página 01_Cadastro'!M$6:M$120,'Página 01_Cadastro'!G$6:G$120,'Página 03_Envio_Modalidade'!A49,'Página 01_Cadastro'!I$6:I$120,'Pag 08_Legendas'!B$13)</f>
        <v>0</v>
      </c>
      <c r="D49" s="22">
        <f>SUMIFS('Página 01_Cadastro'!N$6:N$120,'Página 01_Cadastro'!G$6:G$120,'Página 03_Envio_Modalidade'!A49,'Página 01_Cadastro'!I$6:I$120,'Pag 08_Legendas'!B$13)</f>
        <v>0</v>
      </c>
      <c r="E49" s="22">
        <f>SUMIFS('Página 01_Cadastro'!O$6:O$120,'Página 01_Cadastro'!G$6:G$120,'Página 03_Envio_Modalidade'!A49,'Página 01_Cadastro'!I$6:I$120,'Pag 08_Legendas'!B$13)</f>
        <v>0</v>
      </c>
      <c r="F49" s="22">
        <f>SUMIFS('Página 01_Cadastro'!P$6:P$120,'Página 01_Cadastro'!G$6:G$120,'Página 03_Envio_Modalidade'!A49,'Página 01_Cadastro'!I$6:I$120,'Pag 08_Legendas'!B$13)</f>
        <v>0</v>
      </c>
      <c r="G49" s="22">
        <f>SUMIFS('Página 01_Cadastro'!Q$6:Q$120,'Página 01_Cadastro'!G$6:G$120,'Página 03_Envio_Modalidade'!A49,'Página 01_Cadastro'!I$6:I$120,'Pag 08_Legendas'!B$13)</f>
        <v>0</v>
      </c>
      <c r="H49" s="22">
        <f>SUMIFS('Página 01_Cadastro'!R$6:R$120,'Página 01_Cadastro'!G$6:G$120,'Página 03_Envio_Modalidade'!A49,'Página 01_Cadastro'!I$6:I$120,'Pag 08_Legendas'!B$13)</f>
        <v>0</v>
      </c>
      <c r="I49" s="22">
        <f t="shared" si="16"/>
        <v>0</v>
      </c>
    </row>
    <row r="50" spans="1:9" x14ac:dyDescent="0.2">
      <c r="A50" s="43" t="s">
        <v>6</v>
      </c>
      <c r="B50" s="31">
        <f>SUM(B43:B49)</f>
        <v>0</v>
      </c>
      <c r="C50" s="33">
        <f t="shared" ref="C50" si="17">SUM(C43:C49)</f>
        <v>0</v>
      </c>
      <c r="D50" s="33">
        <f t="shared" ref="D50" si="18">SUM(D43:D49)</f>
        <v>0</v>
      </c>
      <c r="E50" s="33">
        <f t="shared" ref="E50" si="19">SUM(E43:E49)</f>
        <v>0</v>
      </c>
      <c r="F50" s="33">
        <f t="shared" ref="F50" si="20">SUM(F43:F49)</f>
        <v>0</v>
      </c>
      <c r="G50" s="33">
        <f t="shared" ref="G50" si="21">SUM(G43:G49)</f>
        <v>0</v>
      </c>
      <c r="H50" s="33">
        <f t="shared" ref="H50" si="22">SUM(H43:H49)</f>
        <v>0</v>
      </c>
      <c r="I50" s="33">
        <f t="shared" si="16"/>
        <v>0</v>
      </c>
    </row>
    <row r="51" spans="1:9" x14ac:dyDescent="0.2">
      <c r="A51" s="172"/>
      <c r="B51" s="173"/>
      <c r="C51" s="173"/>
      <c r="D51" s="173"/>
      <c r="E51" s="173"/>
      <c r="F51" s="173"/>
      <c r="G51" s="173"/>
      <c r="H51" s="173"/>
      <c r="I51" s="173"/>
    </row>
    <row r="52" spans="1:9" x14ac:dyDescent="0.2">
      <c r="A52" s="174" t="s">
        <v>37</v>
      </c>
      <c r="B52" s="174"/>
      <c r="C52" s="174"/>
      <c r="D52" s="174"/>
      <c r="E52" s="174"/>
      <c r="F52" s="174"/>
      <c r="G52" s="174"/>
      <c r="H52" s="174"/>
      <c r="I52" s="174"/>
    </row>
    <row r="54" spans="1:9" x14ac:dyDescent="0.2">
      <c r="A54" s="35" t="s">
        <v>25</v>
      </c>
      <c r="B54" s="36" t="s">
        <v>27</v>
      </c>
      <c r="C54" s="36" t="s">
        <v>16</v>
      </c>
      <c r="D54" s="37" t="s">
        <v>17</v>
      </c>
      <c r="E54" s="37" t="s">
        <v>18</v>
      </c>
      <c r="F54" s="37" t="s">
        <v>19</v>
      </c>
      <c r="G54" s="37" t="s">
        <v>20</v>
      </c>
      <c r="H54" s="37" t="s">
        <v>21</v>
      </c>
      <c r="I54" s="37" t="s">
        <v>28</v>
      </c>
    </row>
    <row r="55" spans="1:9" x14ac:dyDescent="0.2">
      <c r="A55" s="89" t="s">
        <v>0</v>
      </c>
      <c r="B55" s="21">
        <f>COUNTIFS('Página 01_Cadastro'!G$6:G$120,'Página 03_Envio_Modalidade'!A55,'Página 01_Cadastro'!I$6:I$120,'Pag 08_Legendas'!B$6,'Página 01_Cadastro'!C$6:C$120,"S")</f>
        <v>0</v>
      </c>
      <c r="C55" s="22">
        <f>SUMIFS('Página 01_Cadastro'!M$6:M$120,'Página 01_Cadastro'!G$6:G$120,'Página 03_Envio_Modalidade'!A55,'Página 01_Cadastro'!I$6:I$120,'Pag 08_Legendas'!B$6)</f>
        <v>0</v>
      </c>
      <c r="D55" s="22">
        <f>SUMIFS('Página 01_Cadastro'!N$6:N$120,'Página 01_Cadastro'!G$6:G$120,'Página 03_Envio_Modalidade'!A55,'Página 01_Cadastro'!I$6:I$120,'Pag 08_Legendas'!B$6)</f>
        <v>0</v>
      </c>
      <c r="E55" s="22">
        <f>SUMIFS('Página 01_Cadastro'!O$6:O$120,'Página 01_Cadastro'!G$6:G$120,'Página 03_Envio_Modalidade'!A55,'Página 01_Cadastro'!I$6:I$120,'Pag 08_Legendas'!B$6)</f>
        <v>0</v>
      </c>
      <c r="F55" s="22">
        <f>SUMIFS('Página 01_Cadastro'!P$6:P$120,'Página 01_Cadastro'!G$6:G$120,'Página 03_Envio_Modalidade'!A55,'Página 01_Cadastro'!I$6:I$120,'Pag 08_Legendas'!B$6)</f>
        <v>0</v>
      </c>
      <c r="G55" s="22">
        <f>SUMIFS('Página 01_Cadastro'!Q$6:Q$120,'Página 01_Cadastro'!G$6:G$120,'Página 03_Envio_Modalidade'!A55,'Página 01_Cadastro'!I$6:I$120,'Pag 08_Legendas'!B$6)</f>
        <v>0</v>
      </c>
      <c r="H55" s="22">
        <f>SUMIFS('Página 01_Cadastro'!R$6:R$120,'Página 01_Cadastro'!G$6:G$120,'Página 03_Envio_Modalidade'!A55,'Página 01_Cadastro'!I$6:I$120,'Pag 08_Legendas'!B$6)</f>
        <v>0</v>
      </c>
      <c r="I55" s="22">
        <f>SUM(C55:H55)</f>
        <v>0</v>
      </c>
    </row>
    <row r="56" spans="1:9" x14ac:dyDescent="0.2">
      <c r="A56" s="89" t="s">
        <v>5</v>
      </c>
      <c r="B56" s="21">
        <f>COUNTIFS('Página 01_Cadastro'!G$6:G$120,'Página 03_Envio_Modalidade'!A56,'Página 01_Cadastro'!I$6:I$120,'Pag 08_Legendas'!B$6,'Página 01_Cadastro'!C$6:C$120,"S")</f>
        <v>0</v>
      </c>
      <c r="C56" s="22">
        <f>SUMIFS('Página 01_Cadastro'!M$6:M$120,'Página 01_Cadastro'!G$6:G$120,'Página 03_Envio_Modalidade'!A56,'Página 01_Cadastro'!I$6:I$120,'Pag 08_Legendas'!B$6)</f>
        <v>0</v>
      </c>
      <c r="D56" s="22">
        <f>SUMIFS('Página 01_Cadastro'!N$6:N$120,'Página 01_Cadastro'!G$6:G$120,'Página 03_Envio_Modalidade'!A56,'Página 01_Cadastro'!I$6:I$120,'Pag 08_Legendas'!B$6)</f>
        <v>0</v>
      </c>
      <c r="E56" s="22">
        <f>SUMIFS('Página 01_Cadastro'!O$6:O$120,'Página 01_Cadastro'!G$6:G$120,'Página 03_Envio_Modalidade'!A56,'Página 01_Cadastro'!I$6:I$120,'Pag 08_Legendas'!B$6)</f>
        <v>0</v>
      </c>
      <c r="F56" s="22">
        <f>SUMIFS('Página 01_Cadastro'!P$6:P$120,'Página 01_Cadastro'!G$6:G$120,'Página 03_Envio_Modalidade'!A56,'Página 01_Cadastro'!I$6:I$120,'Pag 08_Legendas'!B$6)</f>
        <v>0</v>
      </c>
      <c r="G56" s="22">
        <f>SUMIFS('Página 01_Cadastro'!Q$6:Q$120,'Página 01_Cadastro'!G$6:G$120,'Página 03_Envio_Modalidade'!A56,'Página 01_Cadastro'!I$6:I$120,'Pag 08_Legendas'!B$6)</f>
        <v>0</v>
      </c>
      <c r="H56" s="22">
        <f>SUMIFS('Página 01_Cadastro'!R$6:R$120,'Página 01_Cadastro'!G$6:G$120,'Página 03_Envio_Modalidade'!A56,'Página 01_Cadastro'!I$6:I$120,'Pag 08_Legendas'!B$6)</f>
        <v>0</v>
      </c>
      <c r="I56" s="22">
        <f t="shared" ref="I56:I62" si="23">SUM(C56:H56)</f>
        <v>0</v>
      </c>
    </row>
    <row r="57" spans="1:9" x14ac:dyDescent="0.2">
      <c r="A57" s="89" t="s">
        <v>1</v>
      </c>
      <c r="B57" s="21">
        <f>COUNTIFS('Página 01_Cadastro'!G$6:G$120,'Página 03_Envio_Modalidade'!A57,'Página 01_Cadastro'!I$6:I$120,'Pag 08_Legendas'!B$6,'Página 01_Cadastro'!C$6:C$120,"S")</f>
        <v>0</v>
      </c>
      <c r="C57" s="22">
        <f>SUMIFS('Página 01_Cadastro'!M$6:M$120,'Página 01_Cadastro'!G$6:G$120,'Página 03_Envio_Modalidade'!A57,'Página 01_Cadastro'!I$6:I$120,'Pag 08_Legendas'!B$6)</f>
        <v>0</v>
      </c>
      <c r="D57" s="22">
        <f>SUMIFS('Página 01_Cadastro'!N$6:N$120,'Página 01_Cadastro'!G$6:G$120,'Página 03_Envio_Modalidade'!A57,'Página 01_Cadastro'!I$6:I$120,'Pag 08_Legendas'!B$6)</f>
        <v>0</v>
      </c>
      <c r="E57" s="22">
        <f>SUMIFS('Página 01_Cadastro'!O$6:O$120,'Página 01_Cadastro'!G$6:G$120,'Página 03_Envio_Modalidade'!A57,'Página 01_Cadastro'!I$6:I$120,'Pag 08_Legendas'!B$6)</f>
        <v>0</v>
      </c>
      <c r="F57" s="22">
        <f>SUMIFS('Página 01_Cadastro'!P$6:P$120,'Página 01_Cadastro'!G$6:G$120,'Página 03_Envio_Modalidade'!A57,'Página 01_Cadastro'!I$6:I$120,'Pag 08_Legendas'!B$6)</f>
        <v>0</v>
      </c>
      <c r="G57" s="22">
        <f>SUMIFS('Página 01_Cadastro'!Q$6:Q$120,'Página 01_Cadastro'!G$6:G$120,'Página 03_Envio_Modalidade'!A57,'Página 01_Cadastro'!I$6:I$120,'Pag 08_Legendas'!B$6)</f>
        <v>0</v>
      </c>
      <c r="H57" s="22">
        <f>SUMIFS('Página 01_Cadastro'!R$6:R$120,'Página 01_Cadastro'!G$6:G$120,'Página 03_Envio_Modalidade'!A57,'Página 01_Cadastro'!I$6:I$120,'Pag 08_Legendas'!B$6)</f>
        <v>0</v>
      </c>
      <c r="I57" s="22">
        <f t="shared" si="23"/>
        <v>0</v>
      </c>
    </row>
    <row r="58" spans="1:9" x14ac:dyDescent="0.2">
      <c r="A58" s="89" t="s">
        <v>26</v>
      </c>
      <c r="B58" s="21">
        <f>COUNTIFS('Página 01_Cadastro'!G$6:G$120,'Página 03_Envio_Modalidade'!A58,'Página 01_Cadastro'!I$6:I$120,'Pag 08_Legendas'!B$6,'Página 01_Cadastro'!C$6:C$120,"S")</f>
        <v>0</v>
      </c>
      <c r="C58" s="22">
        <f>SUMIFS('Página 01_Cadastro'!M$6:M$120,'Página 01_Cadastro'!G$6:G$120,'Página 03_Envio_Modalidade'!A58,'Página 01_Cadastro'!I$6:I$120,'Pag 08_Legendas'!B$6)</f>
        <v>0</v>
      </c>
      <c r="D58" s="22">
        <f>SUMIFS('Página 01_Cadastro'!N$6:N$120,'Página 01_Cadastro'!G$6:G$120,'Página 03_Envio_Modalidade'!A58,'Página 01_Cadastro'!I$6:I$120,'Pag 08_Legendas'!B$6)</f>
        <v>0</v>
      </c>
      <c r="E58" s="22">
        <f>SUMIFS('Página 01_Cadastro'!O$6:O$120,'Página 01_Cadastro'!G$6:G$120,'Página 03_Envio_Modalidade'!A58,'Página 01_Cadastro'!I$6:I$120,'Pag 08_Legendas'!B$6)</f>
        <v>0</v>
      </c>
      <c r="F58" s="22">
        <f>SUMIFS('Página 01_Cadastro'!P$6:P$120,'Página 01_Cadastro'!G$6:G$120,'Página 03_Envio_Modalidade'!A58,'Página 01_Cadastro'!I$6:I$120,'Pag 08_Legendas'!B$6)</f>
        <v>0</v>
      </c>
      <c r="G58" s="22">
        <f>SUMIFS('Página 01_Cadastro'!Q$6:Q$120,'Página 01_Cadastro'!G$6:G$120,'Página 03_Envio_Modalidade'!A58,'Página 01_Cadastro'!I$6:I$120,'Pag 08_Legendas'!B$6)</f>
        <v>0</v>
      </c>
      <c r="H58" s="22">
        <f>SUMIFS('Página 01_Cadastro'!R$6:R$120,'Página 01_Cadastro'!G$6:G$120,'Página 03_Envio_Modalidade'!A58,'Página 01_Cadastro'!I$6:I$120,'Pag 08_Legendas'!B$6)</f>
        <v>0</v>
      </c>
      <c r="I58" s="22">
        <f t="shared" si="23"/>
        <v>0</v>
      </c>
    </row>
    <row r="59" spans="1:9" x14ac:dyDescent="0.2">
      <c r="A59" s="89" t="s">
        <v>2</v>
      </c>
      <c r="B59" s="21">
        <f>COUNTIFS('Página 01_Cadastro'!G$6:G$120,'Página 03_Envio_Modalidade'!A59,'Página 01_Cadastro'!I$6:I$120,'Pag 08_Legendas'!B$6,'Página 01_Cadastro'!C$6:C$120,"S")</f>
        <v>0</v>
      </c>
      <c r="C59" s="22">
        <f>SUMIFS('Página 01_Cadastro'!M$6:M$120,'Página 01_Cadastro'!G$6:G$120,'Página 03_Envio_Modalidade'!A59,'Página 01_Cadastro'!I$6:I$120,'Pag 08_Legendas'!B$6)</f>
        <v>0</v>
      </c>
      <c r="D59" s="22">
        <f>SUMIFS('Página 01_Cadastro'!N$6:N$120,'Página 01_Cadastro'!G$6:G$120,'Página 03_Envio_Modalidade'!A59,'Página 01_Cadastro'!I$6:I$120,'Pag 08_Legendas'!B$6)</f>
        <v>0</v>
      </c>
      <c r="E59" s="22">
        <f>SUMIFS('Página 01_Cadastro'!O$6:O$120,'Página 01_Cadastro'!G$6:G$120,'Página 03_Envio_Modalidade'!A59,'Página 01_Cadastro'!I$6:I$120,'Pag 08_Legendas'!B$6)</f>
        <v>0</v>
      </c>
      <c r="F59" s="22">
        <f>SUMIFS('Página 01_Cadastro'!P$6:P$120,'Página 01_Cadastro'!G$6:G$120,'Página 03_Envio_Modalidade'!A59,'Página 01_Cadastro'!I$6:I$120,'Pag 08_Legendas'!B$6)</f>
        <v>0</v>
      </c>
      <c r="G59" s="22">
        <f>SUMIFS('Página 01_Cadastro'!Q$6:Q$120,'Página 01_Cadastro'!G$6:G$120,'Página 03_Envio_Modalidade'!A59,'Página 01_Cadastro'!I$6:I$120,'Pag 08_Legendas'!B$6)</f>
        <v>0</v>
      </c>
      <c r="H59" s="22">
        <f>SUMIFS('Página 01_Cadastro'!R$6:R$120,'Página 01_Cadastro'!G$6:G$120,'Página 03_Envio_Modalidade'!A59,'Página 01_Cadastro'!I$6:I$120,'Pag 08_Legendas'!B$6)</f>
        <v>0</v>
      </c>
      <c r="I59" s="22">
        <f t="shared" si="23"/>
        <v>0</v>
      </c>
    </row>
    <row r="60" spans="1:9" x14ac:dyDescent="0.2">
      <c r="A60" s="89" t="s">
        <v>4</v>
      </c>
      <c r="B60" s="21">
        <f>COUNTIFS('Página 01_Cadastro'!G$6:G$120,'Página 03_Envio_Modalidade'!A60,'Página 01_Cadastro'!I$6:I$120,'Pag 08_Legendas'!B$6,'Página 01_Cadastro'!C$6:C$120,"S")</f>
        <v>0</v>
      </c>
      <c r="C60" s="22">
        <f>SUMIFS('Página 01_Cadastro'!M$6:M$120,'Página 01_Cadastro'!G$6:G$120,'Página 03_Envio_Modalidade'!A60,'Página 01_Cadastro'!I$6:I$120,'Pag 08_Legendas'!B$6)</f>
        <v>0</v>
      </c>
      <c r="D60" s="22">
        <f>SUMIFS('Página 01_Cadastro'!N$6:N$120,'Página 01_Cadastro'!G$6:G$120,'Página 03_Envio_Modalidade'!A60,'Página 01_Cadastro'!I$6:I$120,'Pag 08_Legendas'!B$6)</f>
        <v>0</v>
      </c>
      <c r="E60" s="22">
        <f>SUMIFS('Página 01_Cadastro'!O$6:O$120,'Página 01_Cadastro'!G$6:G$120,'Página 03_Envio_Modalidade'!A60,'Página 01_Cadastro'!I$6:I$120,'Pag 08_Legendas'!B$6)</f>
        <v>0</v>
      </c>
      <c r="F60" s="22">
        <f>SUMIFS('Página 01_Cadastro'!P$6:P$120,'Página 01_Cadastro'!G$6:G$120,'Página 03_Envio_Modalidade'!A60,'Página 01_Cadastro'!I$6:I$120,'Pag 08_Legendas'!B$6)</f>
        <v>0</v>
      </c>
      <c r="G60" s="22">
        <f>SUMIFS('Página 01_Cadastro'!Q$6:Q$120,'Página 01_Cadastro'!G$6:G$120,'Página 03_Envio_Modalidade'!A60,'Página 01_Cadastro'!I$6:I$120,'Pag 08_Legendas'!B$6)</f>
        <v>0</v>
      </c>
      <c r="H60" s="22">
        <f>SUMIFS('Página 01_Cadastro'!R$6:R$120,'Página 01_Cadastro'!G$6:G$120,'Página 03_Envio_Modalidade'!A60,'Página 01_Cadastro'!I$6:I$120,'Pag 08_Legendas'!B$6)</f>
        <v>0</v>
      </c>
      <c r="I60" s="22">
        <f t="shared" si="23"/>
        <v>0</v>
      </c>
    </row>
    <row r="61" spans="1:9" x14ac:dyDescent="0.2">
      <c r="A61" s="89" t="s">
        <v>3</v>
      </c>
      <c r="B61" s="21">
        <f>COUNTIFS('Página 01_Cadastro'!G$6:G$120,'Página 03_Envio_Modalidade'!A61,'Página 01_Cadastro'!I$6:I$120,'Pag 08_Legendas'!B$6,'Página 01_Cadastro'!C$6:C$120,"S")</f>
        <v>0</v>
      </c>
      <c r="C61" s="22">
        <f>SUMIFS('Página 01_Cadastro'!M$6:M$120,'Página 01_Cadastro'!G$6:G$120,'Página 03_Envio_Modalidade'!A61,'Página 01_Cadastro'!I$6:I$120,'Pag 08_Legendas'!B$6)</f>
        <v>0</v>
      </c>
      <c r="D61" s="22">
        <f>SUMIFS('Página 01_Cadastro'!N$6:N$120,'Página 01_Cadastro'!G$6:G$120,'Página 03_Envio_Modalidade'!A61,'Página 01_Cadastro'!I$6:I$120,'Pag 08_Legendas'!B$6)</f>
        <v>0</v>
      </c>
      <c r="E61" s="22">
        <f>SUMIFS('Página 01_Cadastro'!O$6:O$120,'Página 01_Cadastro'!G$6:G$120,'Página 03_Envio_Modalidade'!A61,'Página 01_Cadastro'!I$6:I$120,'Pag 08_Legendas'!B$6)</f>
        <v>0</v>
      </c>
      <c r="F61" s="22">
        <f>SUMIFS('Página 01_Cadastro'!P$6:P$120,'Página 01_Cadastro'!G$6:G$120,'Página 03_Envio_Modalidade'!A61,'Página 01_Cadastro'!I$6:I$120,'Pag 08_Legendas'!B$6)</f>
        <v>0</v>
      </c>
      <c r="G61" s="22">
        <f>SUMIFS('Página 01_Cadastro'!Q$6:Q$120,'Página 01_Cadastro'!G$6:G$120,'Página 03_Envio_Modalidade'!A61,'Página 01_Cadastro'!I$6:I$120,'Pag 08_Legendas'!B$6)</f>
        <v>0</v>
      </c>
      <c r="H61" s="22">
        <f>SUMIFS('Página 01_Cadastro'!R$6:R$120,'Página 01_Cadastro'!G$6:G$120,'Página 03_Envio_Modalidade'!A61,'Página 01_Cadastro'!I$6:I$120,'Pag 08_Legendas'!B$6)</f>
        <v>0</v>
      </c>
      <c r="I61" s="22">
        <f t="shared" si="23"/>
        <v>0</v>
      </c>
    </row>
    <row r="62" spans="1:9" x14ac:dyDescent="0.2">
      <c r="A62" s="43" t="s">
        <v>6</v>
      </c>
      <c r="B62" s="31">
        <f>SUM(B55:B61)</f>
        <v>0</v>
      </c>
      <c r="C62" s="33">
        <f t="shared" ref="C62" si="24">SUM(C55:C61)</f>
        <v>0</v>
      </c>
      <c r="D62" s="33">
        <f t="shared" ref="D62" si="25">SUM(D55:D61)</f>
        <v>0</v>
      </c>
      <c r="E62" s="33">
        <f t="shared" ref="E62" si="26">SUM(E55:E61)</f>
        <v>0</v>
      </c>
      <c r="F62" s="33">
        <f t="shared" ref="F62" si="27">SUM(F55:F61)</f>
        <v>0</v>
      </c>
      <c r="G62" s="33">
        <f t="shared" ref="G62" si="28">SUM(G55:G61)</f>
        <v>0</v>
      </c>
      <c r="H62" s="33">
        <f t="shared" ref="H62" si="29">SUM(H55:H61)</f>
        <v>0</v>
      </c>
      <c r="I62" s="33">
        <f t="shared" si="23"/>
        <v>0</v>
      </c>
    </row>
    <row r="64" spans="1:9" x14ac:dyDescent="0.2">
      <c r="A64" s="174" t="s">
        <v>74</v>
      </c>
      <c r="B64" s="174"/>
      <c r="C64" s="174"/>
      <c r="D64" s="174"/>
      <c r="E64" s="174"/>
      <c r="F64" s="174"/>
      <c r="G64" s="174"/>
      <c r="H64" s="174"/>
      <c r="I64" s="174"/>
    </row>
    <row r="66" spans="1:9" x14ac:dyDescent="0.2">
      <c r="A66" s="35" t="s">
        <v>25</v>
      </c>
      <c r="B66" s="36" t="s">
        <v>27</v>
      </c>
      <c r="C66" s="36" t="s">
        <v>16</v>
      </c>
      <c r="D66" s="37" t="s">
        <v>17</v>
      </c>
      <c r="E66" s="37" t="s">
        <v>18</v>
      </c>
      <c r="F66" s="37" t="s">
        <v>19</v>
      </c>
      <c r="G66" s="37" t="s">
        <v>20</v>
      </c>
      <c r="H66" s="37" t="s">
        <v>21</v>
      </c>
      <c r="I66" s="37" t="s">
        <v>28</v>
      </c>
    </row>
    <row r="67" spans="1:9" x14ac:dyDescent="0.2">
      <c r="A67" s="89" t="s">
        <v>0</v>
      </c>
      <c r="B67" s="21">
        <f>COUNTIFS('Página 01_Cadastro'!G$6:G$120,'Página 03_Envio_Modalidade'!A67,'Página 01_Cadastro'!I$6:I$120,'Pag 08_Legendas'!B$8,'Página 01_Cadastro'!C$6:C$120,"S")</f>
        <v>0</v>
      </c>
      <c r="C67" s="22">
        <f>SUMIFS('Página 01_Cadastro'!M$6:M$120,'Página 01_Cadastro'!G$6:G$120,'Página 03_Envio_Modalidade'!A67,'Página 01_Cadastro'!I$6:I$120,'Pag 08_Legendas'!B$8)</f>
        <v>0</v>
      </c>
      <c r="D67" s="22">
        <f>SUMIFS('Página 01_Cadastro'!N$6:N$120,'Página 01_Cadastro'!G$6:G$120,'Página 03_Envio_Modalidade'!A67,'Página 01_Cadastro'!I$6:I$120,'Pag 08_Legendas'!B$8)</f>
        <v>0</v>
      </c>
      <c r="E67" s="22">
        <f>SUMIFS('Página 01_Cadastro'!O$6:O$120,'Página 01_Cadastro'!G$6:G$120,'Página 03_Envio_Modalidade'!A67,'Página 01_Cadastro'!I$6:I$120,'Pag 08_Legendas'!B$8)</f>
        <v>0</v>
      </c>
      <c r="F67" s="22">
        <f>SUMIFS('Página 01_Cadastro'!P$6:P$120,'Página 01_Cadastro'!G$6:G$120,'Página 03_Envio_Modalidade'!A67,'Página 01_Cadastro'!I$6:I$120,'Pag 08_Legendas'!B$8)</f>
        <v>0</v>
      </c>
      <c r="G67" s="22">
        <f>SUMIFS('Página 01_Cadastro'!Q$6:Q$120,'Página 01_Cadastro'!G$6:G$120,'Página 03_Envio_Modalidade'!A67,'Página 01_Cadastro'!I$6:I$120,'Pag 08_Legendas'!B$8)</f>
        <v>0</v>
      </c>
      <c r="H67" s="22">
        <f>SUMIFS('Página 01_Cadastro'!R$6:R$120,'Página 01_Cadastro'!G$6:G$120,'Página 03_Envio_Modalidade'!A67,'Página 01_Cadastro'!I$6:I$120,'Pag 08_Legendas'!B$8)</f>
        <v>0</v>
      </c>
      <c r="I67" s="22">
        <f>SUM(C67:H67)</f>
        <v>0</v>
      </c>
    </row>
    <row r="68" spans="1:9" x14ac:dyDescent="0.2">
      <c r="A68" s="89" t="s">
        <v>5</v>
      </c>
      <c r="B68" s="21">
        <f>COUNTIFS('Página 01_Cadastro'!G$6:G$120,'Página 03_Envio_Modalidade'!A68,'Página 01_Cadastro'!I$6:I$120,'Pag 08_Legendas'!B$8,'Página 01_Cadastro'!C$6:C$120,"S")</f>
        <v>0</v>
      </c>
      <c r="C68" s="22">
        <f>SUMIFS('Página 01_Cadastro'!M$6:M$120,'Página 01_Cadastro'!G$6:G$120,'Página 03_Envio_Modalidade'!A68,'Página 01_Cadastro'!I$6:I$120,'Pag 08_Legendas'!B$8)</f>
        <v>0</v>
      </c>
      <c r="D68" s="22">
        <f>SUMIFS('Página 01_Cadastro'!N$6:N$120,'Página 01_Cadastro'!G$6:G$120,'Página 03_Envio_Modalidade'!A68,'Página 01_Cadastro'!I$6:I$120,'Pag 08_Legendas'!B$8)</f>
        <v>0</v>
      </c>
      <c r="E68" s="22">
        <f>SUMIFS('Página 01_Cadastro'!O$6:O$120,'Página 01_Cadastro'!G$6:G$120,'Página 03_Envio_Modalidade'!A68,'Página 01_Cadastro'!I$6:I$120,'Pag 08_Legendas'!B$8)</f>
        <v>0</v>
      </c>
      <c r="F68" s="22">
        <f>SUMIFS('Página 01_Cadastro'!P$6:P$120,'Página 01_Cadastro'!G$6:G$120,'Página 03_Envio_Modalidade'!A68,'Página 01_Cadastro'!I$6:I$120,'Pag 08_Legendas'!B$8)</f>
        <v>0</v>
      </c>
      <c r="G68" s="22">
        <f>SUMIFS('Página 01_Cadastro'!Q$6:Q$120,'Página 01_Cadastro'!G$6:G$120,'Página 03_Envio_Modalidade'!A68,'Página 01_Cadastro'!I$6:I$120,'Pag 08_Legendas'!B$8)</f>
        <v>0</v>
      </c>
      <c r="H68" s="22">
        <f>SUMIFS('Página 01_Cadastro'!R$6:R$120,'Página 01_Cadastro'!G$6:G$120,'Página 03_Envio_Modalidade'!A68,'Página 01_Cadastro'!I$6:I$120,'Pag 08_Legendas'!B$8)</f>
        <v>0</v>
      </c>
      <c r="I68" s="22">
        <f t="shared" ref="I68:I74" si="30">SUM(C68:H68)</f>
        <v>0</v>
      </c>
    </row>
    <row r="69" spans="1:9" x14ac:dyDescent="0.2">
      <c r="A69" s="89" t="s">
        <v>1</v>
      </c>
      <c r="B69" s="21">
        <f>COUNTIFS('Página 01_Cadastro'!G$6:G$120,'Página 03_Envio_Modalidade'!A69,'Página 01_Cadastro'!I$6:I$120,'Pag 08_Legendas'!B$8,'Página 01_Cadastro'!C$6:C$120,"S")</f>
        <v>0</v>
      </c>
      <c r="C69" s="22">
        <f>SUMIFS('Página 01_Cadastro'!M$6:M$120,'Página 01_Cadastro'!G$6:G$120,'Página 03_Envio_Modalidade'!A69,'Página 01_Cadastro'!I$6:I$120,'Pag 08_Legendas'!B$8)</f>
        <v>0</v>
      </c>
      <c r="D69" s="22">
        <f>SUMIFS('Página 01_Cadastro'!N$6:N$120,'Página 01_Cadastro'!G$6:G$120,'Página 03_Envio_Modalidade'!A69,'Página 01_Cadastro'!I$6:I$120,'Pag 08_Legendas'!B$8)</f>
        <v>0</v>
      </c>
      <c r="E69" s="22">
        <f>SUMIFS('Página 01_Cadastro'!O$6:O$120,'Página 01_Cadastro'!G$6:G$120,'Página 03_Envio_Modalidade'!A69,'Página 01_Cadastro'!I$6:I$120,'Pag 08_Legendas'!B$8)</f>
        <v>0</v>
      </c>
      <c r="F69" s="22">
        <f>SUMIFS('Página 01_Cadastro'!P$6:P$120,'Página 01_Cadastro'!G$6:G$120,'Página 03_Envio_Modalidade'!A69,'Página 01_Cadastro'!I$6:I$120,'Pag 08_Legendas'!B$8)</f>
        <v>0</v>
      </c>
      <c r="G69" s="22">
        <f>SUMIFS('Página 01_Cadastro'!Q$6:Q$120,'Página 01_Cadastro'!G$6:G$120,'Página 03_Envio_Modalidade'!A69,'Página 01_Cadastro'!I$6:I$120,'Pag 08_Legendas'!B$8)</f>
        <v>0</v>
      </c>
      <c r="H69" s="22">
        <f>SUMIFS('Página 01_Cadastro'!R$6:R$120,'Página 01_Cadastro'!G$6:G$120,'Página 03_Envio_Modalidade'!A69,'Página 01_Cadastro'!I$6:I$120,'Pag 08_Legendas'!B$8)</f>
        <v>0</v>
      </c>
      <c r="I69" s="22">
        <f t="shared" si="30"/>
        <v>0</v>
      </c>
    </row>
    <row r="70" spans="1:9" x14ac:dyDescent="0.2">
      <c r="A70" s="89" t="s">
        <v>26</v>
      </c>
      <c r="B70" s="21">
        <f>COUNTIFS('Página 01_Cadastro'!G$6:G$120,'Página 03_Envio_Modalidade'!A70,'Página 01_Cadastro'!I$6:I$120,'Pag 08_Legendas'!B$8,'Página 01_Cadastro'!C$6:C$120,"S")</f>
        <v>0</v>
      </c>
      <c r="C70" s="22">
        <f>SUMIFS('Página 01_Cadastro'!M$6:M$120,'Página 01_Cadastro'!G$6:G$120,'Página 03_Envio_Modalidade'!A70,'Página 01_Cadastro'!I$6:I$120,'Pag 08_Legendas'!B$8)</f>
        <v>0</v>
      </c>
      <c r="D70" s="22">
        <f>SUMIFS('Página 01_Cadastro'!N$6:N$120,'Página 01_Cadastro'!G$6:G$120,'Página 03_Envio_Modalidade'!A70,'Página 01_Cadastro'!I$6:I$120,'Pag 08_Legendas'!B$8)</f>
        <v>0</v>
      </c>
      <c r="E70" s="22">
        <f>SUMIFS('Página 01_Cadastro'!O$6:O$120,'Página 01_Cadastro'!G$6:G$120,'Página 03_Envio_Modalidade'!A70,'Página 01_Cadastro'!I$6:I$120,'Pag 08_Legendas'!B$8)</f>
        <v>0</v>
      </c>
      <c r="F70" s="22">
        <f>SUMIFS('Página 01_Cadastro'!P$6:P$120,'Página 01_Cadastro'!G$6:G$120,'Página 03_Envio_Modalidade'!A70,'Página 01_Cadastro'!I$6:I$120,'Pag 08_Legendas'!B$8)</f>
        <v>0</v>
      </c>
      <c r="G70" s="22">
        <f>SUMIFS('Página 01_Cadastro'!Q$6:Q$120,'Página 01_Cadastro'!G$6:G$120,'Página 03_Envio_Modalidade'!A70,'Página 01_Cadastro'!I$6:I$120,'Pag 08_Legendas'!B$8)</f>
        <v>0</v>
      </c>
      <c r="H70" s="22">
        <f>SUMIFS('Página 01_Cadastro'!R$6:R$120,'Página 01_Cadastro'!G$6:G$120,'Página 03_Envio_Modalidade'!A70,'Página 01_Cadastro'!I$6:I$120,'Pag 08_Legendas'!B$8)</f>
        <v>0</v>
      </c>
      <c r="I70" s="22">
        <f t="shared" si="30"/>
        <v>0</v>
      </c>
    </row>
    <row r="71" spans="1:9" x14ac:dyDescent="0.2">
      <c r="A71" s="89" t="s">
        <v>2</v>
      </c>
      <c r="B71" s="21">
        <f>COUNTIFS('Página 01_Cadastro'!G$6:G$120,'Página 03_Envio_Modalidade'!A71,'Página 01_Cadastro'!I$6:I$120,'Pag 08_Legendas'!B$8,'Página 01_Cadastro'!C$6:C$120,"S")</f>
        <v>0</v>
      </c>
      <c r="C71" s="22">
        <f>SUMIFS('Página 01_Cadastro'!M$6:M$120,'Página 01_Cadastro'!G$6:G$120,'Página 03_Envio_Modalidade'!A71,'Página 01_Cadastro'!I$6:I$120,'Pag 08_Legendas'!B$8)</f>
        <v>0</v>
      </c>
      <c r="D71" s="22">
        <f>SUMIFS('Página 01_Cadastro'!N$6:N$120,'Página 01_Cadastro'!G$6:G$120,'Página 03_Envio_Modalidade'!A71,'Página 01_Cadastro'!I$6:I$120,'Pag 08_Legendas'!B$8)</f>
        <v>0</v>
      </c>
      <c r="E71" s="22">
        <f>SUMIFS('Página 01_Cadastro'!O$6:O$120,'Página 01_Cadastro'!G$6:G$120,'Página 03_Envio_Modalidade'!A71,'Página 01_Cadastro'!I$6:I$120,'Pag 08_Legendas'!B$8)</f>
        <v>0</v>
      </c>
      <c r="F71" s="22">
        <f>SUMIFS('Página 01_Cadastro'!P$6:P$120,'Página 01_Cadastro'!G$6:G$120,'Página 03_Envio_Modalidade'!A71,'Página 01_Cadastro'!I$6:I$120,'Pag 08_Legendas'!B$8)</f>
        <v>0</v>
      </c>
      <c r="G71" s="22">
        <f>SUMIFS('Página 01_Cadastro'!Q$6:Q$120,'Página 01_Cadastro'!G$6:G$120,'Página 03_Envio_Modalidade'!A71,'Página 01_Cadastro'!I$6:I$120,'Pag 08_Legendas'!B$8)</f>
        <v>0</v>
      </c>
      <c r="H71" s="22">
        <f>SUMIFS('Página 01_Cadastro'!R$6:R$120,'Página 01_Cadastro'!G$6:G$120,'Página 03_Envio_Modalidade'!A71,'Página 01_Cadastro'!I$6:I$120,'Pag 08_Legendas'!B$8)</f>
        <v>0</v>
      </c>
      <c r="I71" s="22">
        <f t="shared" si="30"/>
        <v>0</v>
      </c>
    </row>
    <row r="72" spans="1:9" x14ac:dyDescent="0.2">
      <c r="A72" s="89" t="s">
        <v>4</v>
      </c>
      <c r="B72" s="21">
        <f>COUNTIFS('Página 01_Cadastro'!G$6:G$120,'Página 03_Envio_Modalidade'!A72,'Página 01_Cadastro'!I$6:I$120,'Pag 08_Legendas'!B$8,'Página 01_Cadastro'!C$6:C$120,"S")</f>
        <v>0</v>
      </c>
      <c r="C72" s="22">
        <f>SUMIFS('Página 01_Cadastro'!M$6:M$120,'Página 01_Cadastro'!G$6:G$120,'Página 03_Envio_Modalidade'!A72,'Página 01_Cadastro'!I$6:I$120,'Pag 08_Legendas'!B$8)</f>
        <v>0</v>
      </c>
      <c r="D72" s="22">
        <f>SUMIFS('Página 01_Cadastro'!N$6:N$120,'Página 01_Cadastro'!G$6:G$120,'Página 03_Envio_Modalidade'!A72,'Página 01_Cadastro'!I$6:I$120,'Pag 08_Legendas'!B$8)</f>
        <v>0</v>
      </c>
      <c r="E72" s="22">
        <f>SUMIFS('Página 01_Cadastro'!O$6:O$120,'Página 01_Cadastro'!G$6:G$120,'Página 03_Envio_Modalidade'!A72,'Página 01_Cadastro'!I$6:I$120,'Pag 08_Legendas'!B$8)</f>
        <v>0</v>
      </c>
      <c r="F72" s="22">
        <f>SUMIFS('Página 01_Cadastro'!P$6:P$120,'Página 01_Cadastro'!G$6:G$120,'Página 03_Envio_Modalidade'!A72,'Página 01_Cadastro'!I$6:I$120,'Pag 08_Legendas'!B$8)</f>
        <v>0</v>
      </c>
      <c r="G72" s="22">
        <f>SUMIFS('Página 01_Cadastro'!Q$6:Q$120,'Página 01_Cadastro'!G$6:G$120,'Página 03_Envio_Modalidade'!A72,'Página 01_Cadastro'!I$6:I$120,'Pag 08_Legendas'!B$8)</f>
        <v>0</v>
      </c>
      <c r="H72" s="22">
        <f>SUMIFS('Página 01_Cadastro'!R$6:R$120,'Página 01_Cadastro'!G$6:G$120,'Página 03_Envio_Modalidade'!A72,'Página 01_Cadastro'!I$6:I$120,'Pag 08_Legendas'!B$8)</f>
        <v>0</v>
      </c>
      <c r="I72" s="22">
        <f t="shared" si="30"/>
        <v>0</v>
      </c>
    </row>
    <row r="73" spans="1:9" x14ac:dyDescent="0.2">
      <c r="A73" s="89" t="s">
        <v>3</v>
      </c>
      <c r="B73" s="21">
        <f>COUNTIFS('Página 01_Cadastro'!G$6:G$120,'Página 03_Envio_Modalidade'!A73,'Página 01_Cadastro'!I$6:I$120,'Pag 08_Legendas'!B$8,'Página 01_Cadastro'!C$6:C$120,"S")</f>
        <v>0</v>
      </c>
      <c r="C73" s="22">
        <f>SUMIFS('Página 01_Cadastro'!M$6:M$120,'Página 01_Cadastro'!G$6:G$120,'Página 03_Envio_Modalidade'!A73,'Página 01_Cadastro'!I$6:I$120,'Pag 08_Legendas'!B$8)</f>
        <v>0</v>
      </c>
      <c r="D73" s="22">
        <f>SUMIFS('Página 01_Cadastro'!N$6:N$120,'Página 01_Cadastro'!G$6:G$120,'Página 03_Envio_Modalidade'!A73,'Página 01_Cadastro'!I$6:I$120,'Pag 08_Legendas'!B$8)</f>
        <v>0</v>
      </c>
      <c r="E73" s="22">
        <f>SUMIFS('Página 01_Cadastro'!O$6:O$120,'Página 01_Cadastro'!G$6:G$120,'Página 03_Envio_Modalidade'!A73,'Página 01_Cadastro'!I$6:I$120,'Pag 08_Legendas'!B$8)</f>
        <v>0</v>
      </c>
      <c r="F73" s="22">
        <f>SUMIFS('Página 01_Cadastro'!P$6:P$120,'Página 01_Cadastro'!G$6:G$120,'Página 03_Envio_Modalidade'!A73,'Página 01_Cadastro'!I$6:I$120,'Pag 08_Legendas'!B$8)</f>
        <v>0</v>
      </c>
      <c r="G73" s="22">
        <f>SUMIFS('Página 01_Cadastro'!Q$6:Q$120,'Página 01_Cadastro'!G$6:G$120,'Página 03_Envio_Modalidade'!A73,'Página 01_Cadastro'!I$6:I$120,'Pag 08_Legendas'!B$8)</f>
        <v>0</v>
      </c>
      <c r="H73" s="22">
        <f>SUMIFS('Página 01_Cadastro'!R$6:R$120,'Página 01_Cadastro'!G$6:G$120,'Página 03_Envio_Modalidade'!A73,'Página 01_Cadastro'!I$6:I$120,'Pag 08_Legendas'!B$8)</f>
        <v>0</v>
      </c>
      <c r="I73" s="22">
        <f t="shared" si="30"/>
        <v>0</v>
      </c>
    </row>
    <row r="74" spans="1:9" x14ac:dyDescent="0.2">
      <c r="A74" s="43" t="s">
        <v>6</v>
      </c>
      <c r="B74" s="31">
        <f>SUM(B67:B73)</f>
        <v>0</v>
      </c>
      <c r="C74" s="33">
        <f t="shared" ref="C74" si="31">SUM(C67:C73)</f>
        <v>0</v>
      </c>
      <c r="D74" s="33">
        <f t="shared" ref="D74" si="32">SUM(D67:D73)</f>
        <v>0</v>
      </c>
      <c r="E74" s="33">
        <f t="shared" ref="E74" si="33">SUM(E67:E73)</f>
        <v>0</v>
      </c>
      <c r="F74" s="33">
        <f t="shared" ref="F74" si="34">SUM(F67:F73)</f>
        <v>0</v>
      </c>
      <c r="G74" s="33">
        <f t="shared" ref="G74" si="35">SUM(G67:G73)</f>
        <v>0</v>
      </c>
      <c r="H74" s="33">
        <f t="shared" ref="H74" si="36">SUM(H67:H73)</f>
        <v>0</v>
      </c>
      <c r="I74" s="33">
        <f t="shared" si="30"/>
        <v>0</v>
      </c>
    </row>
    <row r="76" spans="1:9" x14ac:dyDescent="0.2">
      <c r="A76" s="174" t="s">
        <v>38</v>
      </c>
      <c r="B76" s="174"/>
      <c r="C76" s="174"/>
      <c r="D76" s="174"/>
      <c r="E76" s="174"/>
      <c r="F76" s="174"/>
      <c r="G76" s="174"/>
      <c r="H76" s="174"/>
      <c r="I76" s="174"/>
    </row>
    <row r="78" spans="1:9" x14ac:dyDescent="0.2">
      <c r="A78" s="35" t="s">
        <v>25</v>
      </c>
      <c r="B78" s="36" t="s">
        <v>27</v>
      </c>
      <c r="C78" s="36" t="s">
        <v>16</v>
      </c>
      <c r="D78" s="37" t="s">
        <v>17</v>
      </c>
      <c r="E78" s="37" t="s">
        <v>18</v>
      </c>
      <c r="F78" s="37" t="s">
        <v>19</v>
      </c>
      <c r="G78" s="37" t="s">
        <v>20</v>
      </c>
      <c r="H78" s="37" t="s">
        <v>21</v>
      </c>
      <c r="I78" s="37" t="s">
        <v>28</v>
      </c>
    </row>
    <row r="79" spans="1:9" x14ac:dyDescent="0.2">
      <c r="A79" s="89" t="s">
        <v>0</v>
      </c>
      <c r="B79" s="21">
        <f>COUNTIFS('Página 01_Cadastro'!G$6:G$120,'Página 03_Envio_Modalidade'!A79,'Página 01_Cadastro'!I$6:I$120,'Pag 08_Legendas'!B$3,'Página 01_Cadastro'!C$6:C$120,"S")</f>
        <v>0</v>
      </c>
      <c r="C79" s="22">
        <f>SUMIFS('Página 01_Cadastro'!M$6:M$120,'Página 01_Cadastro'!G$6:G$120,'Página 03_Envio_Modalidade'!A79,'Página 01_Cadastro'!I$6:I$120,'Pag 08_Legendas'!B$3)</f>
        <v>0</v>
      </c>
      <c r="D79" s="22">
        <f>SUMIFS('Página 01_Cadastro'!N$6:N$120,'Página 01_Cadastro'!G$6:G$120,'Página 03_Envio_Modalidade'!A79,'Página 01_Cadastro'!I$6:I$120,'Pag 08_Legendas'!B$3)</f>
        <v>0</v>
      </c>
      <c r="E79" s="22">
        <f>SUMIFS('Página 01_Cadastro'!O$6:O$120,'Página 01_Cadastro'!G$6:G$120,'Página 03_Envio_Modalidade'!A79,'Página 01_Cadastro'!I$6:I$120,'Pag 08_Legendas'!B$3)</f>
        <v>0</v>
      </c>
      <c r="F79" s="22">
        <f>SUMIFS('Página 01_Cadastro'!P$6:P$120,'Página 01_Cadastro'!G$6:G$120,'Página 03_Envio_Modalidade'!A79,'Página 01_Cadastro'!I$6:I$120,'Pag 08_Legendas'!B$3)</f>
        <v>0</v>
      </c>
      <c r="G79" s="22">
        <f>SUMIFS('Página 01_Cadastro'!Q$6:Q$120,'Página 01_Cadastro'!G$6:G$120,'Página 03_Envio_Modalidade'!A79,'Página 01_Cadastro'!I$6:I$120,'Pag 08_Legendas'!B$3)</f>
        <v>0</v>
      </c>
      <c r="H79" s="22">
        <f>SUMIFS('Página 01_Cadastro'!R$6:R$120,'Página 01_Cadastro'!G$6:G$120,'Página 03_Envio_Modalidade'!A79,'Página 01_Cadastro'!I$6:I$120,'Pag 08_Legendas'!B$3)</f>
        <v>0</v>
      </c>
      <c r="I79" s="22">
        <f>SUM(C79:H79)</f>
        <v>0</v>
      </c>
    </row>
    <row r="80" spans="1:9" x14ac:dyDescent="0.2">
      <c r="A80" s="89" t="s">
        <v>5</v>
      </c>
      <c r="B80" s="21">
        <f>COUNTIFS('Página 01_Cadastro'!G$6:G$120,'Página 03_Envio_Modalidade'!A80,'Página 01_Cadastro'!I$6:I$120,'Pag 08_Legendas'!B$3,'Página 01_Cadastro'!C$6:C$120,"S")</f>
        <v>0</v>
      </c>
      <c r="C80" s="22">
        <f>SUMIFS('Página 01_Cadastro'!M$6:M$120,'Página 01_Cadastro'!G$6:G$120,'Página 03_Envio_Modalidade'!A80,'Página 01_Cadastro'!I$6:I$120,'Pag 08_Legendas'!B$3)</f>
        <v>0</v>
      </c>
      <c r="D80" s="22">
        <f>SUMIFS('Página 01_Cadastro'!N$6:N$120,'Página 01_Cadastro'!G$6:G$120,'Página 03_Envio_Modalidade'!A80,'Página 01_Cadastro'!I$6:I$120,'Pag 08_Legendas'!B$3)</f>
        <v>0</v>
      </c>
      <c r="E80" s="22">
        <f>SUMIFS('Página 01_Cadastro'!O$6:O$120,'Página 01_Cadastro'!G$6:G$120,'Página 03_Envio_Modalidade'!A80,'Página 01_Cadastro'!I$6:I$120,'Pag 08_Legendas'!B$3)</f>
        <v>0</v>
      </c>
      <c r="F80" s="22">
        <f>SUMIFS('Página 01_Cadastro'!P$6:P$120,'Página 01_Cadastro'!G$6:G$120,'Página 03_Envio_Modalidade'!A80,'Página 01_Cadastro'!I$6:I$120,'Pag 08_Legendas'!B$3)</f>
        <v>0</v>
      </c>
      <c r="G80" s="22">
        <f>SUMIFS('Página 01_Cadastro'!Q$6:Q$120,'Página 01_Cadastro'!G$6:G$120,'Página 03_Envio_Modalidade'!A80,'Página 01_Cadastro'!I$6:I$120,'Pag 08_Legendas'!B$3)</f>
        <v>0</v>
      </c>
      <c r="H80" s="22">
        <f>SUMIFS('Página 01_Cadastro'!R$6:R$120,'Página 01_Cadastro'!G$6:G$120,'Página 03_Envio_Modalidade'!A80,'Página 01_Cadastro'!I$6:I$120,'Pag 08_Legendas'!B$3)</f>
        <v>0</v>
      </c>
      <c r="I80" s="22">
        <f t="shared" ref="I80:I86" si="37">SUM(C80:H80)</f>
        <v>0</v>
      </c>
    </row>
    <row r="81" spans="1:9" x14ac:dyDescent="0.2">
      <c r="A81" s="89" t="s">
        <v>1</v>
      </c>
      <c r="B81" s="21">
        <f>COUNTIFS('Página 01_Cadastro'!G$6:G$120,'Página 03_Envio_Modalidade'!A81,'Página 01_Cadastro'!I$6:I$120,'Pag 08_Legendas'!B$3,'Página 01_Cadastro'!C$6:C$120,"S")</f>
        <v>0</v>
      </c>
      <c r="C81" s="22">
        <f>SUMIFS('Página 01_Cadastro'!M$6:M$120,'Página 01_Cadastro'!G$6:G$120,'Página 03_Envio_Modalidade'!A81,'Página 01_Cadastro'!I$6:I$120,'Pag 08_Legendas'!B$3)</f>
        <v>0</v>
      </c>
      <c r="D81" s="22">
        <f>SUMIFS('Página 01_Cadastro'!N$6:N$120,'Página 01_Cadastro'!G$6:G$120,'Página 03_Envio_Modalidade'!A81,'Página 01_Cadastro'!I$6:I$120,'Pag 08_Legendas'!B$3)</f>
        <v>0</v>
      </c>
      <c r="E81" s="22">
        <f>SUMIFS('Página 01_Cadastro'!O$6:O$120,'Página 01_Cadastro'!G$6:G$120,'Página 03_Envio_Modalidade'!A81,'Página 01_Cadastro'!I$6:I$120,'Pag 08_Legendas'!B$3)</f>
        <v>0</v>
      </c>
      <c r="F81" s="22">
        <f>SUMIFS('Página 01_Cadastro'!P$6:P$120,'Página 01_Cadastro'!G$6:G$120,'Página 03_Envio_Modalidade'!A81,'Página 01_Cadastro'!I$6:I$120,'Pag 08_Legendas'!B$3)</f>
        <v>0</v>
      </c>
      <c r="G81" s="22">
        <f>SUMIFS('Página 01_Cadastro'!Q$6:Q$120,'Página 01_Cadastro'!G$6:G$120,'Página 03_Envio_Modalidade'!A81,'Página 01_Cadastro'!I$6:I$120,'Pag 08_Legendas'!B$3)</f>
        <v>0</v>
      </c>
      <c r="H81" s="22">
        <f>SUMIFS('Página 01_Cadastro'!R$6:R$120,'Página 01_Cadastro'!G$6:G$120,'Página 03_Envio_Modalidade'!A81,'Página 01_Cadastro'!I$6:I$120,'Pag 08_Legendas'!B$3)</f>
        <v>0</v>
      </c>
      <c r="I81" s="22">
        <f t="shared" si="37"/>
        <v>0</v>
      </c>
    </row>
    <row r="82" spans="1:9" x14ac:dyDescent="0.2">
      <c r="A82" s="89" t="s">
        <v>26</v>
      </c>
      <c r="B82" s="21">
        <f>COUNTIFS('Página 01_Cadastro'!G$6:G$120,'Página 03_Envio_Modalidade'!A82,'Página 01_Cadastro'!I$6:I$120,'Pag 08_Legendas'!B$3,'Página 01_Cadastro'!C$6:C$120,"S")</f>
        <v>0</v>
      </c>
      <c r="C82" s="22">
        <f>SUMIFS('Página 01_Cadastro'!M$6:M$120,'Página 01_Cadastro'!G$6:G$120,'Página 03_Envio_Modalidade'!A82,'Página 01_Cadastro'!I$6:I$120,'Pag 08_Legendas'!B$3)</f>
        <v>0</v>
      </c>
      <c r="D82" s="22">
        <f>SUMIFS('Página 01_Cadastro'!N$6:N$120,'Página 01_Cadastro'!G$6:G$120,'Página 03_Envio_Modalidade'!A82,'Página 01_Cadastro'!I$6:I$120,'Pag 08_Legendas'!B$3)</f>
        <v>0</v>
      </c>
      <c r="E82" s="22">
        <f>SUMIFS('Página 01_Cadastro'!O$6:O$120,'Página 01_Cadastro'!G$6:G$120,'Página 03_Envio_Modalidade'!A82,'Página 01_Cadastro'!I$6:I$120,'Pag 08_Legendas'!B$3)</f>
        <v>0</v>
      </c>
      <c r="F82" s="22">
        <f>SUMIFS('Página 01_Cadastro'!P$6:P$120,'Página 01_Cadastro'!G$6:G$120,'Página 03_Envio_Modalidade'!A82,'Página 01_Cadastro'!I$6:I$120,'Pag 08_Legendas'!B$3)</f>
        <v>0</v>
      </c>
      <c r="G82" s="22">
        <f>SUMIFS('Página 01_Cadastro'!Q$6:Q$120,'Página 01_Cadastro'!G$6:G$120,'Página 03_Envio_Modalidade'!A82,'Página 01_Cadastro'!I$6:I$120,'Pag 08_Legendas'!B$3)</f>
        <v>0</v>
      </c>
      <c r="H82" s="22">
        <f>SUMIFS('Página 01_Cadastro'!R$6:R$120,'Página 01_Cadastro'!G$6:G$120,'Página 03_Envio_Modalidade'!A82,'Página 01_Cadastro'!I$6:I$120,'Pag 08_Legendas'!B$3)</f>
        <v>0</v>
      </c>
      <c r="I82" s="22">
        <f t="shared" si="37"/>
        <v>0</v>
      </c>
    </row>
    <row r="83" spans="1:9" x14ac:dyDescent="0.2">
      <c r="A83" s="89" t="s">
        <v>2</v>
      </c>
      <c r="B83" s="21">
        <f>COUNTIFS('Página 01_Cadastro'!G$6:G$120,'Página 03_Envio_Modalidade'!A83,'Página 01_Cadastro'!I$6:I$120,'Pag 08_Legendas'!B$3,'Página 01_Cadastro'!C$6:C$120,"S")</f>
        <v>0</v>
      </c>
      <c r="C83" s="22">
        <f>SUMIFS('Página 01_Cadastro'!M$6:M$120,'Página 01_Cadastro'!G$6:G$120,'Página 03_Envio_Modalidade'!A83,'Página 01_Cadastro'!I$6:I$120,'Pag 08_Legendas'!B$3)</f>
        <v>0</v>
      </c>
      <c r="D83" s="22">
        <f>SUMIFS('Página 01_Cadastro'!N$6:N$120,'Página 01_Cadastro'!G$6:G$120,'Página 03_Envio_Modalidade'!A83,'Página 01_Cadastro'!I$6:I$120,'Pag 08_Legendas'!B$3)</f>
        <v>0</v>
      </c>
      <c r="E83" s="22">
        <f>SUMIFS('Página 01_Cadastro'!O$6:O$120,'Página 01_Cadastro'!G$6:G$120,'Página 03_Envio_Modalidade'!A83,'Página 01_Cadastro'!I$6:I$120,'Pag 08_Legendas'!B$3)</f>
        <v>0</v>
      </c>
      <c r="F83" s="22">
        <f>SUMIFS('Página 01_Cadastro'!P$6:P$120,'Página 01_Cadastro'!G$6:G$120,'Página 03_Envio_Modalidade'!A83,'Página 01_Cadastro'!I$6:I$120,'Pag 08_Legendas'!B$3)</f>
        <v>0</v>
      </c>
      <c r="G83" s="22">
        <f>SUMIFS('Página 01_Cadastro'!Q$6:Q$120,'Página 01_Cadastro'!G$6:G$120,'Página 03_Envio_Modalidade'!A83,'Página 01_Cadastro'!I$6:I$120,'Pag 08_Legendas'!B$3)</f>
        <v>0</v>
      </c>
      <c r="H83" s="22">
        <f>SUMIFS('Página 01_Cadastro'!R$6:R$120,'Página 01_Cadastro'!G$6:G$120,'Página 03_Envio_Modalidade'!A83,'Página 01_Cadastro'!I$6:I$120,'Pag 08_Legendas'!B$3)</f>
        <v>0</v>
      </c>
      <c r="I83" s="22">
        <f t="shared" si="37"/>
        <v>0</v>
      </c>
    </row>
    <row r="84" spans="1:9" x14ac:dyDescent="0.2">
      <c r="A84" s="89" t="s">
        <v>4</v>
      </c>
      <c r="B84" s="21">
        <f>COUNTIFS('Página 01_Cadastro'!G$6:G$120,'Página 03_Envio_Modalidade'!A84,'Página 01_Cadastro'!I$6:I$120,'Pag 08_Legendas'!B$3,'Página 01_Cadastro'!C$6:C$120,"S")</f>
        <v>0</v>
      </c>
      <c r="C84" s="22">
        <f>SUMIFS('Página 01_Cadastro'!M$6:M$120,'Página 01_Cadastro'!G$6:G$120,'Página 03_Envio_Modalidade'!A84,'Página 01_Cadastro'!I$6:I$120,'Pag 08_Legendas'!B$3)</f>
        <v>0</v>
      </c>
      <c r="D84" s="22">
        <f>SUMIFS('Página 01_Cadastro'!N$6:N$120,'Página 01_Cadastro'!G$6:G$120,'Página 03_Envio_Modalidade'!A84,'Página 01_Cadastro'!I$6:I$120,'Pag 08_Legendas'!B$3)</f>
        <v>0</v>
      </c>
      <c r="E84" s="22">
        <f>SUMIFS('Página 01_Cadastro'!O$6:O$120,'Página 01_Cadastro'!G$6:G$120,'Página 03_Envio_Modalidade'!A84,'Página 01_Cadastro'!I$6:I$120,'Pag 08_Legendas'!B$3)</f>
        <v>0</v>
      </c>
      <c r="F84" s="22">
        <f>SUMIFS('Página 01_Cadastro'!P$6:P$120,'Página 01_Cadastro'!G$6:G$120,'Página 03_Envio_Modalidade'!A84,'Página 01_Cadastro'!I$6:I$120,'Pag 08_Legendas'!B$3)</f>
        <v>0</v>
      </c>
      <c r="G84" s="22">
        <f>SUMIFS('Página 01_Cadastro'!Q$6:Q$120,'Página 01_Cadastro'!G$6:G$120,'Página 03_Envio_Modalidade'!A84,'Página 01_Cadastro'!I$6:I$120,'Pag 08_Legendas'!B$3)</f>
        <v>0</v>
      </c>
      <c r="H84" s="22">
        <f>SUMIFS('Página 01_Cadastro'!R$6:R$120,'Página 01_Cadastro'!G$6:G$120,'Página 03_Envio_Modalidade'!A84,'Página 01_Cadastro'!I$6:I$120,'Pag 08_Legendas'!B$3)</f>
        <v>0</v>
      </c>
      <c r="I84" s="22">
        <f t="shared" si="37"/>
        <v>0</v>
      </c>
    </row>
    <row r="85" spans="1:9" x14ac:dyDescent="0.2">
      <c r="A85" s="89" t="s">
        <v>3</v>
      </c>
      <c r="B85" s="21">
        <f>COUNTIFS('Página 01_Cadastro'!G$6:G$120,'Página 03_Envio_Modalidade'!A85,'Página 01_Cadastro'!I$6:I$120,'Pag 08_Legendas'!B$3,'Página 01_Cadastro'!C$6:C$120,"S")</f>
        <v>0</v>
      </c>
      <c r="C85" s="22">
        <f>SUMIFS('Página 01_Cadastro'!M$6:M$120,'Página 01_Cadastro'!G$6:G$120,'Página 03_Envio_Modalidade'!A85,'Página 01_Cadastro'!I$6:I$120,'Pag 08_Legendas'!B$3)</f>
        <v>0</v>
      </c>
      <c r="D85" s="22">
        <f>SUMIFS('Página 01_Cadastro'!N$6:N$120,'Página 01_Cadastro'!G$6:G$120,'Página 03_Envio_Modalidade'!A85,'Página 01_Cadastro'!I$6:I$120,'Pag 08_Legendas'!B$3)</f>
        <v>0</v>
      </c>
      <c r="E85" s="22">
        <f>SUMIFS('Página 01_Cadastro'!O$6:O$120,'Página 01_Cadastro'!G$6:G$120,'Página 03_Envio_Modalidade'!A85,'Página 01_Cadastro'!I$6:I$120,'Pag 08_Legendas'!B$3)</f>
        <v>0</v>
      </c>
      <c r="F85" s="22">
        <f>SUMIFS('Página 01_Cadastro'!P$6:P$120,'Página 01_Cadastro'!G$6:G$120,'Página 03_Envio_Modalidade'!A85,'Página 01_Cadastro'!I$6:I$120,'Pag 08_Legendas'!B$3)</f>
        <v>0</v>
      </c>
      <c r="G85" s="22">
        <f>SUMIFS('Página 01_Cadastro'!Q$6:Q$120,'Página 01_Cadastro'!G$6:G$120,'Página 03_Envio_Modalidade'!A85,'Página 01_Cadastro'!I$6:I$120,'Pag 08_Legendas'!B$3)</f>
        <v>0</v>
      </c>
      <c r="H85" s="22">
        <f>SUMIFS('Página 01_Cadastro'!R$6:R$120,'Página 01_Cadastro'!G$6:G$120,'Página 03_Envio_Modalidade'!A85,'Página 01_Cadastro'!I$6:I$120,'Pag 08_Legendas'!B$3)</f>
        <v>0</v>
      </c>
      <c r="I85" s="22">
        <f t="shared" si="37"/>
        <v>0</v>
      </c>
    </row>
    <row r="86" spans="1:9" x14ac:dyDescent="0.2">
      <c r="A86" s="43" t="s">
        <v>6</v>
      </c>
      <c r="B86" s="31">
        <f>SUM(B79:B85)</f>
        <v>0</v>
      </c>
      <c r="C86" s="33">
        <f t="shared" ref="C86" si="38">SUM(C79:C85)</f>
        <v>0</v>
      </c>
      <c r="D86" s="33">
        <f t="shared" ref="D86" si="39">SUM(D79:D85)</f>
        <v>0</v>
      </c>
      <c r="E86" s="33">
        <f t="shared" ref="E86" si="40">SUM(E79:E85)</f>
        <v>0</v>
      </c>
      <c r="F86" s="33">
        <f t="shared" ref="F86" si="41">SUM(F79:F85)</f>
        <v>0</v>
      </c>
      <c r="G86" s="33">
        <f t="shared" ref="G86" si="42">SUM(G79:G85)</f>
        <v>0</v>
      </c>
      <c r="H86" s="33">
        <f t="shared" ref="H86" si="43">SUM(H79:H85)</f>
        <v>0</v>
      </c>
      <c r="I86" s="33">
        <f t="shared" si="37"/>
        <v>0</v>
      </c>
    </row>
    <row r="88" spans="1:9" x14ac:dyDescent="0.2">
      <c r="A88" s="174" t="s">
        <v>39</v>
      </c>
      <c r="B88" s="174"/>
      <c r="C88" s="174"/>
      <c r="D88" s="174"/>
      <c r="E88" s="174"/>
      <c r="F88" s="174"/>
      <c r="G88" s="174"/>
      <c r="H88" s="174"/>
      <c r="I88" s="174"/>
    </row>
    <row r="90" spans="1:9" x14ac:dyDescent="0.2">
      <c r="A90" s="35" t="s">
        <v>25</v>
      </c>
      <c r="B90" s="36" t="s">
        <v>27</v>
      </c>
      <c r="C90" s="36" t="s">
        <v>16</v>
      </c>
      <c r="D90" s="37" t="s">
        <v>17</v>
      </c>
      <c r="E90" s="37" t="s">
        <v>18</v>
      </c>
      <c r="F90" s="37" t="s">
        <v>19</v>
      </c>
      <c r="G90" s="37" t="s">
        <v>20</v>
      </c>
      <c r="H90" s="37" t="s">
        <v>21</v>
      </c>
      <c r="I90" s="37" t="s">
        <v>28</v>
      </c>
    </row>
    <row r="91" spans="1:9" x14ac:dyDescent="0.2">
      <c r="A91" s="89" t="s">
        <v>0</v>
      </c>
      <c r="B91" s="21">
        <f>COUNTIFS('Página 01_Cadastro'!G$6:G$120,'Página 03_Envio_Modalidade'!A91,'Página 01_Cadastro'!I$6:I$120,'Pag 08_Legendas'!B$9,'Página 01_Cadastro'!C$6:C$120,"S")</f>
        <v>0</v>
      </c>
      <c r="C91" s="22">
        <f>SUMIFS('Página 01_Cadastro'!M$6:M$120,'Página 01_Cadastro'!G$6:G$120,'Página 03_Envio_Modalidade'!A91,'Página 01_Cadastro'!I$6:I$120,'Pag 08_Legendas'!B$9)</f>
        <v>0</v>
      </c>
      <c r="D91" s="22">
        <f>SUMIFS('Página 01_Cadastro'!N$6:N$120,'Página 01_Cadastro'!G$6:G$120,'Página 03_Envio_Modalidade'!A91,'Página 01_Cadastro'!I$6:I$120,'Pag 08_Legendas'!B$9)</f>
        <v>0</v>
      </c>
      <c r="E91" s="22">
        <f>SUMIFS('Página 01_Cadastro'!O$6:O$120,'Página 01_Cadastro'!G$6:G$120,'Página 03_Envio_Modalidade'!A91,'Página 01_Cadastro'!I$6:I$120,'Pag 08_Legendas'!B$9)</f>
        <v>0</v>
      </c>
      <c r="F91" s="22">
        <f>SUMIFS('Página 01_Cadastro'!P$6:P$120,'Página 01_Cadastro'!G$6:G$120,'Página 03_Envio_Modalidade'!A91,'Página 01_Cadastro'!I$6:I$120,'Pag 08_Legendas'!B$9)</f>
        <v>0</v>
      </c>
      <c r="G91" s="22">
        <f>SUMIFS('Página 01_Cadastro'!Q$6:Q$120,'Página 01_Cadastro'!G$6:G$120,'Página 03_Envio_Modalidade'!A91,'Página 01_Cadastro'!I$6:I$120,'Pag 08_Legendas'!B$9)</f>
        <v>0</v>
      </c>
      <c r="H91" s="22">
        <f>SUMIFS('Página 01_Cadastro'!R$6:R$120,'Página 01_Cadastro'!G$6:G$120,'Página 03_Envio_Modalidade'!A91,'Página 01_Cadastro'!I$6:I$120,'Pag 08_Legendas'!B$9)</f>
        <v>0</v>
      </c>
      <c r="I91" s="22">
        <f>SUM(C91:H91)</f>
        <v>0</v>
      </c>
    </row>
    <row r="92" spans="1:9" x14ac:dyDescent="0.2">
      <c r="A92" s="89" t="s">
        <v>5</v>
      </c>
      <c r="B92" s="21">
        <f>COUNTIFS('Página 01_Cadastro'!G$6:G$120,'Página 03_Envio_Modalidade'!A92,'Página 01_Cadastro'!I$6:I$120,'Pag 08_Legendas'!B$9,'Página 01_Cadastro'!C$6:C$120,"S")</f>
        <v>0</v>
      </c>
      <c r="C92" s="22">
        <f>SUMIFS('Página 01_Cadastro'!M$6:M$120,'Página 01_Cadastro'!G$6:G$120,'Página 03_Envio_Modalidade'!A92,'Página 01_Cadastro'!I$6:I$120,'Pag 08_Legendas'!B$9)</f>
        <v>0</v>
      </c>
      <c r="D92" s="22">
        <f>SUMIFS('Página 01_Cadastro'!N$6:N$120,'Página 01_Cadastro'!G$6:G$120,'Página 03_Envio_Modalidade'!A92,'Página 01_Cadastro'!I$6:I$120,'Pag 08_Legendas'!B$9)</f>
        <v>0</v>
      </c>
      <c r="E92" s="22">
        <f>SUMIFS('Página 01_Cadastro'!O$6:O$120,'Página 01_Cadastro'!G$6:G$120,'Página 03_Envio_Modalidade'!A92,'Página 01_Cadastro'!I$6:I$120,'Pag 08_Legendas'!B$9)</f>
        <v>0</v>
      </c>
      <c r="F92" s="22">
        <f>SUMIFS('Página 01_Cadastro'!P$6:P$120,'Página 01_Cadastro'!G$6:G$120,'Página 03_Envio_Modalidade'!A92,'Página 01_Cadastro'!I$6:I$120,'Pag 08_Legendas'!B$9)</f>
        <v>0</v>
      </c>
      <c r="G92" s="22">
        <f>SUMIFS('Página 01_Cadastro'!Q$6:Q$120,'Página 01_Cadastro'!G$6:G$120,'Página 03_Envio_Modalidade'!A92,'Página 01_Cadastro'!I$6:I$120,'Pag 08_Legendas'!B$9)</f>
        <v>0</v>
      </c>
      <c r="H92" s="22">
        <f>SUMIFS('Página 01_Cadastro'!R$6:R$120,'Página 01_Cadastro'!G$6:G$120,'Página 03_Envio_Modalidade'!A92,'Página 01_Cadastro'!I$6:I$120,'Pag 08_Legendas'!B$9)</f>
        <v>0</v>
      </c>
      <c r="I92" s="22">
        <f t="shared" ref="I92:I98" si="44">SUM(C92:H92)</f>
        <v>0</v>
      </c>
    </row>
    <row r="93" spans="1:9" x14ac:dyDescent="0.2">
      <c r="A93" s="89" t="s">
        <v>1</v>
      </c>
      <c r="B93" s="21">
        <f>COUNTIFS('Página 01_Cadastro'!G$6:G$120,'Página 03_Envio_Modalidade'!A93,'Página 01_Cadastro'!I$6:I$120,'Pag 08_Legendas'!B$9,'Página 01_Cadastro'!C$6:C$120,"S")</f>
        <v>0</v>
      </c>
      <c r="C93" s="22">
        <f>SUMIFS('Página 01_Cadastro'!M$6:M$120,'Página 01_Cadastro'!G$6:G$120,'Página 03_Envio_Modalidade'!A93,'Página 01_Cadastro'!I$6:I$120,'Pag 08_Legendas'!B$9)</f>
        <v>0</v>
      </c>
      <c r="D93" s="22">
        <f>SUMIFS('Página 01_Cadastro'!N$6:N$120,'Página 01_Cadastro'!G$6:G$120,'Página 03_Envio_Modalidade'!A93,'Página 01_Cadastro'!I$6:I$120,'Pag 08_Legendas'!B$9)</f>
        <v>0</v>
      </c>
      <c r="E93" s="22">
        <f>SUMIFS('Página 01_Cadastro'!O$6:O$120,'Página 01_Cadastro'!G$6:G$120,'Página 03_Envio_Modalidade'!A93,'Página 01_Cadastro'!I$6:I$120,'Pag 08_Legendas'!B$9)</f>
        <v>0</v>
      </c>
      <c r="F93" s="22">
        <f>SUMIFS('Página 01_Cadastro'!P$6:P$120,'Página 01_Cadastro'!G$6:G$120,'Página 03_Envio_Modalidade'!A93,'Página 01_Cadastro'!I$6:I$120,'Pag 08_Legendas'!B$9)</f>
        <v>0</v>
      </c>
      <c r="G93" s="22">
        <f>SUMIFS('Página 01_Cadastro'!Q$6:Q$120,'Página 01_Cadastro'!G$6:G$120,'Página 03_Envio_Modalidade'!A93,'Página 01_Cadastro'!I$6:I$120,'Pag 08_Legendas'!B$9)</f>
        <v>0</v>
      </c>
      <c r="H93" s="22">
        <f>SUMIFS('Página 01_Cadastro'!R$6:R$120,'Página 01_Cadastro'!G$6:G$120,'Página 03_Envio_Modalidade'!A93,'Página 01_Cadastro'!I$6:I$120,'Pag 08_Legendas'!B$9)</f>
        <v>0</v>
      </c>
      <c r="I93" s="22">
        <f t="shared" si="44"/>
        <v>0</v>
      </c>
    </row>
    <row r="94" spans="1:9" x14ac:dyDescent="0.2">
      <c r="A94" s="89" t="s">
        <v>26</v>
      </c>
      <c r="B94" s="21">
        <f>COUNTIFS('Página 01_Cadastro'!G$6:G$120,'Página 03_Envio_Modalidade'!A94,'Página 01_Cadastro'!I$6:I$120,'Pag 08_Legendas'!B$9,'Página 01_Cadastro'!C$6:C$120,"S")</f>
        <v>0</v>
      </c>
      <c r="C94" s="22">
        <f>SUMIFS('Página 01_Cadastro'!M$6:M$120,'Página 01_Cadastro'!G$6:G$120,'Página 03_Envio_Modalidade'!A94,'Página 01_Cadastro'!I$6:I$120,'Pag 08_Legendas'!B$9)</f>
        <v>0</v>
      </c>
      <c r="D94" s="22">
        <f>SUMIFS('Página 01_Cadastro'!N$6:N$120,'Página 01_Cadastro'!G$6:G$120,'Página 03_Envio_Modalidade'!A94,'Página 01_Cadastro'!I$6:I$120,'Pag 08_Legendas'!B$9)</f>
        <v>0</v>
      </c>
      <c r="E94" s="22">
        <f>SUMIFS('Página 01_Cadastro'!O$6:O$120,'Página 01_Cadastro'!G$6:G$120,'Página 03_Envio_Modalidade'!A94,'Página 01_Cadastro'!I$6:I$120,'Pag 08_Legendas'!B$9)</f>
        <v>0</v>
      </c>
      <c r="F94" s="22">
        <f>SUMIFS('Página 01_Cadastro'!P$6:P$120,'Página 01_Cadastro'!G$6:G$120,'Página 03_Envio_Modalidade'!A94,'Página 01_Cadastro'!I$6:I$120,'Pag 08_Legendas'!B$9)</f>
        <v>0</v>
      </c>
      <c r="G94" s="22">
        <f>SUMIFS('Página 01_Cadastro'!Q$6:Q$120,'Página 01_Cadastro'!G$6:G$120,'Página 03_Envio_Modalidade'!A94,'Página 01_Cadastro'!I$6:I$120,'Pag 08_Legendas'!B$9)</f>
        <v>0</v>
      </c>
      <c r="H94" s="22">
        <f>SUMIFS('Página 01_Cadastro'!R$6:R$120,'Página 01_Cadastro'!G$6:G$120,'Página 03_Envio_Modalidade'!A94,'Página 01_Cadastro'!I$6:I$120,'Pag 08_Legendas'!B$9)</f>
        <v>0</v>
      </c>
      <c r="I94" s="22">
        <f t="shared" si="44"/>
        <v>0</v>
      </c>
    </row>
    <row r="95" spans="1:9" x14ac:dyDescent="0.2">
      <c r="A95" s="89" t="s">
        <v>2</v>
      </c>
      <c r="B95" s="21">
        <f>COUNTIFS('Página 01_Cadastro'!G$6:G$120,'Página 03_Envio_Modalidade'!A95,'Página 01_Cadastro'!I$6:I$120,'Pag 08_Legendas'!B$9,'Página 01_Cadastro'!C$6:C$120,"S")</f>
        <v>0</v>
      </c>
      <c r="C95" s="22">
        <f>SUMIFS('Página 01_Cadastro'!M$6:M$120,'Página 01_Cadastro'!G$6:G$120,'Página 03_Envio_Modalidade'!A95,'Página 01_Cadastro'!I$6:I$120,'Pag 08_Legendas'!B$9)</f>
        <v>0</v>
      </c>
      <c r="D95" s="22">
        <f>SUMIFS('Página 01_Cadastro'!N$6:N$120,'Página 01_Cadastro'!G$6:G$120,'Página 03_Envio_Modalidade'!A95,'Página 01_Cadastro'!I$6:I$120,'Pag 08_Legendas'!B$9)</f>
        <v>0</v>
      </c>
      <c r="E95" s="22">
        <f>SUMIFS('Página 01_Cadastro'!O$6:O$120,'Página 01_Cadastro'!G$6:G$120,'Página 03_Envio_Modalidade'!A95,'Página 01_Cadastro'!I$6:I$120,'Pag 08_Legendas'!B$9)</f>
        <v>0</v>
      </c>
      <c r="F95" s="22">
        <f>SUMIFS('Página 01_Cadastro'!P$6:P$120,'Página 01_Cadastro'!G$6:G$120,'Página 03_Envio_Modalidade'!A95,'Página 01_Cadastro'!I$6:I$120,'Pag 08_Legendas'!B$9)</f>
        <v>0</v>
      </c>
      <c r="G95" s="22">
        <f>SUMIFS('Página 01_Cadastro'!Q$6:Q$120,'Página 01_Cadastro'!G$6:G$120,'Página 03_Envio_Modalidade'!A95,'Página 01_Cadastro'!I$6:I$120,'Pag 08_Legendas'!B$9)</f>
        <v>0</v>
      </c>
      <c r="H95" s="22">
        <f>SUMIFS('Página 01_Cadastro'!R$6:R$120,'Página 01_Cadastro'!G$6:G$120,'Página 03_Envio_Modalidade'!A95,'Página 01_Cadastro'!I$6:I$120,'Pag 08_Legendas'!B$9)</f>
        <v>0</v>
      </c>
      <c r="I95" s="22">
        <f t="shared" si="44"/>
        <v>0</v>
      </c>
    </row>
    <row r="96" spans="1:9" x14ac:dyDescent="0.2">
      <c r="A96" s="89" t="s">
        <v>4</v>
      </c>
      <c r="B96" s="21">
        <f>COUNTIFS('Página 01_Cadastro'!G$6:G$120,'Página 03_Envio_Modalidade'!A96,'Página 01_Cadastro'!I$6:I$120,'Pag 08_Legendas'!B$9,'Página 01_Cadastro'!C$6:C$120,"S")</f>
        <v>0</v>
      </c>
      <c r="C96" s="22">
        <f>SUMIFS('Página 01_Cadastro'!M$6:M$120,'Página 01_Cadastro'!G$6:G$120,'Página 03_Envio_Modalidade'!A96,'Página 01_Cadastro'!I$6:I$120,'Pag 08_Legendas'!B$9)</f>
        <v>0</v>
      </c>
      <c r="D96" s="22">
        <f>SUMIFS('Página 01_Cadastro'!N$6:N$120,'Página 01_Cadastro'!G$6:G$120,'Página 03_Envio_Modalidade'!A96,'Página 01_Cadastro'!I$6:I$120,'Pag 08_Legendas'!B$9)</f>
        <v>0</v>
      </c>
      <c r="E96" s="22">
        <f>SUMIFS('Página 01_Cadastro'!O$6:O$120,'Página 01_Cadastro'!G$6:G$120,'Página 03_Envio_Modalidade'!A96,'Página 01_Cadastro'!I$6:I$120,'Pag 08_Legendas'!B$9)</f>
        <v>0</v>
      </c>
      <c r="F96" s="22">
        <f>SUMIFS('Página 01_Cadastro'!P$6:P$120,'Página 01_Cadastro'!G$6:G$120,'Página 03_Envio_Modalidade'!A96,'Página 01_Cadastro'!I$6:I$120,'Pag 08_Legendas'!B$9)</f>
        <v>0</v>
      </c>
      <c r="G96" s="22">
        <f>SUMIFS('Página 01_Cadastro'!Q$6:Q$120,'Página 01_Cadastro'!G$6:G$120,'Página 03_Envio_Modalidade'!A96,'Página 01_Cadastro'!I$6:I$120,'Pag 08_Legendas'!B$9)</f>
        <v>0</v>
      </c>
      <c r="H96" s="22">
        <f>SUMIFS('Página 01_Cadastro'!R$6:R$120,'Página 01_Cadastro'!G$6:G$120,'Página 03_Envio_Modalidade'!A96,'Página 01_Cadastro'!I$6:I$120,'Pag 08_Legendas'!B$9)</f>
        <v>0</v>
      </c>
      <c r="I96" s="22">
        <f t="shared" si="44"/>
        <v>0</v>
      </c>
    </row>
    <row r="97" spans="1:9" x14ac:dyDescent="0.2">
      <c r="A97" s="89" t="s">
        <v>3</v>
      </c>
      <c r="B97" s="21">
        <f>COUNTIFS('Página 01_Cadastro'!G$6:G$120,'Página 03_Envio_Modalidade'!A97,'Página 01_Cadastro'!I$6:I$120,'Pag 08_Legendas'!B$9,'Página 01_Cadastro'!C$6:C$120,"S")</f>
        <v>0</v>
      </c>
      <c r="C97" s="22">
        <f>SUMIFS('Página 01_Cadastro'!M$6:M$120,'Página 01_Cadastro'!G$6:G$120,'Página 03_Envio_Modalidade'!A97,'Página 01_Cadastro'!I$6:I$120,'Pag 08_Legendas'!B$9)</f>
        <v>0</v>
      </c>
      <c r="D97" s="22">
        <f>SUMIFS('Página 01_Cadastro'!N$6:N$120,'Página 01_Cadastro'!G$6:G$120,'Página 03_Envio_Modalidade'!A97,'Página 01_Cadastro'!I$6:I$120,'Pag 08_Legendas'!B$9)</f>
        <v>0</v>
      </c>
      <c r="E97" s="22">
        <f>SUMIFS('Página 01_Cadastro'!O$6:O$120,'Página 01_Cadastro'!G$6:G$120,'Página 03_Envio_Modalidade'!A97,'Página 01_Cadastro'!I$6:I$120,'Pag 08_Legendas'!B$9)</f>
        <v>0</v>
      </c>
      <c r="F97" s="22">
        <f>SUMIFS('Página 01_Cadastro'!P$6:P$120,'Página 01_Cadastro'!G$6:G$120,'Página 03_Envio_Modalidade'!A97,'Página 01_Cadastro'!I$6:I$120,'Pag 08_Legendas'!B$9)</f>
        <v>0</v>
      </c>
      <c r="G97" s="22">
        <f>SUMIFS('Página 01_Cadastro'!Q$6:Q$120,'Página 01_Cadastro'!G$6:G$120,'Página 03_Envio_Modalidade'!A97,'Página 01_Cadastro'!I$6:I$120,'Pag 08_Legendas'!B$9)</f>
        <v>0</v>
      </c>
      <c r="H97" s="22">
        <f>SUMIFS('Página 01_Cadastro'!R$6:R$120,'Página 01_Cadastro'!G$6:G$120,'Página 03_Envio_Modalidade'!A97,'Página 01_Cadastro'!I$6:I$120,'Pag 08_Legendas'!B$9)</f>
        <v>0</v>
      </c>
      <c r="I97" s="22">
        <f t="shared" si="44"/>
        <v>0</v>
      </c>
    </row>
    <row r="98" spans="1:9" x14ac:dyDescent="0.2">
      <c r="A98" s="43" t="s">
        <v>6</v>
      </c>
      <c r="B98" s="31">
        <f>SUM(B91:B97)</f>
        <v>0</v>
      </c>
      <c r="C98" s="33">
        <f t="shared" ref="C98" si="45">SUM(C91:C97)</f>
        <v>0</v>
      </c>
      <c r="D98" s="33">
        <f t="shared" ref="D98" si="46">SUM(D91:D97)</f>
        <v>0</v>
      </c>
      <c r="E98" s="33">
        <f t="shared" ref="E98" si="47">SUM(E91:E97)</f>
        <v>0</v>
      </c>
      <c r="F98" s="33">
        <f t="shared" ref="F98" si="48">SUM(F91:F97)</f>
        <v>0</v>
      </c>
      <c r="G98" s="33">
        <f t="shared" ref="G98" si="49">SUM(G91:G97)</f>
        <v>0</v>
      </c>
      <c r="H98" s="33">
        <f t="shared" ref="H98" si="50">SUM(H91:H97)</f>
        <v>0</v>
      </c>
      <c r="I98" s="33">
        <f t="shared" si="44"/>
        <v>0</v>
      </c>
    </row>
    <row r="99" spans="1:9" x14ac:dyDescent="0.2">
      <c r="A99" s="172"/>
      <c r="B99" s="173"/>
      <c r="C99" s="173"/>
      <c r="D99" s="173"/>
      <c r="E99" s="173"/>
      <c r="F99" s="173"/>
      <c r="G99" s="173"/>
      <c r="H99" s="173"/>
      <c r="I99" s="173"/>
    </row>
    <row r="100" spans="1:9" x14ac:dyDescent="0.2">
      <c r="A100" s="174" t="s">
        <v>75</v>
      </c>
      <c r="B100" s="174"/>
      <c r="C100" s="174"/>
      <c r="D100" s="174"/>
      <c r="E100" s="174"/>
      <c r="F100" s="174"/>
      <c r="G100" s="174"/>
      <c r="H100" s="174"/>
      <c r="I100" s="174"/>
    </row>
    <row r="102" spans="1:9" x14ac:dyDescent="0.2">
      <c r="A102" s="35" t="s">
        <v>25</v>
      </c>
      <c r="B102" s="36" t="s">
        <v>27</v>
      </c>
      <c r="C102" s="36" t="s">
        <v>16</v>
      </c>
      <c r="D102" s="37" t="s">
        <v>17</v>
      </c>
      <c r="E102" s="37" t="s">
        <v>18</v>
      </c>
      <c r="F102" s="37" t="s">
        <v>19</v>
      </c>
      <c r="G102" s="37" t="s">
        <v>20</v>
      </c>
      <c r="H102" s="37" t="s">
        <v>21</v>
      </c>
      <c r="I102" s="37" t="s">
        <v>28</v>
      </c>
    </row>
    <row r="103" spans="1:9" x14ac:dyDescent="0.2">
      <c r="A103" s="89" t="s">
        <v>0</v>
      </c>
      <c r="B103" s="21">
        <f>COUNTIFS('Página 01_Cadastro'!G$6:G$120,'Página 03_Envio_Modalidade'!A103,'Página 01_Cadastro'!I$6:I$120,'Pag 08_Legendas'!B$4,'Página 01_Cadastro'!C$6:C$120,"S")</f>
        <v>0</v>
      </c>
      <c r="C103" s="22">
        <f>SUMIFS('Página 01_Cadastro'!M$6:M$120,'Página 01_Cadastro'!G$6:G$120,'Página 03_Envio_Modalidade'!A103,'Página 01_Cadastro'!I$6:I$120,'Pag 08_Legendas'!B$4)</f>
        <v>0</v>
      </c>
      <c r="D103" s="22">
        <f>SUMIFS('Página 01_Cadastro'!N$6:N$120,'Página 01_Cadastro'!G$6:G$120,'Página 03_Envio_Modalidade'!A103,'Página 01_Cadastro'!I$6:I$120,'Pag 08_Legendas'!B$4)</f>
        <v>0</v>
      </c>
      <c r="E103" s="22">
        <f>SUMIFS('Página 01_Cadastro'!O$6:O$120,'Página 01_Cadastro'!G$6:G$120,'Página 03_Envio_Modalidade'!A103,'Página 01_Cadastro'!I$6:I$120,'Pag 08_Legendas'!B$4)</f>
        <v>0</v>
      </c>
      <c r="F103" s="22">
        <f>SUMIFS('Página 01_Cadastro'!P$6:P$120,'Página 01_Cadastro'!G$6:G$120,'Página 03_Envio_Modalidade'!A103,'Página 01_Cadastro'!I$6:I$120,'Pag 08_Legendas'!B$4)</f>
        <v>0</v>
      </c>
      <c r="G103" s="22">
        <f>SUMIFS('Página 01_Cadastro'!Q$6:Q$120,'Página 01_Cadastro'!G$6:G$120,'Página 03_Envio_Modalidade'!A103,'Página 01_Cadastro'!I$6:I$120,'Pag 08_Legendas'!B$4)</f>
        <v>0</v>
      </c>
      <c r="H103" s="22">
        <f>SUMIFS('Página 01_Cadastro'!R$6:R$120,'Página 01_Cadastro'!G$6:G$120,'Página 03_Envio_Modalidade'!A103,'Página 01_Cadastro'!I$6:I$120,'Pag 08_Legendas'!B$4)</f>
        <v>0</v>
      </c>
      <c r="I103" s="22">
        <f>SUM(C103:H103)</f>
        <v>0</v>
      </c>
    </row>
    <row r="104" spans="1:9" x14ac:dyDescent="0.2">
      <c r="A104" s="89" t="s">
        <v>5</v>
      </c>
      <c r="B104" s="21">
        <f>COUNTIFS('Página 01_Cadastro'!G$6:G$120,'Página 03_Envio_Modalidade'!A104,'Página 01_Cadastro'!I$6:I$120,'Pag 08_Legendas'!B$4,'Página 01_Cadastro'!C$6:C$120,"S")</f>
        <v>0</v>
      </c>
      <c r="C104" s="22">
        <f>SUMIFS('Página 01_Cadastro'!M$6:M$120,'Página 01_Cadastro'!G$6:G$120,'Página 03_Envio_Modalidade'!A104,'Página 01_Cadastro'!I$6:I$120,'Pag 08_Legendas'!B$4)</f>
        <v>0</v>
      </c>
      <c r="D104" s="22">
        <f>SUMIFS('Página 01_Cadastro'!N$6:N$120,'Página 01_Cadastro'!G$6:G$120,'Página 03_Envio_Modalidade'!A104,'Página 01_Cadastro'!I$6:I$120,'Pag 08_Legendas'!B$4)</f>
        <v>0</v>
      </c>
      <c r="E104" s="22">
        <f>SUMIFS('Página 01_Cadastro'!O$6:O$120,'Página 01_Cadastro'!G$6:G$120,'Página 03_Envio_Modalidade'!A104,'Página 01_Cadastro'!I$6:I$120,'Pag 08_Legendas'!B$4)</f>
        <v>0</v>
      </c>
      <c r="F104" s="22">
        <f>SUMIFS('Página 01_Cadastro'!P$6:P$120,'Página 01_Cadastro'!G$6:G$120,'Página 03_Envio_Modalidade'!A104,'Página 01_Cadastro'!I$6:I$120,'Pag 08_Legendas'!B$4)</f>
        <v>0</v>
      </c>
      <c r="G104" s="22">
        <f>SUMIFS('Página 01_Cadastro'!Q$6:Q$120,'Página 01_Cadastro'!G$6:G$120,'Página 03_Envio_Modalidade'!A104,'Página 01_Cadastro'!I$6:I$120,'Pag 08_Legendas'!B$4)</f>
        <v>0</v>
      </c>
      <c r="H104" s="22">
        <f>SUMIFS('Página 01_Cadastro'!R$6:R$120,'Página 01_Cadastro'!G$6:G$120,'Página 03_Envio_Modalidade'!A104,'Página 01_Cadastro'!I$6:I$120,'Pag 08_Legendas'!B$4)</f>
        <v>0</v>
      </c>
      <c r="I104" s="22">
        <f t="shared" ref="I104:I110" si="51">SUM(C104:H104)</f>
        <v>0</v>
      </c>
    </row>
    <row r="105" spans="1:9" x14ac:dyDescent="0.2">
      <c r="A105" s="89" t="s">
        <v>1</v>
      </c>
      <c r="B105" s="21">
        <f>COUNTIFS('Página 01_Cadastro'!G$6:G$120,'Página 03_Envio_Modalidade'!A105,'Página 01_Cadastro'!I$6:I$120,'Pag 08_Legendas'!B$4,'Página 01_Cadastro'!C$6:C$120,"S")</f>
        <v>0</v>
      </c>
      <c r="C105" s="22">
        <f>SUMIFS('Página 01_Cadastro'!M$6:M$120,'Página 01_Cadastro'!G$6:G$120,'Página 03_Envio_Modalidade'!A105,'Página 01_Cadastro'!I$6:I$120,'Pag 08_Legendas'!B$4)</f>
        <v>0</v>
      </c>
      <c r="D105" s="22">
        <f>SUMIFS('Página 01_Cadastro'!N$6:N$120,'Página 01_Cadastro'!G$6:G$120,'Página 03_Envio_Modalidade'!A105,'Página 01_Cadastro'!I$6:I$120,'Pag 08_Legendas'!B$4)</f>
        <v>0</v>
      </c>
      <c r="E105" s="22">
        <f>SUMIFS('Página 01_Cadastro'!O$6:O$120,'Página 01_Cadastro'!G$6:G$120,'Página 03_Envio_Modalidade'!A105,'Página 01_Cadastro'!I$6:I$120,'Pag 08_Legendas'!B$4)</f>
        <v>0</v>
      </c>
      <c r="F105" s="22">
        <f>SUMIFS('Página 01_Cadastro'!P$6:P$120,'Página 01_Cadastro'!G$6:G$120,'Página 03_Envio_Modalidade'!A105,'Página 01_Cadastro'!I$6:I$120,'Pag 08_Legendas'!B$4)</f>
        <v>0</v>
      </c>
      <c r="G105" s="22">
        <f>SUMIFS('Página 01_Cadastro'!Q$6:Q$120,'Página 01_Cadastro'!G$6:G$120,'Página 03_Envio_Modalidade'!A105,'Página 01_Cadastro'!I$6:I$120,'Pag 08_Legendas'!B$4)</f>
        <v>0</v>
      </c>
      <c r="H105" s="22">
        <f>SUMIFS('Página 01_Cadastro'!R$6:R$120,'Página 01_Cadastro'!G$6:G$120,'Página 03_Envio_Modalidade'!A105,'Página 01_Cadastro'!I$6:I$120,'Pag 08_Legendas'!B$4)</f>
        <v>0</v>
      </c>
      <c r="I105" s="22">
        <f t="shared" si="51"/>
        <v>0</v>
      </c>
    </row>
    <row r="106" spans="1:9" x14ac:dyDescent="0.2">
      <c r="A106" s="89" t="s">
        <v>26</v>
      </c>
      <c r="B106" s="21">
        <f>COUNTIFS('Página 01_Cadastro'!G$6:G$120,'Página 03_Envio_Modalidade'!A106,'Página 01_Cadastro'!I$6:I$120,'Pag 08_Legendas'!B$4,'Página 01_Cadastro'!C$6:C$120,"S")</f>
        <v>0</v>
      </c>
      <c r="C106" s="22">
        <f>SUMIFS('Página 01_Cadastro'!M$6:M$120,'Página 01_Cadastro'!G$6:G$120,'Página 03_Envio_Modalidade'!A106,'Página 01_Cadastro'!I$6:I$120,'Pag 08_Legendas'!B$4)</f>
        <v>0</v>
      </c>
      <c r="D106" s="22">
        <f>SUMIFS('Página 01_Cadastro'!N$6:N$120,'Página 01_Cadastro'!G$6:G$120,'Página 03_Envio_Modalidade'!A106,'Página 01_Cadastro'!I$6:I$120,'Pag 08_Legendas'!B$4)</f>
        <v>0</v>
      </c>
      <c r="E106" s="22">
        <f>SUMIFS('Página 01_Cadastro'!O$6:O$120,'Página 01_Cadastro'!G$6:G$120,'Página 03_Envio_Modalidade'!A106,'Página 01_Cadastro'!I$6:I$120,'Pag 08_Legendas'!B$4)</f>
        <v>0</v>
      </c>
      <c r="F106" s="22">
        <f>SUMIFS('Página 01_Cadastro'!P$6:P$120,'Página 01_Cadastro'!G$6:G$120,'Página 03_Envio_Modalidade'!A106,'Página 01_Cadastro'!I$6:I$120,'Pag 08_Legendas'!B$4)</f>
        <v>0</v>
      </c>
      <c r="G106" s="22">
        <f>SUMIFS('Página 01_Cadastro'!Q$6:Q$120,'Página 01_Cadastro'!G$6:G$120,'Página 03_Envio_Modalidade'!A106,'Página 01_Cadastro'!I$6:I$120,'Pag 08_Legendas'!B$4)</f>
        <v>0</v>
      </c>
      <c r="H106" s="22">
        <f>SUMIFS('Página 01_Cadastro'!R$6:R$120,'Página 01_Cadastro'!G$6:G$120,'Página 03_Envio_Modalidade'!A106,'Página 01_Cadastro'!I$6:I$120,'Pag 08_Legendas'!B$4)</f>
        <v>0</v>
      </c>
      <c r="I106" s="22">
        <f t="shared" si="51"/>
        <v>0</v>
      </c>
    </row>
    <row r="107" spans="1:9" x14ac:dyDescent="0.2">
      <c r="A107" s="89" t="s">
        <v>2</v>
      </c>
      <c r="B107" s="21">
        <f>COUNTIFS('Página 01_Cadastro'!G$6:G$120,'Página 03_Envio_Modalidade'!A107,'Página 01_Cadastro'!I$6:I$120,'Pag 08_Legendas'!B$4,'Página 01_Cadastro'!C$6:C$120,"S")</f>
        <v>0</v>
      </c>
      <c r="C107" s="22">
        <f>SUMIFS('Página 01_Cadastro'!M$6:M$120,'Página 01_Cadastro'!G$6:G$120,'Página 03_Envio_Modalidade'!A107,'Página 01_Cadastro'!I$6:I$120,'Pag 08_Legendas'!B$4)</f>
        <v>0</v>
      </c>
      <c r="D107" s="22">
        <f>SUMIFS('Página 01_Cadastro'!N$6:N$120,'Página 01_Cadastro'!G$6:G$120,'Página 03_Envio_Modalidade'!A107,'Página 01_Cadastro'!I$6:I$120,'Pag 08_Legendas'!B$4)</f>
        <v>0</v>
      </c>
      <c r="E107" s="22">
        <f>SUMIFS('Página 01_Cadastro'!O$6:O$120,'Página 01_Cadastro'!G$6:G$120,'Página 03_Envio_Modalidade'!A107,'Página 01_Cadastro'!I$6:I$120,'Pag 08_Legendas'!B$4)</f>
        <v>0</v>
      </c>
      <c r="F107" s="22">
        <f>SUMIFS('Página 01_Cadastro'!P$6:P$120,'Página 01_Cadastro'!G$6:G$120,'Página 03_Envio_Modalidade'!A107,'Página 01_Cadastro'!I$6:I$120,'Pag 08_Legendas'!B$4)</f>
        <v>0</v>
      </c>
      <c r="G107" s="22">
        <f>SUMIFS('Página 01_Cadastro'!Q$6:Q$120,'Página 01_Cadastro'!G$6:G$120,'Página 03_Envio_Modalidade'!A107,'Página 01_Cadastro'!I$6:I$120,'Pag 08_Legendas'!B$4)</f>
        <v>0</v>
      </c>
      <c r="H107" s="22">
        <f>SUMIFS('Página 01_Cadastro'!R$6:R$120,'Página 01_Cadastro'!G$6:G$120,'Página 03_Envio_Modalidade'!A107,'Página 01_Cadastro'!I$6:I$120,'Pag 08_Legendas'!B$4)</f>
        <v>0</v>
      </c>
      <c r="I107" s="22">
        <f t="shared" si="51"/>
        <v>0</v>
      </c>
    </row>
    <row r="108" spans="1:9" x14ac:dyDescent="0.2">
      <c r="A108" s="89" t="s">
        <v>4</v>
      </c>
      <c r="B108" s="21">
        <f>COUNTIFS('Página 01_Cadastro'!G$6:G$120,'Página 03_Envio_Modalidade'!A108,'Página 01_Cadastro'!I$6:I$120,'Pag 08_Legendas'!B$4,'Página 01_Cadastro'!C$6:C$120,"S")</f>
        <v>0</v>
      </c>
      <c r="C108" s="22">
        <f>SUMIFS('Página 01_Cadastro'!M$6:M$120,'Página 01_Cadastro'!G$6:G$120,'Página 03_Envio_Modalidade'!A108,'Página 01_Cadastro'!I$6:I$120,'Pag 08_Legendas'!B$4)</f>
        <v>0</v>
      </c>
      <c r="D108" s="22">
        <f>SUMIFS('Página 01_Cadastro'!N$6:N$120,'Página 01_Cadastro'!G$6:G$120,'Página 03_Envio_Modalidade'!A108,'Página 01_Cadastro'!I$6:I$120,'Pag 08_Legendas'!B$4)</f>
        <v>0</v>
      </c>
      <c r="E108" s="22">
        <f>SUMIFS('Página 01_Cadastro'!O$6:O$120,'Página 01_Cadastro'!G$6:G$120,'Página 03_Envio_Modalidade'!A108,'Página 01_Cadastro'!I$6:I$120,'Pag 08_Legendas'!B$4)</f>
        <v>0</v>
      </c>
      <c r="F108" s="22">
        <f>SUMIFS('Página 01_Cadastro'!P$6:P$120,'Página 01_Cadastro'!G$6:G$120,'Página 03_Envio_Modalidade'!A108,'Página 01_Cadastro'!I$6:I$120,'Pag 08_Legendas'!B$4)</f>
        <v>0</v>
      </c>
      <c r="G108" s="22">
        <f>SUMIFS('Página 01_Cadastro'!Q$6:Q$120,'Página 01_Cadastro'!G$6:G$120,'Página 03_Envio_Modalidade'!A108,'Página 01_Cadastro'!I$6:I$120,'Pag 08_Legendas'!B$4)</f>
        <v>0</v>
      </c>
      <c r="H108" s="22">
        <f>SUMIFS('Página 01_Cadastro'!R$6:R$120,'Página 01_Cadastro'!G$6:G$120,'Página 03_Envio_Modalidade'!A108,'Página 01_Cadastro'!I$6:I$120,'Pag 08_Legendas'!B$4)</f>
        <v>0</v>
      </c>
      <c r="I108" s="22">
        <f t="shared" si="51"/>
        <v>0</v>
      </c>
    </row>
    <row r="109" spans="1:9" x14ac:dyDescent="0.2">
      <c r="A109" s="89" t="s">
        <v>3</v>
      </c>
      <c r="B109" s="21">
        <f>COUNTIFS('Página 01_Cadastro'!G$6:G$120,'Página 03_Envio_Modalidade'!A109,'Página 01_Cadastro'!I$6:I$120,'Pag 08_Legendas'!B$4,'Página 01_Cadastro'!C$6:C$120,"S")</f>
        <v>0</v>
      </c>
      <c r="C109" s="22">
        <f>SUMIFS('Página 01_Cadastro'!M$6:M$120,'Página 01_Cadastro'!G$6:G$120,'Página 03_Envio_Modalidade'!A109,'Página 01_Cadastro'!I$6:I$120,'Pag 08_Legendas'!B$4)</f>
        <v>0</v>
      </c>
      <c r="D109" s="22">
        <f>SUMIFS('Página 01_Cadastro'!N$6:N$120,'Página 01_Cadastro'!G$6:G$120,'Página 03_Envio_Modalidade'!A109,'Página 01_Cadastro'!I$6:I$120,'Pag 08_Legendas'!B$4)</f>
        <v>0</v>
      </c>
      <c r="E109" s="22">
        <f>SUMIFS('Página 01_Cadastro'!O$6:O$120,'Página 01_Cadastro'!G$6:G$120,'Página 03_Envio_Modalidade'!A109,'Página 01_Cadastro'!I$6:I$120,'Pag 08_Legendas'!B$4)</f>
        <v>0</v>
      </c>
      <c r="F109" s="22">
        <f>SUMIFS('Página 01_Cadastro'!P$6:P$120,'Página 01_Cadastro'!G$6:G$120,'Página 03_Envio_Modalidade'!A109,'Página 01_Cadastro'!I$6:I$120,'Pag 08_Legendas'!B$4)</f>
        <v>0</v>
      </c>
      <c r="G109" s="22">
        <f>SUMIFS('Página 01_Cadastro'!Q$6:Q$120,'Página 01_Cadastro'!G$6:G$120,'Página 03_Envio_Modalidade'!A109,'Página 01_Cadastro'!I$6:I$120,'Pag 08_Legendas'!B$4)</f>
        <v>0</v>
      </c>
      <c r="H109" s="22">
        <f>SUMIFS('Página 01_Cadastro'!R$6:R$120,'Página 01_Cadastro'!G$6:G$120,'Página 03_Envio_Modalidade'!A109,'Página 01_Cadastro'!I$6:I$120,'Pag 08_Legendas'!B$4)</f>
        <v>0</v>
      </c>
      <c r="I109" s="22">
        <f t="shared" si="51"/>
        <v>0</v>
      </c>
    </row>
    <row r="110" spans="1:9" x14ac:dyDescent="0.2">
      <c r="A110" s="43" t="s">
        <v>6</v>
      </c>
      <c r="B110" s="31">
        <f>SUM(B103:B109)</f>
        <v>0</v>
      </c>
      <c r="C110" s="33">
        <f t="shared" ref="C110" si="52">SUM(C103:C109)</f>
        <v>0</v>
      </c>
      <c r="D110" s="33">
        <f t="shared" ref="D110" si="53">SUM(D103:D109)</f>
        <v>0</v>
      </c>
      <c r="E110" s="33">
        <f t="shared" ref="E110" si="54">SUM(E103:E109)</f>
        <v>0</v>
      </c>
      <c r="F110" s="33">
        <f t="shared" ref="F110" si="55">SUM(F103:F109)</f>
        <v>0</v>
      </c>
      <c r="G110" s="33">
        <f t="shared" ref="G110" si="56">SUM(G103:G109)</f>
        <v>0</v>
      </c>
      <c r="H110" s="33">
        <f t="shared" ref="H110" si="57">SUM(H103:H109)</f>
        <v>0</v>
      </c>
      <c r="I110" s="33">
        <f t="shared" si="51"/>
        <v>0</v>
      </c>
    </row>
    <row r="112" spans="1:9" x14ac:dyDescent="0.2">
      <c r="A112" s="174" t="s">
        <v>76</v>
      </c>
      <c r="B112" s="174"/>
      <c r="C112" s="174"/>
      <c r="D112" s="174"/>
      <c r="E112" s="174"/>
      <c r="F112" s="174"/>
      <c r="G112" s="174"/>
      <c r="H112" s="174"/>
      <c r="I112" s="174"/>
    </row>
    <row r="114" spans="1:9" x14ac:dyDescent="0.2">
      <c r="A114" s="35" t="s">
        <v>25</v>
      </c>
      <c r="B114" s="36" t="s">
        <v>27</v>
      </c>
      <c r="C114" s="36" t="s">
        <v>16</v>
      </c>
      <c r="D114" s="37" t="s">
        <v>17</v>
      </c>
      <c r="E114" s="37" t="s">
        <v>18</v>
      </c>
      <c r="F114" s="37" t="s">
        <v>19</v>
      </c>
      <c r="G114" s="37" t="s">
        <v>20</v>
      </c>
      <c r="H114" s="37" t="s">
        <v>21</v>
      </c>
      <c r="I114" s="37" t="s">
        <v>28</v>
      </c>
    </row>
    <row r="115" spans="1:9" x14ac:dyDescent="0.2">
      <c r="A115" s="89" t="s">
        <v>0</v>
      </c>
      <c r="B115" s="21">
        <f>COUNTIFS('Página 01_Cadastro'!G$6:G$120,'Página 03_Envio_Modalidade'!A115,'Página 01_Cadastro'!I$6:I$120,'Pag 08_Legendas'!B$10,'Página 01_Cadastro'!C$6:C$120,"S")</f>
        <v>0</v>
      </c>
      <c r="C115" s="22">
        <f>SUMIFS('Página 01_Cadastro'!M$6:M$120,'Página 01_Cadastro'!G$6:G$120,'Página 03_Envio_Modalidade'!A115,'Página 01_Cadastro'!I$6:I$120,'Pag 08_Legendas'!B$10)</f>
        <v>0</v>
      </c>
      <c r="D115" s="22">
        <f>SUMIFS('Página 01_Cadastro'!N$6:N$120,'Página 01_Cadastro'!G$6:G$120,'Página 03_Envio_Modalidade'!A115,'Página 01_Cadastro'!I$6:I$120,'Pag 08_Legendas'!B$10)</f>
        <v>0</v>
      </c>
      <c r="E115" s="22">
        <f>SUMIFS('Página 01_Cadastro'!O$6:O$120,'Página 01_Cadastro'!G$6:G$120,'Página 03_Envio_Modalidade'!A115,'Página 01_Cadastro'!I$6:I$120,'Pag 08_Legendas'!B$10)</f>
        <v>0</v>
      </c>
      <c r="F115" s="22">
        <f>SUMIFS('Página 01_Cadastro'!P$6:P$120,'Página 01_Cadastro'!G$6:G$120,'Página 03_Envio_Modalidade'!A115,'Página 01_Cadastro'!I$6:I$120,'Pag 08_Legendas'!B$10)</f>
        <v>0</v>
      </c>
      <c r="G115" s="22">
        <f>SUMIFS('Página 01_Cadastro'!Q$6:Q$120,'Página 01_Cadastro'!G$6:G$120,'Página 03_Envio_Modalidade'!A115,'Página 01_Cadastro'!I$6:I$120,'Pag 08_Legendas'!B10)</f>
        <v>0</v>
      </c>
      <c r="H115" s="22">
        <f>SUMIFS('Página 01_Cadastro'!R$6:R$120,'Página 01_Cadastro'!G$6:G$120,'Página 03_Envio_Modalidade'!A115,'Página 01_Cadastro'!I$6:I$120,'Pag 08_Legendas'!B$10)</f>
        <v>0</v>
      </c>
      <c r="I115" s="22">
        <f>SUM(C115:H115)</f>
        <v>0</v>
      </c>
    </row>
    <row r="116" spans="1:9" x14ac:dyDescent="0.2">
      <c r="A116" s="89" t="s">
        <v>5</v>
      </c>
      <c r="B116" s="21">
        <f>COUNTIFS('Página 01_Cadastro'!G$6:G$120,'Página 03_Envio_Modalidade'!A116,'Página 01_Cadastro'!I$6:I$120,'Pag 08_Legendas'!B$10,'Página 01_Cadastro'!C$6:C$120,"S")</f>
        <v>0</v>
      </c>
      <c r="C116" s="22">
        <f>SUMIFS('Página 01_Cadastro'!M$6:M$120,'Página 01_Cadastro'!G$6:G$120,'Página 03_Envio_Modalidade'!A116,'Página 01_Cadastro'!I$6:I$120,'Pag 08_Legendas'!B$10)</f>
        <v>0</v>
      </c>
      <c r="D116" s="22">
        <f>SUMIFS('Página 01_Cadastro'!N$6:N$120,'Página 01_Cadastro'!G$6:G$120,'Página 03_Envio_Modalidade'!A116,'Página 01_Cadastro'!I$6:I$120,'Pag 08_Legendas'!B$10)</f>
        <v>0</v>
      </c>
      <c r="E116" s="22">
        <f>SUMIFS('Página 01_Cadastro'!O$6:O$120,'Página 01_Cadastro'!G$6:G$120,'Página 03_Envio_Modalidade'!A116,'Página 01_Cadastro'!I$6:I$120,'Pag 08_Legendas'!B$10)</f>
        <v>0</v>
      </c>
      <c r="F116" s="22">
        <f>SUMIFS('Página 01_Cadastro'!P$6:P$120,'Página 01_Cadastro'!G$6:G$120,'Página 03_Envio_Modalidade'!A116,'Página 01_Cadastro'!I$6:I$120,'Pag 08_Legendas'!B$10)</f>
        <v>0</v>
      </c>
      <c r="G116" s="22">
        <f>SUMIFS('Página 01_Cadastro'!Q$6:Q$120,'Página 01_Cadastro'!G$6:G$120,'Página 03_Envio_Modalidade'!A116,'Página 01_Cadastro'!I$6:I$120,'Pag 08_Legendas'!B11)</f>
        <v>0</v>
      </c>
      <c r="H116" s="22">
        <f>SUMIFS('Página 01_Cadastro'!R$6:R$120,'Página 01_Cadastro'!G$6:G$120,'Página 03_Envio_Modalidade'!A116,'Página 01_Cadastro'!I$6:I$120,'Pag 08_Legendas'!B$10)</f>
        <v>0</v>
      </c>
      <c r="I116" s="22">
        <f t="shared" ref="I116:I122" si="58">SUM(C116:H116)</f>
        <v>0</v>
      </c>
    </row>
    <row r="117" spans="1:9" x14ac:dyDescent="0.2">
      <c r="A117" s="89" t="s">
        <v>1</v>
      </c>
      <c r="B117" s="21">
        <f>COUNTIFS('Página 01_Cadastro'!G$6:G$120,'Página 03_Envio_Modalidade'!A117,'Página 01_Cadastro'!I$6:I$120,'Pag 08_Legendas'!B$10,'Página 01_Cadastro'!C$6:C$120,"S")</f>
        <v>0</v>
      </c>
      <c r="C117" s="22">
        <f>SUMIFS('Página 01_Cadastro'!M$6:M$120,'Página 01_Cadastro'!G$6:G$120,'Página 03_Envio_Modalidade'!A117,'Página 01_Cadastro'!I$6:I$120,'Pag 08_Legendas'!B$10)</f>
        <v>0</v>
      </c>
      <c r="D117" s="22">
        <f>SUMIFS('Página 01_Cadastro'!N$6:N$120,'Página 01_Cadastro'!G$6:G$120,'Página 03_Envio_Modalidade'!A117,'Página 01_Cadastro'!I$6:I$120,'Pag 08_Legendas'!B$10)</f>
        <v>0</v>
      </c>
      <c r="E117" s="22">
        <f>SUMIFS('Página 01_Cadastro'!O$6:O$120,'Página 01_Cadastro'!G$6:G$120,'Página 03_Envio_Modalidade'!A117,'Página 01_Cadastro'!I$6:I$120,'Pag 08_Legendas'!B$10)</f>
        <v>0</v>
      </c>
      <c r="F117" s="22">
        <f>SUMIFS('Página 01_Cadastro'!P$6:P$120,'Página 01_Cadastro'!G$6:G$120,'Página 03_Envio_Modalidade'!A117,'Página 01_Cadastro'!I$6:I$120,'Pag 08_Legendas'!B$10)</f>
        <v>0</v>
      </c>
      <c r="G117" s="22">
        <f>SUMIFS('Página 01_Cadastro'!Q$6:Q$120,'Página 01_Cadastro'!G$6:G$120,'Página 03_Envio_Modalidade'!A117,'Página 01_Cadastro'!I$6:I$120,'Pag 08_Legendas'!B12)</f>
        <v>0</v>
      </c>
      <c r="H117" s="22">
        <f>SUMIFS('Página 01_Cadastro'!R$6:R$120,'Página 01_Cadastro'!G$6:G$120,'Página 03_Envio_Modalidade'!A117,'Página 01_Cadastro'!I$6:I$120,'Pag 08_Legendas'!B$10)</f>
        <v>0</v>
      </c>
      <c r="I117" s="22">
        <f t="shared" si="58"/>
        <v>0</v>
      </c>
    </row>
    <row r="118" spans="1:9" x14ac:dyDescent="0.2">
      <c r="A118" s="89" t="s">
        <v>26</v>
      </c>
      <c r="B118" s="21">
        <f>COUNTIFS('Página 01_Cadastro'!G$6:G$120,'Página 03_Envio_Modalidade'!A118,'Página 01_Cadastro'!I$6:I$120,'Pag 08_Legendas'!B$10,'Página 01_Cadastro'!C$6:C$120,"S")</f>
        <v>0</v>
      </c>
      <c r="C118" s="22">
        <f>SUMIFS('Página 01_Cadastro'!M$6:M$120,'Página 01_Cadastro'!G$6:G$120,'Página 03_Envio_Modalidade'!A118,'Página 01_Cadastro'!I$6:I$120,'Pag 08_Legendas'!B$10)</f>
        <v>0</v>
      </c>
      <c r="D118" s="22">
        <f>SUMIFS('Página 01_Cadastro'!N$6:N$120,'Página 01_Cadastro'!G$6:G$120,'Página 03_Envio_Modalidade'!A118,'Página 01_Cadastro'!I$6:I$120,'Pag 08_Legendas'!B$10)</f>
        <v>0</v>
      </c>
      <c r="E118" s="22">
        <f>SUMIFS('Página 01_Cadastro'!O$6:O$120,'Página 01_Cadastro'!G$6:G$120,'Página 03_Envio_Modalidade'!A118,'Página 01_Cadastro'!I$6:I$120,'Pag 08_Legendas'!B$10)</f>
        <v>0</v>
      </c>
      <c r="F118" s="22">
        <f>SUMIFS('Página 01_Cadastro'!P$6:P$120,'Página 01_Cadastro'!G$6:G$120,'Página 03_Envio_Modalidade'!A118,'Página 01_Cadastro'!I$6:I$120,'Pag 08_Legendas'!B$10)</f>
        <v>0</v>
      </c>
      <c r="G118" s="22">
        <f>SUMIFS('Página 01_Cadastro'!Q$6:Q$120,'Página 01_Cadastro'!G$6:G$120,'Página 03_Envio_Modalidade'!A118,'Página 01_Cadastro'!I$6:I$120,'Pag 08_Legendas'!B13)</f>
        <v>0</v>
      </c>
      <c r="H118" s="22">
        <f>SUMIFS('Página 01_Cadastro'!R$6:R$120,'Página 01_Cadastro'!G$6:G$120,'Página 03_Envio_Modalidade'!A118,'Página 01_Cadastro'!I$6:I$120,'Pag 08_Legendas'!B$10)</f>
        <v>0</v>
      </c>
      <c r="I118" s="22">
        <f t="shared" si="58"/>
        <v>0</v>
      </c>
    </row>
    <row r="119" spans="1:9" x14ac:dyDescent="0.2">
      <c r="A119" s="89" t="s">
        <v>2</v>
      </c>
      <c r="B119" s="21">
        <f>COUNTIFS('Página 01_Cadastro'!G$6:G$120,'Página 03_Envio_Modalidade'!A119,'Página 01_Cadastro'!I$6:I$120,'Pag 08_Legendas'!B$10,'Página 01_Cadastro'!C$6:C$120,"S")</f>
        <v>0</v>
      </c>
      <c r="C119" s="22">
        <f>SUMIFS('Página 01_Cadastro'!M$6:M$120,'Página 01_Cadastro'!G$6:G$120,'Página 03_Envio_Modalidade'!A119,'Página 01_Cadastro'!I$6:I$120,'Pag 08_Legendas'!B$10)</f>
        <v>0</v>
      </c>
      <c r="D119" s="22">
        <f>SUMIFS('Página 01_Cadastro'!N$6:N$120,'Página 01_Cadastro'!G$6:G$120,'Página 03_Envio_Modalidade'!A119,'Página 01_Cadastro'!I$6:I$120,'Pag 08_Legendas'!B$10)</f>
        <v>0</v>
      </c>
      <c r="E119" s="22">
        <f>SUMIFS('Página 01_Cadastro'!O$6:O$120,'Página 01_Cadastro'!G$6:G$120,'Página 03_Envio_Modalidade'!A119,'Página 01_Cadastro'!I$6:I$120,'Pag 08_Legendas'!B$10)</f>
        <v>0</v>
      </c>
      <c r="F119" s="22">
        <f>SUMIFS('Página 01_Cadastro'!P$6:P$120,'Página 01_Cadastro'!G$6:G$120,'Página 03_Envio_Modalidade'!A119,'Página 01_Cadastro'!I$6:I$120,'Pag 08_Legendas'!B$10)</f>
        <v>0</v>
      </c>
      <c r="G119" s="22">
        <f>SUMIFS('Página 01_Cadastro'!Q$6:Q$120,'Página 01_Cadastro'!G$6:G$120,'Página 03_Envio_Modalidade'!A119,'Página 01_Cadastro'!I$6:I$120,'Pag 08_Legendas'!B14)</f>
        <v>0</v>
      </c>
      <c r="H119" s="22">
        <f>SUMIFS('Página 01_Cadastro'!R$6:R$120,'Página 01_Cadastro'!G$6:G$120,'Página 03_Envio_Modalidade'!A119,'Página 01_Cadastro'!I$6:I$120,'Pag 08_Legendas'!B$10)</f>
        <v>0</v>
      </c>
      <c r="I119" s="22">
        <f t="shared" si="58"/>
        <v>0</v>
      </c>
    </row>
    <row r="120" spans="1:9" x14ac:dyDescent="0.2">
      <c r="A120" s="89" t="s">
        <v>4</v>
      </c>
      <c r="B120" s="21">
        <f>COUNTIFS('Página 01_Cadastro'!G$6:G$120,'Página 03_Envio_Modalidade'!A120,'Página 01_Cadastro'!I$6:I$120,'Pag 08_Legendas'!B$10,'Página 01_Cadastro'!C$6:C$120,"S")</f>
        <v>0</v>
      </c>
      <c r="C120" s="22">
        <f>SUMIFS('Página 01_Cadastro'!M$6:M$120,'Página 01_Cadastro'!G$6:G$120,'Página 03_Envio_Modalidade'!A120,'Página 01_Cadastro'!I$6:I$120,'Pag 08_Legendas'!B$10)</f>
        <v>0</v>
      </c>
      <c r="D120" s="22">
        <f>SUMIFS('Página 01_Cadastro'!N$6:N$120,'Página 01_Cadastro'!G$6:G$120,'Página 03_Envio_Modalidade'!A120,'Página 01_Cadastro'!I$6:I$120,'Pag 08_Legendas'!B$10)</f>
        <v>0</v>
      </c>
      <c r="E120" s="22">
        <f>SUMIFS('Página 01_Cadastro'!O$6:O$120,'Página 01_Cadastro'!G$6:G$120,'Página 03_Envio_Modalidade'!A120,'Página 01_Cadastro'!I$6:I$120,'Pag 08_Legendas'!B$10)</f>
        <v>0</v>
      </c>
      <c r="F120" s="22">
        <f>SUMIFS('Página 01_Cadastro'!P$6:P$120,'Página 01_Cadastro'!G$6:G$120,'Página 03_Envio_Modalidade'!A120,'Página 01_Cadastro'!I$6:I$120,'Pag 08_Legendas'!B$10)</f>
        <v>0</v>
      </c>
      <c r="G120" s="22">
        <f>SUMIFS('Página 01_Cadastro'!Q$6:Q$120,'Página 01_Cadastro'!G$6:G$120,'Página 03_Envio_Modalidade'!A120,'Página 01_Cadastro'!I$6:I$120,'Pag 08_Legendas'!#REF!)</f>
        <v>0</v>
      </c>
      <c r="H120" s="22">
        <f>SUMIFS('Página 01_Cadastro'!R$6:R$120,'Página 01_Cadastro'!G$6:G$120,'Página 03_Envio_Modalidade'!A120,'Página 01_Cadastro'!I$6:I$120,'Pag 08_Legendas'!B$10)</f>
        <v>0</v>
      </c>
      <c r="I120" s="22">
        <f t="shared" si="58"/>
        <v>0</v>
      </c>
    </row>
    <row r="121" spans="1:9" x14ac:dyDescent="0.2">
      <c r="A121" s="89" t="s">
        <v>3</v>
      </c>
      <c r="B121" s="21">
        <f>COUNTIFS('Página 01_Cadastro'!G$6:G$120,'Página 03_Envio_Modalidade'!A121,'Página 01_Cadastro'!I$6:I$120,'Pag 08_Legendas'!B$10,'Página 01_Cadastro'!C$6:C$120,"S")</f>
        <v>0</v>
      </c>
      <c r="C121" s="22">
        <f>SUMIFS('Página 01_Cadastro'!M$6:M$120,'Página 01_Cadastro'!G$6:G$120,'Página 03_Envio_Modalidade'!A121,'Página 01_Cadastro'!I$6:I$120,'Pag 08_Legendas'!B$10)</f>
        <v>0</v>
      </c>
      <c r="D121" s="22">
        <f>SUMIFS('Página 01_Cadastro'!N$6:N$120,'Página 01_Cadastro'!G$6:G$120,'Página 03_Envio_Modalidade'!A121,'Página 01_Cadastro'!I$6:I$120,'Pag 08_Legendas'!B$10)</f>
        <v>0</v>
      </c>
      <c r="E121" s="22">
        <f>SUMIFS('Página 01_Cadastro'!O$6:O$120,'Página 01_Cadastro'!G$6:G$120,'Página 03_Envio_Modalidade'!A121,'Página 01_Cadastro'!I$6:I$120,'Pag 08_Legendas'!B$10)</f>
        <v>0</v>
      </c>
      <c r="F121" s="22">
        <f>SUMIFS('Página 01_Cadastro'!P$6:P$120,'Página 01_Cadastro'!G$6:G$120,'Página 03_Envio_Modalidade'!A121,'Página 01_Cadastro'!I$6:I$120,'Pag 08_Legendas'!B$10)</f>
        <v>0</v>
      </c>
      <c r="G121" s="22">
        <f>SUMIFS('Página 01_Cadastro'!Q$6:Q$120,'Página 01_Cadastro'!G$6:G$120,'Página 03_Envio_Modalidade'!A121,'Página 01_Cadastro'!I$6:I$120,'Pag 08_Legendas'!B15)</f>
        <v>0</v>
      </c>
      <c r="H121" s="22">
        <f>SUMIFS('Página 01_Cadastro'!R$6:R$120,'Página 01_Cadastro'!G$6:G$120,'Página 03_Envio_Modalidade'!A121,'Página 01_Cadastro'!I$6:I$120,'Pag 08_Legendas'!B$10)</f>
        <v>0</v>
      </c>
      <c r="I121" s="22">
        <f t="shared" si="58"/>
        <v>0</v>
      </c>
    </row>
    <row r="122" spans="1:9" x14ac:dyDescent="0.2">
      <c r="A122" s="43" t="s">
        <v>6</v>
      </c>
      <c r="B122" s="31">
        <f>SUM(B115:B121)</f>
        <v>0</v>
      </c>
      <c r="C122" s="33">
        <f t="shared" ref="C122:H122" si="59">SUM(C115:C121)</f>
        <v>0</v>
      </c>
      <c r="D122" s="33">
        <f t="shared" si="59"/>
        <v>0</v>
      </c>
      <c r="E122" s="33">
        <f t="shared" si="59"/>
        <v>0</v>
      </c>
      <c r="F122" s="33">
        <f t="shared" si="59"/>
        <v>0</v>
      </c>
      <c r="G122" s="33">
        <f t="shared" si="59"/>
        <v>0</v>
      </c>
      <c r="H122" s="33">
        <f t="shared" si="59"/>
        <v>0</v>
      </c>
      <c r="I122" s="33">
        <f t="shared" si="58"/>
        <v>0</v>
      </c>
    </row>
    <row r="124" spans="1:9" x14ac:dyDescent="0.2">
      <c r="A124" s="174" t="s">
        <v>77</v>
      </c>
      <c r="B124" s="174"/>
      <c r="C124" s="174"/>
      <c r="D124" s="174"/>
      <c r="E124" s="174"/>
      <c r="F124" s="174"/>
      <c r="G124" s="174"/>
      <c r="H124" s="174"/>
      <c r="I124" s="174"/>
    </row>
    <row r="126" spans="1:9" x14ac:dyDescent="0.2">
      <c r="A126" s="35" t="s">
        <v>25</v>
      </c>
      <c r="B126" s="36" t="s">
        <v>27</v>
      </c>
      <c r="C126" s="36" t="s">
        <v>16</v>
      </c>
      <c r="D126" s="37" t="s">
        <v>17</v>
      </c>
      <c r="E126" s="37" t="s">
        <v>18</v>
      </c>
      <c r="F126" s="37" t="s">
        <v>19</v>
      </c>
      <c r="G126" s="37" t="s">
        <v>20</v>
      </c>
      <c r="H126" s="37" t="s">
        <v>21</v>
      </c>
      <c r="I126" s="37" t="s">
        <v>28</v>
      </c>
    </row>
    <row r="127" spans="1:9" x14ac:dyDescent="0.2">
      <c r="A127" s="89" t="s">
        <v>0</v>
      </c>
      <c r="B127" s="21">
        <f>COUNTIFS('Página 01_Cadastro'!G$6:G$120,'Página 03_Envio_Modalidade'!A127,'Página 01_Cadastro'!I$6:I$120,'Pag 08_Legendas'!B$14,'Página 01_Cadastro'!C$6:C$120,"S")</f>
        <v>0</v>
      </c>
      <c r="C127" s="22">
        <f>SUMIFS('Página 01_Cadastro'!M$6:M$120,'Página 01_Cadastro'!G$6:G$120,'Página 03_Envio_Modalidade'!A127,'Página 01_Cadastro'!I$6:I$120,'Pag 08_Legendas'!B$14)</f>
        <v>0</v>
      </c>
      <c r="D127" s="22">
        <f>SUMIFS('Página 01_Cadastro'!N$6:N$120,'Página 01_Cadastro'!G$6:G$120,'Página 03_Envio_Modalidade'!A127,'Página 01_Cadastro'!I$6:I$120,'Pag 08_Legendas'!B$14)</f>
        <v>0</v>
      </c>
      <c r="E127" s="22">
        <f>SUMIFS('Página 01_Cadastro'!O$6:O$120,'Página 01_Cadastro'!G$6:G$120,'Página 03_Envio_Modalidade'!A127,'Página 01_Cadastro'!I$6:I$120,'Pag 08_Legendas'!B$14)</f>
        <v>0</v>
      </c>
      <c r="F127" s="22">
        <f>SUMIFS('Página 01_Cadastro'!P$6:P$120,'Página 01_Cadastro'!G$6:G$120,'Página 03_Envio_Modalidade'!A127,'Página 01_Cadastro'!I$6:I$120,'Pag 08_Legendas'!B$14)</f>
        <v>0</v>
      </c>
      <c r="G127" s="22">
        <f>SUMIFS('Página 01_Cadastro'!Q$6:Q$120,'Página 01_Cadastro'!G$6:G$120,'Página 03_Envio_Modalidade'!A127,'Página 01_Cadastro'!I$6:I$120,'Pag 08_Legendas'!B14)</f>
        <v>0</v>
      </c>
      <c r="H127" s="22">
        <f>SUMIFS('Página 01_Cadastro'!R$6:R$120,'Página 01_Cadastro'!G$6:G$120,'Página 03_Envio_Modalidade'!A127,'Página 01_Cadastro'!I$6:I$120,'Pag 08_Legendas'!B$14)</f>
        <v>0</v>
      </c>
      <c r="I127" s="22">
        <f>SUM(C127:H127)</f>
        <v>0</v>
      </c>
    </row>
    <row r="128" spans="1:9" x14ac:dyDescent="0.2">
      <c r="A128" s="89" t="s">
        <v>5</v>
      </c>
      <c r="B128" s="21">
        <f>COUNTIFS('Página 01_Cadastro'!G$6:G$120,'Página 03_Envio_Modalidade'!A128,'Página 01_Cadastro'!I$6:I$120,'Pag 08_Legendas'!B$14,'Página 01_Cadastro'!C$6:C$120,"S")</f>
        <v>0</v>
      </c>
      <c r="C128" s="22">
        <f>SUMIFS('Página 01_Cadastro'!M$6:M$120,'Página 01_Cadastro'!G$6:G$120,'Página 03_Envio_Modalidade'!A128,'Página 01_Cadastro'!I$6:I$120,'Pag 08_Legendas'!B$14)</f>
        <v>0</v>
      </c>
      <c r="D128" s="22">
        <f>SUMIFS('Página 01_Cadastro'!N$6:N$120,'Página 01_Cadastro'!G$6:G$120,'Página 03_Envio_Modalidade'!A128,'Página 01_Cadastro'!I$6:I$120,'Pag 08_Legendas'!B$14)</f>
        <v>0</v>
      </c>
      <c r="E128" s="22">
        <f>SUMIFS('Página 01_Cadastro'!O$6:O$120,'Página 01_Cadastro'!G$6:G$120,'Página 03_Envio_Modalidade'!A128,'Página 01_Cadastro'!I$6:I$120,'Pag 08_Legendas'!B$14)</f>
        <v>0</v>
      </c>
      <c r="F128" s="22">
        <f>SUMIFS('Página 01_Cadastro'!P$6:P$120,'Página 01_Cadastro'!G$6:G$120,'Página 03_Envio_Modalidade'!A128,'Página 01_Cadastro'!I$6:I$120,'Pag 08_Legendas'!B$14)</f>
        <v>0</v>
      </c>
      <c r="G128" s="22">
        <f>SUMIFS('Página 01_Cadastro'!Q$6:Q$120,'Página 01_Cadastro'!G$6:G$120,'Página 03_Envio_Modalidade'!A128,'Página 01_Cadastro'!I$6:I$120,'Pag 08_Legendas'!#REF!)</f>
        <v>0</v>
      </c>
      <c r="H128" s="22">
        <f>SUMIFS('Página 01_Cadastro'!R$6:R$120,'Página 01_Cadastro'!G$6:G$120,'Página 03_Envio_Modalidade'!A128,'Página 01_Cadastro'!I$6:I$120,'Pag 08_Legendas'!B$14)</f>
        <v>0</v>
      </c>
      <c r="I128" s="22">
        <f t="shared" ref="I128:I134" si="60">SUM(C128:H128)</f>
        <v>0</v>
      </c>
    </row>
    <row r="129" spans="1:9" x14ac:dyDescent="0.2">
      <c r="A129" s="89" t="s">
        <v>1</v>
      </c>
      <c r="B129" s="21">
        <f>COUNTIFS('Página 01_Cadastro'!G$6:G$120,'Página 03_Envio_Modalidade'!A129,'Página 01_Cadastro'!I$6:I$120,'Pag 08_Legendas'!B$14,'Página 01_Cadastro'!C$6:C$120,"S")</f>
        <v>0</v>
      </c>
      <c r="C129" s="22">
        <f>SUMIFS('Página 01_Cadastro'!M$6:M$120,'Página 01_Cadastro'!G$6:G$120,'Página 03_Envio_Modalidade'!A129,'Página 01_Cadastro'!I$6:I$120,'Pag 08_Legendas'!B$14)</f>
        <v>0</v>
      </c>
      <c r="D129" s="22">
        <f>SUMIFS('Página 01_Cadastro'!N$6:N$120,'Página 01_Cadastro'!G$6:G$120,'Página 03_Envio_Modalidade'!A129,'Página 01_Cadastro'!I$6:I$120,'Pag 08_Legendas'!B$14)</f>
        <v>0</v>
      </c>
      <c r="E129" s="22">
        <f>SUMIFS('Página 01_Cadastro'!O$6:O$120,'Página 01_Cadastro'!G$6:G$120,'Página 03_Envio_Modalidade'!A129,'Página 01_Cadastro'!I$6:I$120,'Pag 08_Legendas'!B$14)</f>
        <v>0</v>
      </c>
      <c r="F129" s="22">
        <f>SUMIFS('Página 01_Cadastro'!P$6:P$120,'Página 01_Cadastro'!G$6:G$120,'Página 03_Envio_Modalidade'!A129,'Página 01_Cadastro'!I$6:I$120,'Pag 08_Legendas'!B$14)</f>
        <v>0</v>
      </c>
      <c r="G129" s="22">
        <f>SUMIFS('Página 01_Cadastro'!Q$6:Q$120,'Página 01_Cadastro'!G$6:G$120,'Página 03_Envio_Modalidade'!A129,'Página 01_Cadastro'!I$6:I$120,'Pag 08_Legendas'!B15)</f>
        <v>0</v>
      </c>
      <c r="H129" s="22">
        <f>SUMIFS('Página 01_Cadastro'!R$6:R$120,'Página 01_Cadastro'!G$6:G$120,'Página 03_Envio_Modalidade'!A129,'Página 01_Cadastro'!I$6:I$120,'Pag 08_Legendas'!B$14)</f>
        <v>0</v>
      </c>
      <c r="I129" s="22">
        <f t="shared" si="60"/>
        <v>0</v>
      </c>
    </row>
    <row r="130" spans="1:9" x14ac:dyDescent="0.2">
      <c r="A130" s="89" t="s">
        <v>26</v>
      </c>
      <c r="B130" s="21">
        <f>COUNTIFS('Página 01_Cadastro'!G$6:G$120,'Página 03_Envio_Modalidade'!A130,'Página 01_Cadastro'!I$6:I$120,'Pag 08_Legendas'!B$14,'Página 01_Cadastro'!C$6:C$120,"S")</f>
        <v>0</v>
      </c>
      <c r="C130" s="22">
        <f>SUMIFS('Página 01_Cadastro'!M$6:M$120,'Página 01_Cadastro'!G$6:G$120,'Página 03_Envio_Modalidade'!A130,'Página 01_Cadastro'!I$6:I$120,'Pag 08_Legendas'!B$14)</f>
        <v>0</v>
      </c>
      <c r="D130" s="22">
        <f>SUMIFS('Página 01_Cadastro'!N$6:N$120,'Página 01_Cadastro'!G$6:G$120,'Página 03_Envio_Modalidade'!A130,'Página 01_Cadastro'!I$6:I$120,'Pag 08_Legendas'!B$14)</f>
        <v>0</v>
      </c>
      <c r="E130" s="22">
        <f>SUMIFS('Página 01_Cadastro'!O$6:O$120,'Página 01_Cadastro'!G$6:G$120,'Página 03_Envio_Modalidade'!A130,'Página 01_Cadastro'!I$6:I$120,'Pag 08_Legendas'!B$14)</f>
        <v>0</v>
      </c>
      <c r="F130" s="22">
        <f>SUMIFS('Página 01_Cadastro'!P$6:P$120,'Página 01_Cadastro'!G$6:G$120,'Página 03_Envio_Modalidade'!A130,'Página 01_Cadastro'!I$6:I$120,'Pag 08_Legendas'!B$14)</f>
        <v>0</v>
      </c>
      <c r="G130" s="22">
        <f>SUMIFS('Página 01_Cadastro'!Q$6:Q$120,'Página 01_Cadastro'!G$6:G$120,'Página 03_Envio_Modalidade'!A130,'Página 01_Cadastro'!I$6:I$120,'Pag 08_Legendas'!B16)</f>
        <v>0</v>
      </c>
      <c r="H130" s="22">
        <f>SUMIFS('Página 01_Cadastro'!R$6:R$120,'Página 01_Cadastro'!G$6:G$120,'Página 03_Envio_Modalidade'!A130,'Página 01_Cadastro'!I$6:I$120,'Pag 08_Legendas'!B$14)</f>
        <v>0</v>
      </c>
      <c r="I130" s="22">
        <f t="shared" si="60"/>
        <v>0</v>
      </c>
    </row>
    <row r="131" spans="1:9" x14ac:dyDescent="0.2">
      <c r="A131" s="89" t="s">
        <v>2</v>
      </c>
      <c r="B131" s="21">
        <f>COUNTIFS('Página 01_Cadastro'!G$6:G$120,'Página 03_Envio_Modalidade'!A131,'Página 01_Cadastro'!I$6:I$120,'Pag 08_Legendas'!B$14,'Página 01_Cadastro'!C$6:C$120,"S")</f>
        <v>0</v>
      </c>
      <c r="C131" s="22">
        <f>SUMIFS('Página 01_Cadastro'!M$6:M$120,'Página 01_Cadastro'!G$6:G$120,'Página 03_Envio_Modalidade'!A131,'Página 01_Cadastro'!I$6:I$120,'Pag 08_Legendas'!B$14)</f>
        <v>0</v>
      </c>
      <c r="D131" s="22">
        <f>SUMIFS('Página 01_Cadastro'!N$6:N$120,'Página 01_Cadastro'!G$6:G$120,'Página 03_Envio_Modalidade'!A131,'Página 01_Cadastro'!I$6:I$120,'Pag 08_Legendas'!B$14)</f>
        <v>0</v>
      </c>
      <c r="E131" s="22">
        <f>SUMIFS('Página 01_Cadastro'!O$6:O$120,'Página 01_Cadastro'!G$6:G$120,'Página 03_Envio_Modalidade'!A131,'Página 01_Cadastro'!I$6:I$120,'Pag 08_Legendas'!B$14)</f>
        <v>0</v>
      </c>
      <c r="F131" s="22">
        <f>SUMIFS('Página 01_Cadastro'!P$6:P$120,'Página 01_Cadastro'!G$6:G$120,'Página 03_Envio_Modalidade'!A131,'Página 01_Cadastro'!I$6:I$120,'Pag 08_Legendas'!B$14)</f>
        <v>0</v>
      </c>
      <c r="G131" s="22">
        <f>SUMIFS('Página 01_Cadastro'!Q$6:Q$120,'Página 01_Cadastro'!G$6:G$120,'Página 03_Envio_Modalidade'!A131,'Página 01_Cadastro'!I$6:I$120,'Pag 08_Legendas'!B17)</f>
        <v>0</v>
      </c>
      <c r="H131" s="22">
        <f>SUMIFS('Página 01_Cadastro'!R$6:R$120,'Página 01_Cadastro'!G$6:G$120,'Página 03_Envio_Modalidade'!A131,'Página 01_Cadastro'!I$6:I$120,'Pag 08_Legendas'!B$14)</f>
        <v>0</v>
      </c>
      <c r="I131" s="22">
        <f t="shared" si="60"/>
        <v>0</v>
      </c>
    </row>
    <row r="132" spans="1:9" x14ac:dyDescent="0.2">
      <c r="A132" s="89" t="s">
        <v>4</v>
      </c>
      <c r="B132" s="21">
        <f>COUNTIFS('Página 01_Cadastro'!G$6:G$120,'Página 03_Envio_Modalidade'!A132,'Página 01_Cadastro'!I$6:I$120,'Pag 08_Legendas'!B$14,'Página 01_Cadastro'!C$6:C$120,"S")</f>
        <v>0</v>
      </c>
      <c r="C132" s="22">
        <f>SUMIFS('Página 01_Cadastro'!M$6:M$120,'Página 01_Cadastro'!G$6:G$120,'Página 03_Envio_Modalidade'!A132,'Página 01_Cadastro'!I$6:I$120,'Pag 08_Legendas'!B$14)</f>
        <v>0</v>
      </c>
      <c r="D132" s="22">
        <f>SUMIFS('Página 01_Cadastro'!N$6:N$120,'Página 01_Cadastro'!G$6:G$120,'Página 03_Envio_Modalidade'!A132,'Página 01_Cadastro'!I$6:I$120,'Pag 08_Legendas'!B$14)</f>
        <v>0</v>
      </c>
      <c r="E132" s="22">
        <f>SUMIFS('Página 01_Cadastro'!O$6:O$120,'Página 01_Cadastro'!G$6:G$120,'Página 03_Envio_Modalidade'!A132,'Página 01_Cadastro'!I$6:I$120,'Pag 08_Legendas'!B$14)</f>
        <v>0</v>
      </c>
      <c r="F132" s="22">
        <f>SUMIFS('Página 01_Cadastro'!P$6:P$120,'Página 01_Cadastro'!G$6:G$120,'Página 03_Envio_Modalidade'!A132,'Página 01_Cadastro'!I$6:I$120,'Pag 08_Legendas'!B$14)</f>
        <v>0</v>
      </c>
      <c r="G132" s="22">
        <f>SUMIFS('Página 01_Cadastro'!Q$6:Q$120,'Página 01_Cadastro'!G$6:G$120,'Página 03_Envio_Modalidade'!A132,'Página 01_Cadastro'!I$6:I$120,'Pag 08_Legendas'!B18)</f>
        <v>0</v>
      </c>
      <c r="H132" s="22">
        <f>SUMIFS('Página 01_Cadastro'!R$6:R$120,'Página 01_Cadastro'!G$6:G$120,'Página 03_Envio_Modalidade'!A132,'Página 01_Cadastro'!I$6:I$120,'Pag 08_Legendas'!B$14)</f>
        <v>0</v>
      </c>
      <c r="I132" s="22">
        <f t="shared" si="60"/>
        <v>0</v>
      </c>
    </row>
    <row r="133" spans="1:9" x14ac:dyDescent="0.2">
      <c r="A133" s="89" t="s">
        <v>3</v>
      </c>
      <c r="B133" s="21">
        <f>COUNTIFS('Página 01_Cadastro'!G$6:G$120,'Página 03_Envio_Modalidade'!A133,'Página 01_Cadastro'!I$6:I$120,'Pag 08_Legendas'!B$14,'Página 01_Cadastro'!C$6:C$120,"S")</f>
        <v>0</v>
      </c>
      <c r="C133" s="22">
        <f>SUMIFS('Página 01_Cadastro'!M$6:M$120,'Página 01_Cadastro'!G$6:G$120,'Página 03_Envio_Modalidade'!A133,'Página 01_Cadastro'!I$6:I$120,'Pag 08_Legendas'!B$14)</f>
        <v>0</v>
      </c>
      <c r="D133" s="22">
        <f>SUMIFS('Página 01_Cadastro'!N$6:N$120,'Página 01_Cadastro'!G$6:G$120,'Página 03_Envio_Modalidade'!A133,'Página 01_Cadastro'!I$6:I$120,'Pag 08_Legendas'!B$14)</f>
        <v>0</v>
      </c>
      <c r="E133" s="22">
        <f>SUMIFS('Página 01_Cadastro'!O$6:O$120,'Página 01_Cadastro'!G$6:G$120,'Página 03_Envio_Modalidade'!A133,'Página 01_Cadastro'!I$6:I$120,'Pag 08_Legendas'!B$14)</f>
        <v>0</v>
      </c>
      <c r="F133" s="22">
        <f>SUMIFS('Página 01_Cadastro'!P$6:P$120,'Página 01_Cadastro'!G$6:G$120,'Página 03_Envio_Modalidade'!A133,'Página 01_Cadastro'!I$6:I$120,'Pag 08_Legendas'!B$14)</f>
        <v>0</v>
      </c>
      <c r="G133" s="22">
        <f>SUMIFS('Página 01_Cadastro'!Q$6:Q$120,'Página 01_Cadastro'!G$6:G$120,'Página 03_Envio_Modalidade'!A133,'Página 01_Cadastro'!I$6:I$120,'Pag 08_Legendas'!B19)</f>
        <v>0</v>
      </c>
      <c r="H133" s="22">
        <f>SUMIFS('Página 01_Cadastro'!R$6:R$120,'Página 01_Cadastro'!G$6:G$120,'Página 03_Envio_Modalidade'!A133,'Página 01_Cadastro'!I$6:I$120,'Pag 08_Legendas'!B$14)</f>
        <v>0</v>
      </c>
      <c r="I133" s="22">
        <f t="shared" si="60"/>
        <v>0</v>
      </c>
    </row>
    <row r="134" spans="1:9" x14ac:dyDescent="0.2">
      <c r="A134" s="43" t="s">
        <v>6</v>
      </c>
      <c r="B134" s="31">
        <f>SUM(B127:B133)</f>
        <v>0</v>
      </c>
      <c r="C134" s="33">
        <f t="shared" ref="C134:H134" si="61">SUM(C127:C133)</f>
        <v>0</v>
      </c>
      <c r="D134" s="33">
        <f t="shared" si="61"/>
        <v>0</v>
      </c>
      <c r="E134" s="33">
        <f t="shared" si="61"/>
        <v>0</v>
      </c>
      <c r="F134" s="33">
        <f t="shared" si="61"/>
        <v>0</v>
      </c>
      <c r="G134" s="33">
        <f t="shared" si="61"/>
        <v>0</v>
      </c>
      <c r="H134" s="33">
        <f t="shared" si="61"/>
        <v>0</v>
      </c>
      <c r="I134" s="33">
        <f t="shared" si="60"/>
        <v>0</v>
      </c>
    </row>
    <row r="136" spans="1:9" x14ac:dyDescent="0.2">
      <c r="A136" s="174" t="s">
        <v>146</v>
      </c>
      <c r="B136" s="174"/>
      <c r="C136" s="174"/>
      <c r="D136" s="174"/>
      <c r="E136" s="174"/>
      <c r="F136" s="174"/>
      <c r="G136" s="174"/>
      <c r="H136" s="174"/>
      <c r="I136" s="174"/>
    </row>
    <row r="138" spans="1:9" x14ac:dyDescent="0.2">
      <c r="A138" s="35" t="s">
        <v>25</v>
      </c>
      <c r="B138" s="36" t="s">
        <v>27</v>
      </c>
      <c r="C138" s="36" t="s">
        <v>16</v>
      </c>
      <c r="D138" s="37" t="s">
        <v>17</v>
      </c>
      <c r="E138" s="37" t="s">
        <v>18</v>
      </c>
      <c r="F138" s="37" t="s">
        <v>19</v>
      </c>
      <c r="G138" s="37" t="s">
        <v>20</v>
      </c>
      <c r="H138" s="37" t="s">
        <v>21</v>
      </c>
      <c r="I138" s="37" t="s">
        <v>28</v>
      </c>
    </row>
    <row r="139" spans="1:9" x14ac:dyDescent="0.2">
      <c r="A139" s="89" t="s">
        <v>0</v>
      </c>
      <c r="B139" s="21">
        <f>COUNTIFS('Página 01_Cadastro'!G$6:G$120,'Página 03_Envio_Modalidade'!A139,'Página 01_Cadastro'!I$6:I$120,'Pag 08_Legendas'!B$5,'Página 01_Cadastro'!C$6:C$120,"S")</f>
        <v>0</v>
      </c>
      <c r="C139" s="22">
        <f>SUMIFS('Página 01_Cadastro'!M$6:M$120,'Página 01_Cadastro'!G$6:G$120,'Página 03_Envio_Modalidade'!A139,'Página 01_Cadastro'!I$6:I$120,'Pag 08_Legendas'!B$5)</f>
        <v>0</v>
      </c>
      <c r="D139" s="22">
        <f>SUMIFS('Página 01_Cadastro'!N$6:N$120,'Página 01_Cadastro'!G$6:G$120,'Página 03_Envio_Modalidade'!A139,'Página 01_Cadastro'!I$6:I$120,'Pag 08_Legendas'!B$5)</f>
        <v>0</v>
      </c>
      <c r="E139" s="22">
        <f>SUMIFS('Página 01_Cadastro'!O$6:O$120,'Página 01_Cadastro'!G$6:G$120,'Página 03_Envio_Modalidade'!A139,'Página 01_Cadastro'!I$6:I$120,'Pag 08_Legendas'!B$5)</f>
        <v>0</v>
      </c>
      <c r="F139" s="22">
        <f>SUMIFS('Página 01_Cadastro'!P$6:P$120,'Página 01_Cadastro'!G$6:G$120,'Página 03_Envio_Modalidade'!A139,'Página 01_Cadastro'!I$6:I$120,'Pag 08_Legendas'!B$5)</f>
        <v>0</v>
      </c>
      <c r="G139" s="22">
        <f>SUMIFS('Página 01_Cadastro'!Q$6:Q$120,'Página 01_Cadastro'!G$6:G$120,'Página 03_Envio_Modalidade'!A139,'Página 01_Cadastro'!I$6:I$120,'Pag 08_Legendas'!B26)</f>
        <v>0</v>
      </c>
      <c r="H139" s="22">
        <f>SUMIFS('Página 01_Cadastro'!R$6:R$120,'Página 01_Cadastro'!G$6:G$120,'Página 03_Envio_Modalidade'!A139,'Página 01_Cadastro'!I$6:I$120,'Pag 08_Legendas'!B$5)</f>
        <v>0</v>
      </c>
      <c r="I139" s="22">
        <f>SUM(C139:H139)</f>
        <v>0</v>
      </c>
    </row>
    <row r="140" spans="1:9" x14ac:dyDescent="0.2">
      <c r="A140" s="89" t="s">
        <v>5</v>
      </c>
      <c r="B140" s="21">
        <f>COUNTIFS('Página 01_Cadastro'!G$6:G$120,'Página 03_Envio_Modalidade'!A140,'Página 01_Cadastro'!I$6:I$120,'Pag 08_Legendas'!B$5,'Página 01_Cadastro'!C$6:C$120,"S")</f>
        <v>0</v>
      </c>
      <c r="C140" s="22">
        <f>SUMIFS('Página 01_Cadastro'!M$6:M$120,'Página 01_Cadastro'!G$6:G$120,'Página 03_Envio_Modalidade'!A140,'Página 01_Cadastro'!I$6:I$120,'Pag 08_Legendas'!B$5)</f>
        <v>0</v>
      </c>
      <c r="D140" s="22">
        <f>SUMIFS('Página 01_Cadastro'!N$6:N$120,'Página 01_Cadastro'!G$6:G$120,'Página 03_Envio_Modalidade'!A140,'Página 01_Cadastro'!I$6:I$120,'Pag 08_Legendas'!B$5)</f>
        <v>0</v>
      </c>
      <c r="E140" s="22">
        <f>SUMIFS('Página 01_Cadastro'!O$6:O$120,'Página 01_Cadastro'!G$6:G$120,'Página 03_Envio_Modalidade'!A140,'Página 01_Cadastro'!I$6:I$120,'Pag 08_Legendas'!B$5)</f>
        <v>0</v>
      </c>
      <c r="F140" s="22">
        <f>SUMIFS('Página 01_Cadastro'!P$6:P$120,'Página 01_Cadastro'!G$6:G$120,'Página 03_Envio_Modalidade'!A140,'Página 01_Cadastro'!I$6:I$120,'Pag 08_Legendas'!B$5)</f>
        <v>0</v>
      </c>
      <c r="G140" s="22">
        <f>SUMIFS('Página 01_Cadastro'!Q$6:Q$120,'Página 01_Cadastro'!G$6:G$120,'Página 03_Envio_Modalidade'!A140,'Página 01_Cadastro'!I$6:I$120,'Pag 08_Legendas'!#REF!)</f>
        <v>0</v>
      </c>
      <c r="H140" s="22">
        <f>SUMIFS('Página 01_Cadastro'!R$6:R$120,'Página 01_Cadastro'!G$6:G$120,'Página 03_Envio_Modalidade'!A140,'Página 01_Cadastro'!I$6:I$120,'Pag 08_Legendas'!B$5)</f>
        <v>0</v>
      </c>
      <c r="I140" s="22">
        <f t="shared" ref="I140:I146" si="62">SUM(C140:H140)</f>
        <v>0</v>
      </c>
    </row>
    <row r="141" spans="1:9" x14ac:dyDescent="0.2">
      <c r="A141" s="89" t="s">
        <v>1</v>
      </c>
      <c r="B141" s="21">
        <f>COUNTIFS('Página 01_Cadastro'!G$6:G$120,'Página 03_Envio_Modalidade'!A141,'Página 01_Cadastro'!I$6:I$120,'Pag 08_Legendas'!B$5,'Página 01_Cadastro'!C$6:C$120,"S")</f>
        <v>0</v>
      </c>
      <c r="C141" s="22">
        <f>SUMIFS('Página 01_Cadastro'!M$6:M$120,'Página 01_Cadastro'!G$6:G$120,'Página 03_Envio_Modalidade'!A141,'Página 01_Cadastro'!I$6:I$120,'Pag 08_Legendas'!B$5)</f>
        <v>0</v>
      </c>
      <c r="D141" s="22">
        <f>SUMIFS('Página 01_Cadastro'!N$6:N$120,'Página 01_Cadastro'!G$6:G$120,'Página 03_Envio_Modalidade'!A141,'Página 01_Cadastro'!I$6:I$120,'Pag 08_Legendas'!B$5)</f>
        <v>0</v>
      </c>
      <c r="E141" s="22">
        <f>SUMIFS('Página 01_Cadastro'!O$6:O$120,'Página 01_Cadastro'!G$6:G$120,'Página 03_Envio_Modalidade'!A141,'Página 01_Cadastro'!I$6:I$120,'Pag 08_Legendas'!B$5)</f>
        <v>0</v>
      </c>
      <c r="F141" s="22">
        <f>SUMIFS('Página 01_Cadastro'!P$6:P$120,'Página 01_Cadastro'!G$6:G$120,'Página 03_Envio_Modalidade'!A141,'Página 01_Cadastro'!I$6:I$120,'Pag 08_Legendas'!B$5)</f>
        <v>0</v>
      </c>
      <c r="G141" s="22">
        <f>SUMIFS('Página 01_Cadastro'!Q$6:Q$120,'Página 01_Cadastro'!G$6:G$120,'Página 03_Envio_Modalidade'!A141,'Página 01_Cadastro'!I$6:I$120,'Pag 08_Legendas'!B27)</f>
        <v>0</v>
      </c>
      <c r="H141" s="22">
        <f>SUMIFS('Página 01_Cadastro'!R$6:R$120,'Página 01_Cadastro'!G$6:G$120,'Página 03_Envio_Modalidade'!A141,'Página 01_Cadastro'!I$6:I$120,'Pag 08_Legendas'!B$5)</f>
        <v>0</v>
      </c>
      <c r="I141" s="22">
        <f t="shared" si="62"/>
        <v>0</v>
      </c>
    </row>
    <row r="142" spans="1:9" x14ac:dyDescent="0.2">
      <c r="A142" s="89" t="s">
        <v>26</v>
      </c>
      <c r="B142" s="21">
        <f>COUNTIFS('Página 01_Cadastro'!G$6:G$120,'Página 03_Envio_Modalidade'!A142,'Página 01_Cadastro'!I$6:I$120,'Pag 08_Legendas'!B$5,'Página 01_Cadastro'!C$6:C$120,"S")</f>
        <v>0</v>
      </c>
      <c r="C142" s="22">
        <f>SUMIFS('Página 01_Cadastro'!M$6:M$120,'Página 01_Cadastro'!G$6:G$120,'Página 03_Envio_Modalidade'!A142,'Página 01_Cadastro'!I$6:I$120,'Pag 08_Legendas'!B$5)</f>
        <v>0</v>
      </c>
      <c r="D142" s="22">
        <f>SUMIFS('Página 01_Cadastro'!N$6:N$120,'Página 01_Cadastro'!G$6:G$120,'Página 03_Envio_Modalidade'!A142,'Página 01_Cadastro'!I$6:I$120,'Pag 08_Legendas'!B$5)</f>
        <v>0</v>
      </c>
      <c r="E142" s="22">
        <f>SUMIFS('Página 01_Cadastro'!O$6:O$120,'Página 01_Cadastro'!G$6:G$120,'Página 03_Envio_Modalidade'!A142,'Página 01_Cadastro'!I$6:I$120,'Pag 08_Legendas'!B$5)</f>
        <v>0</v>
      </c>
      <c r="F142" s="22">
        <f>SUMIFS('Página 01_Cadastro'!P$6:P$120,'Página 01_Cadastro'!G$6:G$120,'Página 03_Envio_Modalidade'!A142,'Página 01_Cadastro'!I$6:I$120,'Pag 08_Legendas'!B$5)</f>
        <v>0</v>
      </c>
      <c r="G142" s="22">
        <f>SUMIFS('Página 01_Cadastro'!Q$6:Q$120,'Página 01_Cadastro'!G$6:G$120,'Página 03_Envio_Modalidade'!A142,'Página 01_Cadastro'!I$6:I$120,'Pag 08_Legendas'!B28)</f>
        <v>0</v>
      </c>
      <c r="H142" s="22">
        <f>SUMIFS('Página 01_Cadastro'!R$6:R$120,'Página 01_Cadastro'!G$6:G$120,'Página 03_Envio_Modalidade'!A142,'Página 01_Cadastro'!I$6:I$120,'Pag 08_Legendas'!B$5)</f>
        <v>0</v>
      </c>
      <c r="I142" s="22">
        <f t="shared" si="62"/>
        <v>0</v>
      </c>
    </row>
    <row r="143" spans="1:9" x14ac:dyDescent="0.2">
      <c r="A143" s="89" t="s">
        <v>2</v>
      </c>
      <c r="B143" s="21">
        <f>COUNTIFS('Página 01_Cadastro'!G$6:G$120,'Página 03_Envio_Modalidade'!A143,'Página 01_Cadastro'!I$6:I$120,'Pag 08_Legendas'!B$5,'Página 01_Cadastro'!C$6:C$120,"S")</f>
        <v>0</v>
      </c>
      <c r="C143" s="22">
        <f>SUMIFS('Página 01_Cadastro'!M$6:M$120,'Página 01_Cadastro'!G$6:G$120,'Página 03_Envio_Modalidade'!A143,'Página 01_Cadastro'!I$6:I$120,'Pag 08_Legendas'!B$5)</f>
        <v>0</v>
      </c>
      <c r="D143" s="22">
        <f>SUMIFS('Página 01_Cadastro'!N$6:N$120,'Página 01_Cadastro'!G$6:G$120,'Página 03_Envio_Modalidade'!A143,'Página 01_Cadastro'!I$6:I$120,'Pag 08_Legendas'!B$5)</f>
        <v>0</v>
      </c>
      <c r="E143" s="22">
        <f>SUMIFS('Página 01_Cadastro'!O$6:O$120,'Página 01_Cadastro'!G$6:G$120,'Página 03_Envio_Modalidade'!A143,'Página 01_Cadastro'!I$6:I$120,'Pag 08_Legendas'!B$5)</f>
        <v>0</v>
      </c>
      <c r="F143" s="22">
        <f>SUMIFS('Página 01_Cadastro'!P$6:P$120,'Página 01_Cadastro'!G$6:G$120,'Página 03_Envio_Modalidade'!A143,'Página 01_Cadastro'!I$6:I$120,'Pag 08_Legendas'!B$5)</f>
        <v>0</v>
      </c>
      <c r="G143" s="22">
        <f>SUMIFS('Página 01_Cadastro'!Q$6:Q$120,'Página 01_Cadastro'!G$6:G$120,'Página 03_Envio_Modalidade'!A143,'Página 01_Cadastro'!I$6:I$120,'Pag 08_Legendas'!B29)</f>
        <v>0</v>
      </c>
      <c r="H143" s="22">
        <f>SUMIFS('Página 01_Cadastro'!R$6:R$120,'Página 01_Cadastro'!G$6:G$120,'Página 03_Envio_Modalidade'!A143,'Página 01_Cadastro'!I$6:I$120,'Pag 08_Legendas'!B$5)</f>
        <v>0</v>
      </c>
      <c r="I143" s="22">
        <f t="shared" si="62"/>
        <v>0</v>
      </c>
    </row>
    <row r="144" spans="1:9" x14ac:dyDescent="0.2">
      <c r="A144" s="89" t="s">
        <v>4</v>
      </c>
      <c r="B144" s="21">
        <f>COUNTIFS('Página 01_Cadastro'!G$6:G$120,'Página 03_Envio_Modalidade'!A144,'Página 01_Cadastro'!I$6:I$120,'Pag 08_Legendas'!B$5,'Página 01_Cadastro'!C$6:C$120,"S")</f>
        <v>0</v>
      </c>
      <c r="C144" s="22">
        <f>SUMIFS('Página 01_Cadastro'!M$6:M$120,'Página 01_Cadastro'!G$6:G$120,'Página 03_Envio_Modalidade'!A144,'Página 01_Cadastro'!I$6:I$120,'Pag 08_Legendas'!B$5)</f>
        <v>0</v>
      </c>
      <c r="D144" s="22">
        <f>SUMIFS('Página 01_Cadastro'!N$6:N$120,'Página 01_Cadastro'!G$6:G$120,'Página 03_Envio_Modalidade'!A144,'Página 01_Cadastro'!I$6:I$120,'Pag 08_Legendas'!B$5)</f>
        <v>0</v>
      </c>
      <c r="E144" s="22">
        <f>SUMIFS('Página 01_Cadastro'!O$6:O$120,'Página 01_Cadastro'!G$6:G$120,'Página 03_Envio_Modalidade'!A144,'Página 01_Cadastro'!I$6:I$120,'Pag 08_Legendas'!B$5)</f>
        <v>0</v>
      </c>
      <c r="F144" s="22">
        <f>SUMIFS('Página 01_Cadastro'!P$6:P$120,'Página 01_Cadastro'!G$6:G$120,'Página 03_Envio_Modalidade'!A144,'Página 01_Cadastro'!I$6:I$120,'Pag 08_Legendas'!B$5)</f>
        <v>0</v>
      </c>
      <c r="G144" s="22">
        <f>SUMIFS('Página 01_Cadastro'!Q$6:Q$120,'Página 01_Cadastro'!G$6:G$120,'Página 03_Envio_Modalidade'!A144,'Página 01_Cadastro'!I$6:I$120,'Pag 08_Legendas'!B30)</f>
        <v>0</v>
      </c>
      <c r="H144" s="22">
        <f>SUMIFS('Página 01_Cadastro'!R$6:R$120,'Página 01_Cadastro'!G$6:G$120,'Página 03_Envio_Modalidade'!A144,'Página 01_Cadastro'!I$6:I$120,'Pag 08_Legendas'!B$5)</f>
        <v>0</v>
      </c>
      <c r="I144" s="22">
        <f t="shared" si="62"/>
        <v>0</v>
      </c>
    </row>
    <row r="145" spans="1:9" x14ac:dyDescent="0.2">
      <c r="A145" s="89" t="s">
        <v>3</v>
      </c>
      <c r="B145" s="21">
        <f>COUNTIFS('Página 01_Cadastro'!G$6:G$120,'Página 03_Envio_Modalidade'!A145,'Página 01_Cadastro'!I$6:I$120,'Pag 08_Legendas'!B$5,'Página 01_Cadastro'!C$6:C$120,"S")</f>
        <v>0</v>
      </c>
      <c r="C145" s="22">
        <f>SUMIFS('Página 01_Cadastro'!M$6:M$120,'Página 01_Cadastro'!G$6:G$120,'Página 03_Envio_Modalidade'!A145,'Página 01_Cadastro'!I$6:I$120,'Pag 08_Legendas'!B$5)</f>
        <v>0</v>
      </c>
      <c r="D145" s="22">
        <f>SUMIFS('Página 01_Cadastro'!N$6:N$120,'Página 01_Cadastro'!G$6:G$120,'Página 03_Envio_Modalidade'!A145,'Página 01_Cadastro'!I$6:I$120,'Pag 08_Legendas'!B$5)</f>
        <v>0</v>
      </c>
      <c r="E145" s="22">
        <f>SUMIFS('Página 01_Cadastro'!O$6:O$120,'Página 01_Cadastro'!G$6:G$120,'Página 03_Envio_Modalidade'!A145,'Página 01_Cadastro'!I$6:I$120,'Pag 08_Legendas'!B$5)</f>
        <v>0</v>
      </c>
      <c r="F145" s="22">
        <f>SUMIFS('Página 01_Cadastro'!P$6:P$120,'Página 01_Cadastro'!G$6:G$120,'Página 03_Envio_Modalidade'!A145,'Página 01_Cadastro'!I$6:I$120,'Pag 08_Legendas'!B$5)</f>
        <v>0</v>
      </c>
      <c r="G145" s="22">
        <f>SUMIFS('Página 01_Cadastro'!Q$6:Q$120,'Página 01_Cadastro'!G$6:G$120,'Página 03_Envio_Modalidade'!A145,'Página 01_Cadastro'!I$6:I$120,'Pag 08_Legendas'!B31)</f>
        <v>0</v>
      </c>
      <c r="H145" s="22">
        <f>SUMIFS('Página 01_Cadastro'!R$6:R$120,'Página 01_Cadastro'!G$6:G$120,'Página 03_Envio_Modalidade'!A145,'Página 01_Cadastro'!I$6:I$120,'Pag 08_Legendas'!B$5)</f>
        <v>0</v>
      </c>
      <c r="I145" s="22">
        <f t="shared" si="62"/>
        <v>0</v>
      </c>
    </row>
    <row r="146" spans="1:9" x14ac:dyDescent="0.2">
      <c r="A146" s="43" t="s">
        <v>6</v>
      </c>
      <c r="B146" s="31">
        <f>SUM(B139:B145)</f>
        <v>0</v>
      </c>
      <c r="C146" s="33">
        <f t="shared" ref="C146:H146" si="63">SUM(C139:C145)</f>
        <v>0</v>
      </c>
      <c r="D146" s="33">
        <f t="shared" si="63"/>
        <v>0</v>
      </c>
      <c r="E146" s="33">
        <f t="shared" si="63"/>
        <v>0</v>
      </c>
      <c r="F146" s="33">
        <f t="shared" si="63"/>
        <v>0</v>
      </c>
      <c r="G146" s="33">
        <f t="shared" si="63"/>
        <v>0</v>
      </c>
      <c r="H146" s="33">
        <f t="shared" si="63"/>
        <v>0</v>
      </c>
      <c r="I146" s="33">
        <f t="shared" si="62"/>
        <v>0</v>
      </c>
    </row>
    <row r="148" spans="1:9" x14ac:dyDescent="0.2">
      <c r="A148" s="174" t="s">
        <v>147</v>
      </c>
      <c r="B148" s="174"/>
      <c r="C148" s="174"/>
      <c r="D148" s="174"/>
      <c r="E148" s="174"/>
      <c r="F148" s="174"/>
      <c r="G148" s="174"/>
      <c r="H148" s="174"/>
      <c r="I148" s="174"/>
    </row>
    <row r="150" spans="1:9" x14ac:dyDescent="0.2">
      <c r="A150" s="35" t="s">
        <v>25</v>
      </c>
      <c r="B150" s="36" t="s">
        <v>27</v>
      </c>
      <c r="C150" s="36" t="s">
        <v>16</v>
      </c>
      <c r="D150" s="37" t="s">
        <v>17</v>
      </c>
      <c r="E150" s="37" t="s">
        <v>18</v>
      </c>
      <c r="F150" s="37" t="s">
        <v>19</v>
      </c>
      <c r="G150" s="37" t="s">
        <v>20</v>
      </c>
      <c r="H150" s="37" t="s">
        <v>21</v>
      </c>
      <c r="I150" s="37" t="s">
        <v>28</v>
      </c>
    </row>
    <row r="151" spans="1:9" x14ac:dyDescent="0.2">
      <c r="A151" s="89" t="s">
        <v>0</v>
      </c>
      <c r="B151" s="21">
        <f>SUM(B91,B79,B67,B55,B43,B31,B19,B6,B115,B127,B139)</f>
        <v>0</v>
      </c>
      <c r="C151" s="23">
        <f>SUM(C91,C79,C67,C55,C43,C31,C19,C6,C115,C127,C139)</f>
        <v>0</v>
      </c>
      <c r="D151" s="23">
        <f t="shared" ref="D151:H151" si="64">SUM(D91,D79,D67,D55,D43,D31,D19,D6,D115,D127,D139)</f>
        <v>0</v>
      </c>
      <c r="E151" s="23">
        <f t="shared" si="64"/>
        <v>0</v>
      </c>
      <c r="F151" s="23">
        <f t="shared" si="64"/>
        <v>0</v>
      </c>
      <c r="G151" s="23">
        <f t="shared" si="64"/>
        <v>0</v>
      </c>
      <c r="H151" s="23">
        <f t="shared" si="64"/>
        <v>0</v>
      </c>
      <c r="I151" s="22">
        <f>SUM(C151:H151)</f>
        <v>0</v>
      </c>
    </row>
    <row r="152" spans="1:9" x14ac:dyDescent="0.2">
      <c r="A152" s="89" t="s">
        <v>5</v>
      </c>
      <c r="B152" s="21">
        <f t="shared" ref="B152:C157" si="65">SUM(B92,B80,B68,B56,B44,B32,B20,B7,B116,B128,B140)</f>
        <v>0</v>
      </c>
      <c r="C152" s="23">
        <f t="shared" si="65"/>
        <v>0</v>
      </c>
      <c r="D152" s="23">
        <f t="shared" ref="D152:H152" si="66">SUM(D92,D80,D68,D56,D44,D32,D20,D7,D116,D128,D140)</f>
        <v>0</v>
      </c>
      <c r="E152" s="23">
        <f t="shared" si="66"/>
        <v>0</v>
      </c>
      <c r="F152" s="23">
        <f t="shared" si="66"/>
        <v>0</v>
      </c>
      <c r="G152" s="23">
        <f t="shared" si="66"/>
        <v>0</v>
      </c>
      <c r="H152" s="23">
        <f t="shared" si="66"/>
        <v>0</v>
      </c>
      <c r="I152" s="22">
        <f t="shared" ref="I152:I158" si="67">SUM(C152:H152)</f>
        <v>0</v>
      </c>
    </row>
    <row r="153" spans="1:9" x14ac:dyDescent="0.2">
      <c r="A153" s="89" t="s">
        <v>1</v>
      </c>
      <c r="B153" s="21">
        <f t="shared" si="65"/>
        <v>0</v>
      </c>
      <c r="C153" s="23">
        <f t="shared" si="65"/>
        <v>0</v>
      </c>
      <c r="D153" s="23">
        <f t="shared" ref="D153:H153" si="68">SUM(D93,D81,D69,D57,D45,D33,D21,D8,D117,D129,D141)</f>
        <v>0</v>
      </c>
      <c r="E153" s="23">
        <f t="shared" si="68"/>
        <v>0</v>
      </c>
      <c r="F153" s="23">
        <f t="shared" si="68"/>
        <v>0</v>
      </c>
      <c r="G153" s="23">
        <f t="shared" si="68"/>
        <v>0</v>
      </c>
      <c r="H153" s="23">
        <f t="shared" si="68"/>
        <v>0</v>
      </c>
      <c r="I153" s="22">
        <f t="shared" si="67"/>
        <v>0</v>
      </c>
    </row>
    <row r="154" spans="1:9" x14ac:dyDescent="0.2">
      <c r="A154" s="89" t="s">
        <v>26</v>
      </c>
      <c r="B154" s="21">
        <f t="shared" si="65"/>
        <v>0</v>
      </c>
      <c r="C154" s="23">
        <f t="shared" si="65"/>
        <v>0</v>
      </c>
      <c r="D154" s="23">
        <f t="shared" ref="D154:H154" si="69">SUM(D94,D82,D70,D58,D46,D34,D22,D9,D118,D130,D142)</f>
        <v>0</v>
      </c>
      <c r="E154" s="23">
        <f t="shared" si="69"/>
        <v>0</v>
      </c>
      <c r="F154" s="23">
        <f t="shared" si="69"/>
        <v>0</v>
      </c>
      <c r="G154" s="23">
        <f t="shared" si="69"/>
        <v>0</v>
      </c>
      <c r="H154" s="23">
        <f t="shared" si="69"/>
        <v>0</v>
      </c>
      <c r="I154" s="22">
        <f t="shared" si="67"/>
        <v>0</v>
      </c>
    </row>
    <row r="155" spans="1:9" x14ac:dyDescent="0.2">
      <c r="A155" s="89" t="s">
        <v>2</v>
      </c>
      <c r="B155" s="21">
        <f t="shared" si="65"/>
        <v>0</v>
      </c>
      <c r="C155" s="23">
        <f t="shared" si="65"/>
        <v>0</v>
      </c>
      <c r="D155" s="23">
        <f t="shared" ref="D155:H155" si="70">SUM(D95,D83,D71,D59,D47,D35,D23,D10,D119,D131,D143)</f>
        <v>0</v>
      </c>
      <c r="E155" s="23">
        <f t="shared" si="70"/>
        <v>0</v>
      </c>
      <c r="F155" s="23">
        <f t="shared" si="70"/>
        <v>0</v>
      </c>
      <c r="G155" s="23">
        <f t="shared" si="70"/>
        <v>0</v>
      </c>
      <c r="H155" s="23">
        <f t="shared" si="70"/>
        <v>0</v>
      </c>
      <c r="I155" s="22">
        <f t="shared" si="67"/>
        <v>0</v>
      </c>
    </row>
    <row r="156" spans="1:9" x14ac:dyDescent="0.2">
      <c r="A156" s="89" t="s">
        <v>4</v>
      </c>
      <c r="B156" s="21">
        <f t="shared" si="65"/>
        <v>0</v>
      </c>
      <c r="C156" s="23">
        <f t="shared" si="65"/>
        <v>0</v>
      </c>
      <c r="D156" s="23">
        <f t="shared" ref="D156:H156" si="71">SUM(D96,D84,D72,D60,D48,D36,D24,D11,D120,D132,D144)</f>
        <v>0</v>
      </c>
      <c r="E156" s="23">
        <f t="shared" si="71"/>
        <v>0</v>
      </c>
      <c r="F156" s="23">
        <f t="shared" si="71"/>
        <v>0</v>
      </c>
      <c r="G156" s="23">
        <f t="shared" si="71"/>
        <v>0</v>
      </c>
      <c r="H156" s="23">
        <f t="shared" si="71"/>
        <v>0</v>
      </c>
      <c r="I156" s="22">
        <f t="shared" si="67"/>
        <v>0</v>
      </c>
    </row>
    <row r="157" spans="1:9" x14ac:dyDescent="0.2">
      <c r="A157" s="89" t="s">
        <v>3</v>
      </c>
      <c r="B157" s="21">
        <f t="shared" si="65"/>
        <v>0</v>
      </c>
      <c r="C157" s="23">
        <f t="shared" si="65"/>
        <v>0</v>
      </c>
      <c r="D157" s="23">
        <f t="shared" ref="D157:H157" si="72">SUM(D97,D85,D73,D61,D49,D37,D25,D12,D121,D133,D145)</f>
        <v>0</v>
      </c>
      <c r="E157" s="23">
        <f t="shared" si="72"/>
        <v>0</v>
      </c>
      <c r="F157" s="23">
        <f t="shared" si="72"/>
        <v>0</v>
      </c>
      <c r="G157" s="23">
        <f t="shared" si="72"/>
        <v>0</v>
      </c>
      <c r="H157" s="23">
        <f t="shared" si="72"/>
        <v>0</v>
      </c>
      <c r="I157" s="22">
        <f t="shared" si="67"/>
        <v>0</v>
      </c>
    </row>
    <row r="158" spans="1:9" x14ac:dyDescent="0.2">
      <c r="A158" s="43" t="s">
        <v>6</v>
      </c>
      <c r="B158" s="31">
        <f>SUM(B151:B157)</f>
        <v>0</v>
      </c>
      <c r="C158" s="33">
        <f t="shared" ref="C158" si="73">SUM(C151:C157)</f>
        <v>0</v>
      </c>
      <c r="D158" s="33">
        <f t="shared" ref="D158" si="74">SUM(D151:D157)</f>
        <v>0</v>
      </c>
      <c r="E158" s="33">
        <f t="shared" ref="E158" si="75">SUM(E151:E157)</f>
        <v>0</v>
      </c>
      <c r="F158" s="33">
        <f t="shared" ref="F158" si="76">SUM(F151:F157)</f>
        <v>0</v>
      </c>
      <c r="G158" s="33">
        <f t="shared" ref="G158" si="77">SUM(G151:G157)</f>
        <v>0</v>
      </c>
      <c r="H158" s="33">
        <f t="shared" ref="H158" si="78">SUM(H151:H157)</f>
        <v>0</v>
      </c>
      <c r="I158" s="33">
        <f t="shared" si="67"/>
        <v>0</v>
      </c>
    </row>
    <row r="159" spans="1:9" x14ac:dyDescent="0.2">
      <c r="A159" s="172" t="s">
        <v>154</v>
      </c>
      <c r="B159" s="173"/>
      <c r="C159" s="173"/>
      <c r="D159" s="173"/>
      <c r="E159" s="173"/>
      <c r="F159" s="173"/>
      <c r="G159" s="173"/>
      <c r="H159" s="173"/>
      <c r="I159" s="173"/>
    </row>
  </sheetData>
  <sheetProtection algorithmName="SHA-512" hashValue="YK3kJ2puNuGBDOp69FXERogWigVQc7QCRxXWFPP93PLu10e0Fdlcbmi5wDLipNip0U/FJU4blmGFtbkX8iyhvg==" saltValue="8fF8ut+vvwptZTbtf7z2Qw==" spinCount="100000" sheet="1" objects="1" scenarios="1"/>
  <mergeCells count="17">
    <mergeCell ref="A1:I1"/>
    <mergeCell ref="A3:I3"/>
    <mergeCell ref="A16:I16"/>
    <mergeCell ref="A28:I28"/>
    <mergeCell ref="A40:I40"/>
    <mergeCell ref="A159:I159"/>
    <mergeCell ref="A99:I99"/>
    <mergeCell ref="A51:I51"/>
    <mergeCell ref="A148:I148"/>
    <mergeCell ref="A76:I76"/>
    <mergeCell ref="A88:I88"/>
    <mergeCell ref="A100:I100"/>
    <mergeCell ref="A52:I52"/>
    <mergeCell ref="A64:I64"/>
    <mergeCell ref="A112:I112"/>
    <mergeCell ref="A124:I124"/>
    <mergeCell ref="A136:I136"/>
  </mergeCells>
  <pageMargins left="0.51181102362204722" right="0.51181102362204722" top="0.78740157480314965" bottom="0.78740157480314965" header="0.31496062992125984" footer="0.31496062992125984"/>
  <pageSetup paperSize="9" scale="37" orientation="portrait" r:id="rId1"/>
  <headerFooter>
    <oddHeader>&amp;R&amp;P/&amp;N</oddHeader>
    <oddFooter>&amp;LFQ-07.54 (anexo ao PQ-07.02) - RA - revisão 03 de 02/02/26 - Página 3/8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36"/>
  <sheetViews>
    <sheetView tabSelected="1" view="pageBreakPreview" zoomScale="60" zoomScaleNormal="100" workbookViewId="0">
      <selection activeCell="A16" sqref="A16"/>
    </sheetView>
  </sheetViews>
  <sheetFormatPr defaultRowHeight="12.75" x14ac:dyDescent="0.2"/>
  <cols>
    <col min="1" max="1" width="14.7109375" style="90" bestFit="1" customWidth="1"/>
    <col min="2" max="2" width="11" bestFit="1" customWidth="1"/>
    <col min="3" max="3" width="10.140625" bestFit="1" customWidth="1"/>
    <col min="4" max="4" width="7.7109375" bestFit="1" customWidth="1"/>
    <col min="5" max="5" width="10.140625" bestFit="1" customWidth="1"/>
    <col min="6" max="6" width="13.28515625" bestFit="1" customWidth="1"/>
    <col min="7" max="7" width="15" bestFit="1" customWidth="1"/>
    <col min="8" max="8" width="22" bestFit="1" customWidth="1"/>
    <col min="9" max="9" width="10.140625" bestFit="1" customWidth="1"/>
  </cols>
  <sheetData>
    <row r="1" spans="1:9" x14ac:dyDescent="0.2">
      <c r="A1" s="175" t="s">
        <v>41</v>
      </c>
      <c r="B1" s="175"/>
      <c r="C1" s="175"/>
      <c r="D1" s="175"/>
      <c r="E1" s="175"/>
      <c r="F1" s="175"/>
      <c r="G1" s="175"/>
      <c r="H1" s="175"/>
      <c r="I1" s="175"/>
    </row>
    <row r="3" spans="1:9" x14ac:dyDescent="0.2">
      <c r="A3" s="174" t="s">
        <v>84</v>
      </c>
      <c r="B3" s="174"/>
      <c r="C3" s="174"/>
      <c r="D3" s="174"/>
      <c r="E3" s="174"/>
      <c r="F3" s="174"/>
      <c r="G3" s="174"/>
      <c r="H3" s="174"/>
      <c r="I3" s="174"/>
    </row>
    <row r="5" spans="1:9" ht="23.25" customHeight="1" x14ac:dyDescent="0.2">
      <c r="A5" s="35" t="s">
        <v>25</v>
      </c>
      <c r="B5" s="36" t="s">
        <v>27</v>
      </c>
      <c r="C5" s="36" t="s">
        <v>16</v>
      </c>
      <c r="D5" s="37" t="s">
        <v>17</v>
      </c>
      <c r="E5" s="37" t="s">
        <v>18</v>
      </c>
      <c r="F5" s="37" t="s">
        <v>19</v>
      </c>
      <c r="G5" s="37" t="s">
        <v>20</v>
      </c>
      <c r="H5" s="37" t="s">
        <v>21</v>
      </c>
      <c r="I5" s="37" t="s">
        <v>28</v>
      </c>
    </row>
    <row r="6" spans="1:9" x14ac:dyDescent="0.2">
      <c r="A6" s="89" t="s">
        <v>0</v>
      </c>
      <c r="B6" s="21">
        <f>COUNTIFS('Página 01_Cadastro'!G$6:G$120,'Página 04_Envio_Tipo Bolsa'!A6,'Página 01_Cadastro'!C$6:C$120,"S",'Página 01_Cadastro'!J$6:J$120,'Pag 08_Legendas'!C$6)</f>
        <v>0</v>
      </c>
      <c r="C6" s="22">
        <f>SUMIFS('Página 01_Cadastro'!M$6:M$120,'Página 01_Cadastro'!G$6:G$120,'Página 04_Envio_Tipo Bolsa'!A6,'Página 01_Cadastro'!J$6:J$120,'Pag 08_Legendas'!C$6)</f>
        <v>0</v>
      </c>
      <c r="D6" s="22">
        <f>SUMIFS('Página 01_Cadastro'!N$6:N$120,'Página 01_Cadastro'!G$6:G$120,'Página 04_Envio_Tipo Bolsa'!A6,'Página 01_Cadastro'!J$6:J$120,'Pag 08_Legendas'!C$6)</f>
        <v>0</v>
      </c>
      <c r="E6" s="22">
        <f>SUMIFS('Página 01_Cadastro'!O$6:O$120,'Página 01_Cadastro'!G$6:G$120,'Página 04_Envio_Tipo Bolsa'!A6,'Página 01_Cadastro'!J$6:J$120,'Pag 08_Legendas'!C$6)</f>
        <v>0</v>
      </c>
      <c r="F6" s="22">
        <f>SUMIFS('Página 01_Cadastro'!P$6:P$120,'Página 01_Cadastro'!G$6:G$120,'Página 04_Envio_Tipo Bolsa'!A6,'Página 01_Cadastro'!J$6:J$120,'Pag 08_Legendas'!C$6)</f>
        <v>0</v>
      </c>
      <c r="G6" s="22">
        <f>SUMIFS('Página 01_Cadastro'!Q$6:Q$120,'Página 01_Cadastro'!G$6:G$120,'Página 04_Envio_Tipo Bolsa'!A6,'Página 01_Cadastro'!J$6:J$120,'Pag 08_Legendas'!C$6)</f>
        <v>0</v>
      </c>
      <c r="H6" s="22">
        <f>SUMIFS('Página 01_Cadastro'!R$6:R$120,'Página 01_Cadastro'!G$6:G$120,'Página 04_Envio_Tipo Bolsa'!A6,'Página 01_Cadastro'!J$6:J$120,'Pag 08_Legendas'!C$6)</f>
        <v>0</v>
      </c>
      <c r="I6" s="22">
        <f>SUM(C6:H6)</f>
        <v>0</v>
      </c>
    </row>
    <row r="7" spans="1:9" x14ac:dyDescent="0.2">
      <c r="A7" s="89" t="s">
        <v>5</v>
      </c>
      <c r="B7" s="21">
        <f>COUNTIFS('Página 01_Cadastro'!G$6:G$120,'Página 04_Envio_Tipo Bolsa'!A7,'Página 01_Cadastro'!C$6:C$120,"S",'Página 01_Cadastro'!J$6:J$120,'Pag 08_Legendas'!C$6)</f>
        <v>0</v>
      </c>
      <c r="C7" s="22">
        <f>SUMIFS('Página 01_Cadastro'!M$6:M$120,'Página 01_Cadastro'!G$6:G$120,'Página 04_Envio_Tipo Bolsa'!A7,'Página 01_Cadastro'!J$6:J$120,'Pag 08_Legendas'!C$6)</f>
        <v>0</v>
      </c>
      <c r="D7" s="22">
        <f>SUMIFS('Página 01_Cadastro'!N$6:N$120,'Página 01_Cadastro'!G$6:G$120,'Página 04_Envio_Tipo Bolsa'!A7,'Página 01_Cadastro'!J$6:J$120,'Pag 08_Legendas'!C$6)</f>
        <v>0</v>
      </c>
      <c r="E7" s="22">
        <f>SUMIFS('Página 01_Cadastro'!O$6:O$120,'Página 01_Cadastro'!G$6:G$120,'Página 04_Envio_Tipo Bolsa'!A7,'Página 01_Cadastro'!J$6:J$120,'Pag 08_Legendas'!C$6)</f>
        <v>0</v>
      </c>
      <c r="F7" s="22">
        <f>SUMIFS('Página 01_Cadastro'!P$6:P$120,'Página 01_Cadastro'!G$6:G$120,'Página 04_Envio_Tipo Bolsa'!A7,'Página 01_Cadastro'!J$6:J$120,'Pag 08_Legendas'!C$6)</f>
        <v>0</v>
      </c>
      <c r="G7" s="22">
        <f>SUMIFS('Página 01_Cadastro'!Q$6:Q$120,'Página 01_Cadastro'!G$6:G$120,'Página 04_Envio_Tipo Bolsa'!A7,'Página 01_Cadastro'!J$6:J$120,'Pag 08_Legendas'!C$6)</f>
        <v>0</v>
      </c>
      <c r="H7" s="22">
        <f>SUMIFS('Página 01_Cadastro'!R$6:R$120,'Página 01_Cadastro'!G$6:G$120,'Página 04_Envio_Tipo Bolsa'!A7,'Página 01_Cadastro'!J$6:J$120,'Pag 08_Legendas'!C$6)</f>
        <v>0</v>
      </c>
      <c r="I7" s="22">
        <f t="shared" ref="I7:I13" si="0">SUM(C7:H7)</f>
        <v>0</v>
      </c>
    </row>
    <row r="8" spans="1:9" x14ac:dyDescent="0.2">
      <c r="A8" s="89" t="s">
        <v>1</v>
      </c>
      <c r="B8" s="21">
        <f>COUNTIFS('Página 01_Cadastro'!G$6:G$120,'Página 04_Envio_Tipo Bolsa'!A8,'Página 01_Cadastro'!C$6:C$120,"S",'Página 01_Cadastro'!J$6:J$120,'Pag 08_Legendas'!C$6)</f>
        <v>0</v>
      </c>
      <c r="C8" s="22">
        <f>SUMIFS('Página 01_Cadastro'!M$6:M$120,'Página 01_Cadastro'!G$6:G$120,'Página 04_Envio_Tipo Bolsa'!A8,'Página 01_Cadastro'!J$6:J$120,'Pag 08_Legendas'!C$6)</f>
        <v>0</v>
      </c>
      <c r="D8" s="22">
        <f>SUMIFS('Página 01_Cadastro'!N$6:N$120,'Página 01_Cadastro'!G$6:G$120,'Página 04_Envio_Tipo Bolsa'!A8,'Página 01_Cadastro'!J$6:J$120,'Pag 08_Legendas'!C$6)</f>
        <v>0</v>
      </c>
      <c r="E8" s="22">
        <f>SUMIFS('Página 01_Cadastro'!O$6:O$120,'Página 01_Cadastro'!G$6:G$120,'Página 04_Envio_Tipo Bolsa'!A8,'Página 01_Cadastro'!J$6:J$120,'Pag 08_Legendas'!C$6)</f>
        <v>0</v>
      </c>
      <c r="F8" s="22">
        <f>SUMIFS('Página 01_Cadastro'!P$6:P$120,'Página 01_Cadastro'!G$6:G$120,'Página 04_Envio_Tipo Bolsa'!A8,'Página 01_Cadastro'!J$6:J$120,'Pag 08_Legendas'!C$6)</f>
        <v>0</v>
      </c>
      <c r="G8" s="22">
        <f>SUMIFS('Página 01_Cadastro'!Q$6:Q$120,'Página 01_Cadastro'!G$6:G$120,'Página 04_Envio_Tipo Bolsa'!A8,'Página 01_Cadastro'!J$6:J$120,'Pag 08_Legendas'!C$6)</f>
        <v>0</v>
      </c>
      <c r="H8" s="22">
        <f>SUMIFS('Página 01_Cadastro'!R$6:R$120,'Página 01_Cadastro'!G$6:G$120,'Página 04_Envio_Tipo Bolsa'!A8,'Página 01_Cadastro'!J$6:J$120,'Pag 08_Legendas'!C$6)</f>
        <v>0</v>
      </c>
      <c r="I8" s="22">
        <f t="shared" si="0"/>
        <v>0</v>
      </c>
    </row>
    <row r="9" spans="1:9" x14ac:dyDescent="0.2">
      <c r="A9" s="89" t="s">
        <v>26</v>
      </c>
      <c r="B9" s="21">
        <f>COUNTIFS('Página 01_Cadastro'!G$6:G$120,'Página 04_Envio_Tipo Bolsa'!A9,'Página 01_Cadastro'!C$6:C$120,"S",'Página 01_Cadastro'!J$6:J$120,'Pag 08_Legendas'!C$6)</f>
        <v>0</v>
      </c>
      <c r="C9" s="22">
        <f>SUMIFS('Página 01_Cadastro'!M$6:M$120,'Página 01_Cadastro'!G$6:G$120,'Página 04_Envio_Tipo Bolsa'!A9,'Página 01_Cadastro'!J$6:J$120,'Pag 08_Legendas'!C$6)</f>
        <v>0</v>
      </c>
      <c r="D9" s="22">
        <f>SUMIFS('Página 01_Cadastro'!N$6:N$120,'Página 01_Cadastro'!G$6:G$120,'Página 04_Envio_Tipo Bolsa'!A9,'Página 01_Cadastro'!J$6:J$120,'Pag 08_Legendas'!C$6)</f>
        <v>0</v>
      </c>
      <c r="E9" s="22">
        <f>SUMIFS('Página 01_Cadastro'!O$6:O$120,'Página 01_Cadastro'!G$6:G$120,'Página 04_Envio_Tipo Bolsa'!A9,'Página 01_Cadastro'!J$6:J$120,'Pag 08_Legendas'!C$6)</f>
        <v>0</v>
      </c>
      <c r="F9" s="22">
        <f>SUMIFS('Página 01_Cadastro'!P$6:P$120,'Página 01_Cadastro'!G$6:G$120,'Página 04_Envio_Tipo Bolsa'!A9,'Página 01_Cadastro'!J$6:J$120,'Pag 08_Legendas'!C$6)</f>
        <v>0</v>
      </c>
      <c r="G9" s="22">
        <f>SUMIFS('Página 01_Cadastro'!Q$6:Q$120,'Página 01_Cadastro'!G$6:G$120,'Página 04_Envio_Tipo Bolsa'!A9,'Página 01_Cadastro'!J$6:J$120,'Pag 08_Legendas'!C$6)</f>
        <v>0</v>
      </c>
      <c r="H9" s="22">
        <f>SUMIFS('Página 01_Cadastro'!R$6:R$120,'Página 01_Cadastro'!G$6:G$120,'Página 04_Envio_Tipo Bolsa'!A9,'Página 01_Cadastro'!J$6:J$120,'Pag 08_Legendas'!C$6)</f>
        <v>0</v>
      </c>
      <c r="I9" s="22">
        <f t="shared" si="0"/>
        <v>0</v>
      </c>
    </row>
    <row r="10" spans="1:9" x14ac:dyDescent="0.2">
      <c r="A10" s="89" t="s">
        <v>2</v>
      </c>
      <c r="B10" s="21">
        <f>COUNTIFS('Página 01_Cadastro'!G$6:G$120,'Página 04_Envio_Tipo Bolsa'!A10,'Página 01_Cadastro'!C$6:C$120,"S",'Página 01_Cadastro'!J$6:J$120,'Pag 08_Legendas'!C$6)</f>
        <v>0</v>
      </c>
      <c r="C10" s="22">
        <f>SUMIFS('Página 01_Cadastro'!M$6:M$120,'Página 01_Cadastro'!G$6:G$120,'Página 04_Envio_Tipo Bolsa'!A10,'Página 01_Cadastro'!J$6:J$120,'Pag 08_Legendas'!C$6)</f>
        <v>0</v>
      </c>
      <c r="D10" s="22">
        <f>SUMIFS('Página 01_Cadastro'!N$6:N$120,'Página 01_Cadastro'!G$6:G$120,'Página 04_Envio_Tipo Bolsa'!A10,'Página 01_Cadastro'!J$6:J$120,'Pag 08_Legendas'!C$6)</f>
        <v>0</v>
      </c>
      <c r="E10" s="22">
        <f>SUMIFS('Página 01_Cadastro'!O$6:O$120,'Página 01_Cadastro'!G$6:G$120,'Página 04_Envio_Tipo Bolsa'!A10,'Página 01_Cadastro'!J$6:J$120,'Pag 08_Legendas'!C$6)</f>
        <v>0</v>
      </c>
      <c r="F10" s="22">
        <f>SUMIFS('Página 01_Cadastro'!P$6:P$120,'Página 01_Cadastro'!G$6:G$120,'Página 04_Envio_Tipo Bolsa'!A10,'Página 01_Cadastro'!J$6:J$120,'Pag 08_Legendas'!C$6)</f>
        <v>0</v>
      </c>
      <c r="G10" s="22">
        <f>SUMIFS('Página 01_Cadastro'!Q$6:Q$120,'Página 01_Cadastro'!G$6:G$120,'Página 04_Envio_Tipo Bolsa'!A10,'Página 01_Cadastro'!J$6:J$120,'Pag 08_Legendas'!C$6)</f>
        <v>0</v>
      </c>
      <c r="H10" s="22">
        <f>SUMIFS('Página 01_Cadastro'!R$6:R$120,'Página 01_Cadastro'!G$6:G$120,'Página 04_Envio_Tipo Bolsa'!A10,'Página 01_Cadastro'!J$6:J$120,'Pag 08_Legendas'!C$6)</f>
        <v>0</v>
      </c>
      <c r="I10" s="22">
        <f t="shared" si="0"/>
        <v>0</v>
      </c>
    </row>
    <row r="11" spans="1:9" x14ac:dyDescent="0.2">
      <c r="A11" s="89" t="s">
        <v>4</v>
      </c>
      <c r="B11" s="21">
        <f>COUNTIFS('Página 01_Cadastro'!G$6:G$120,'Página 04_Envio_Tipo Bolsa'!A11,'Página 01_Cadastro'!C$6:C$120,"S",'Página 01_Cadastro'!J$6:J$120,'Pag 08_Legendas'!C$6)</f>
        <v>0</v>
      </c>
      <c r="C11" s="22">
        <f>SUMIFS('Página 01_Cadastro'!M$6:M$120,'Página 01_Cadastro'!G$6:G$120,'Página 04_Envio_Tipo Bolsa'!A11,'Página 01_Cadastro'!J$6:J$120,'Pag 08_Legendas'!C$6)</f>
        <v>0</v>
      </c>
      <c r="D11" s="22">
        <f>SUMIFS('Página 01_Cadastro'!N$6:N$120,'Página 01_Cadastro'!G$6:G$120,'Página 04_Envio_Tipo Bolsa'!A11,'Página 01_Cadastro'!J$6:J$120,'Pag 08_Legendas'!C$6)</f>
        <v>0</v>
      </c>
      <c r="E11" s="22">
        <f>SUMIFS('Página 01_Cadastro'!O$6:O$120,'Página 01_Cadastro'!G$6:G$120,'Página 04_Envio_Tipo Bolsa'!A11,'Página 01_Cadastro'!J$6:J$120,'Pag 08_Legendas'!C$6)</f>
        <v>0</v>
      </c>
      <c r="F11" s="22">
        <f>SUMIFS('Página 01_Cadastro'!P$6:P$120,'Página 01_Cadastro'!G$6:G$120,'Página 04_Envio_Tipo Bolsa'!A11,'Página 01_Cadastro'!J$6:J$120,'Pag 08_Legendas'!C$6)</f>
        <v>0</v>
      </c>
      <c r="G11" s="22">
        <f>SUMIFS('Página 01_Cadastro'!Q$6:Q$120,'Página 01_Cadastro'!G$6:G$120,'Página 04_Envio_Tipo Bolsa'!A11,'Página 01_Cadastro'!J$6:J$120,'Pag 08_Legendas'!C$6)</f>
        <v>0</v>
      </c>
      <c r="H11" s="22">
        <f>SUMIFS('Página 01_Cadastro'!R$6:R$120,'Página 01_Cadastro'!G$6:G$120,'Página 04_Envio_Tipo Bolsa'!A11,'Página 01_Cadastro'!J$6:J$120,'Pag 08_Legendas'!C$6)</f>
        <v>0</v>
      </c>
      <c r="I11" s="22">
        <f t="shared" si="0"/>
        <v>0</v>
      </c>
    </row>
    <row r="12" spans="1:9" x14ac:dyDescent="0.2">
      <c r="A12" s="89" t="s">
        <v>3</v>
      </c>
      <c r="B12" s="21">
        <f>COUNTIFS('Página 01_Cadastro'!G$6:G$120,'Página 04_Envio_Tipo Bolsa'!A12,'Página 01_Cadastro'!C$6:C$120,"S",'Página 01_Cadastro'!J$6:J$120,'Pag 08_Legendas'!C$6)</f>
        <v>0</v>
      </c>
      <c r="C12" s="22">
        <f>SUMIFS('Página 01_Cadastro'!M$6:M$120,'Página 01_Cadastro'!G$6:G$120,'Página 04_Envio_Tipo Bolsa'!A12,'Página 01_Cadastro'!J$6:J$120,'Pag 08_Legendas'!C$6)</f>
        <v>0</v>
      </c>
      <c r="D12" s="22">
        <f>SUMIFS('Página 01_Cadastro'!N$6:N$120,'Página 01_Cadastro'!G$6:G$120,'Página 04_Envio_Tipo Bolsa'!A12,'Página 01_Cadastro'!J$6:J$120,'Pag 08_Legendas'!C$6)</f>
        <v>0</v>
      </c>
      <c r="E12" s="22">
        <f>SUMIFS('Página 01_Cadastro'!O$6:O$120,'Página 01_Cadastro'!G$6:G$120,'Página 04_Envio_Tipo Bolsa'!A12,'Página 01_Cadastro'!J$6:J$120,'Pag 08_Legendas'!C$6)</f>
        <v>0</v>
      </c>
      <c r="F12" s="22">
        <f>SUMIFS('Página 01_Cadastro'!P$6:P$120,'Página 01_Cadastro'!G$6:G$120,'Página 04_Envio_Tipo Bolsa'!A12,'Página 01_Cadastro'!J$6:J$120,'Pag 08_Legendas'!C$6)</f>
        <v>0</v>
      </c>
      <c r="G12" s="22">
        <f>SUMIFS('Página 01_Cadastro'!Q$6:Q$120,'Página 01_Cadastro'!G$6:G$120,'Página 04_Envio_Tipo Bolsa'!A12,'Página 01_Cadastro'!J$6:J$120,'Pag 08_Legendas'!C$6)</f>
        <v>0</v>
      </c>
      <c r="H12" s="22">
        <f>SUMIFS('Página 01_Cadastro'!R$6:R$120,'Página 01_Cadastro'!G$6:G$120,'Página 04_Envio_Tipo Bolsa'!A12,'Página 01_Cadastro'!J$6:J$120,'Pag 08_Legendas'!C$6)</f>
        <v>0</v>
      </c>
      <c r="I12" s="22">
        <f t="shared" si="0"/>
        <v>0</v>
      </c>
    </row>
    <row r="13" spans="1:9" x14ac:dyDescent="0.2">
      <c r="A13" s="43" t="s">
        <v>6</v>
      </c>
      <c r="B13" s="31">
        <f>SUM(B6:B12)</f>
        <v>0</v>
      </c>
      <c r="C13" s="33">
        <f t="shared" ref="C13:H13" si="1">SUM(C6:C12)</f>
        <v>0</v>
      </c>
      <c r="D13" s="33">
        <f t="shared" si="1"/>
        <v>0</v>
      </c>
      <c r="E13" s="33">
        <f t="shared" si="1"/>
        <v>0</v>
      </c>
      <c r="F13" s="33">
        <f t="shared" si="1"/>
        <v>0</v>
      </c>
      <c r="G13" s="33">
        <f t="shared" si="1"/>
        <v>0</v>
      </c>
      <c r="H13" s="33">
        <f t="shared" si="1"/>
        <v>0</v>
      </c>
      <c r="I13" s="33">
        <f t="shared" si="0"/>
        <v>0</v>
      </c>
    </row>
    <row r="16" spans="1:9" x14ac:dyDescent="0.2">
      <c r="A16" s="174" t="s">
        <v>82</v>
      </c>
      <c r="B16" s="174"/>
      <c r="C16" s="174"/>
      <c r="D16" s="174"/>
      <c r="E16" s="174"/>
      <c r="F16" s="174"/>
      <c r="G16" s="174"/>
      <c r="H16" s="174"/>
      <c r="I16" s="174"/>
    </row>
    <row r="18" spans="1:9" ht="25.5" x14ac:dyDescent="0.2">
      <c r="A18" s="35" t="s">
        <v>25</v>
      </c>
      <c r="B18" s="36" t="s">
        <v>27</v>
      </c>
      <c r="C18" s="36" t="s">
        <v>16</v>
      </c>
      <c r="D18" s="37" t="s">
        <v>17</v>
      </c>
      <c r="E18" s="37" t="s">
        <v>18</v>
      </c>
      <c r="F18" s="37" t="s">
        <v>19</v>
      </c>
      <c r="G18" s="37" t="s">
        <v>20</v>
      </c>
      <c r="H18" s="37" t="s">
        <v>21</v>
      </c>
      <c r="I18" s="37" t="s">
        <v>28</v>
      </c>
    </row>
    <row r="19" spans="1:9" x14ac:dyDescent="0.2">
      <c r="A19" s="89" t="s">
        <v>0</v>
      </c>
      <c r="B19" s="21">
        <f>COUNTIFS('Página 01_Cadastro'!G$6:G$120,'Página 04_Envio_Tipo Bolsa'!A19,'Página 01_Cadastro'!C$6:C$120,"S",'Página 01_Cadastro'!J$6:J$120,'Pag 08_Legendas'!C$7)</f>
        <v>0</v>
      </c>
      <c r="C19" s="22">
        <f>SUMIFS('Página 01_Cadastro'!M$6:M$120,'Página 01_Cadastro'!G$6:G$120,'Página 04_Envio_Tipo Bolsa'!A19,'Página 01_Cadastro'!J$6:J$120,'Pag 08_Legendas'!C$7)</f>
        <v>0</v>
      </c>
      <c r="D19" s="22">
        <f>SUMIFS('Página 01_Cadastro'!N$6:N$120,'Página 01_Cadastro'!G$6:G$120,'Página 04_Envio_Tipo Bolsa'!A19,'Página 01_Cadastro'!J$6:J$120,'Pag 08_Legendas'!C$7)</f>
        <v>0</v>
      </c>
      <c r="E19" s="22">
        <f>SUMIFS('Página 01_Cadastro'!O$6:O$120,'Página 01_Cadastro'!G$6:G$120,'Página 04_Envio_Tipo Bolsa'!A19,'Página 01_Cadastro'!J$6:J$120,'Pag 08_Legendas'!C$7)</f>
        <v>0</v>
      </c>
      <c r="F19" s="22">
        <f>SUMIFS('Página 01_Cadastro'!P$6:P$120,'Página 01_Cadastro'!G$6:G$120,'Página 04_Envio_Tipo Bolsa'!A19,'Página 01_Cadastro'!J$6:J$120,'Pag 08_Legendas'!C$7)</f>
        <v>0</v>
      </c>
      <c r="G19" s="22">
        <f>SUMIFS('Página 01_Cadastro'!Q$6:Q$120,'Página 01_Cadastro'!G$6:G$120,'Página 04_Envio_Tipo Bolsa'!A19,'Página 01_Cadastro'!J$6:J$120,'Pag 08_Legendas'!C$7)</f>
        <v>0</v>
      </c>
      <c r="H19" s="22">
        <f>SUMIFS('Página 01_Cadastro'!R$6:R$120,'Página 01_Cadastro'!G$6:G$120,'Página 04_Envio_Tipo Bolsa'!A19,'Página 01_Cadastro'!J$6:J$120,'Pag 08_Legendas'!C$7)</f>
        <v>0</v>
      </c>
      <c r="I19" s="22">
        <f>SUM(C19:H19)</f>
        <v>0</v>
      </c>
    </row>
    <row r="20" spans="1:9" x14ac:dyDescent="0.2">
      <c r="A20" s="89" t="s">
        <v>5</v>
      </c>
      <c r="B20" s="21">
        <f>COUNTIFS('Página 01_Cadastro'!G$6:G$120,'Página 04_Envio_Tipo Bolsa'!A20,'Página 01_Cadastro'!C$6:C$120,"S",'Página 01_Cadastro'!J$6:J$120,'Pag 08_Legendas'!C$7)</f>
        <v>0</v>
      </c>
      <c r="C20" s="22">
        <f>SUMIFS('Página 01_Cadastro'!M$6:M$120,'Página 01_Cadastro'!G$6:G$120,'Página 04_Envio_Tipo Bolsa'!A20,'Página 01_Cadastro'!J$6:J$120,'Pag 08_Legendas'!C$7)</f>
        <v>0</v>
      </c>
      <c r="D20" s="22">
        <f>SUMIFS('Página 01_Cadastro'!N$6:N$120,'Página 01_Cadastro'!G$6:G$120,'Página 04_Envio_Tipo Bolsa'!A20,'Página 01_Cadastro'!J$6:J$120,'Pag 08_Legendas'!C$7)</f>
        <v>0</v>
      </c>
      <c r="E20" s="22">
        <f>SUMIFS('Página 01_Cadastro'!O$6:O$120,'Página 01_Cadastro'!G$6:G$120,'Página 04_Envio_Tipo Bolsa'!A20,'Página 01_Cadastro'!J$6:J$120,'Pag 08_Legendas'!C$7)</f>
        <v>0</v>
      </c>
      <c r="F20" s="22">
        <f>SUMIFS('Página 01_Cadastro'!P$6:P$120,'Página 01_Cadastro'!G$6:G$120,'Página 04_Envio_Tipo Bolsa'!A20,'Página 01_Cadastro'!J$6:J$120,'Pag 08_Legendas'!C$7)</f>
        <v>0</v>
      </c>
      <c r="G20" s="22">
        <f>SUMIFS('Página 01_Cadastro'!Q$6:Q$120,'Página 01_Cadastro'!G$6:G$120,'Página 04_Envio_Tipo Bolsa'!A20,'Página 01_Cadastro'!J$6:J$120,'Pag 08_Legendas'!C$7)</f>
        <v>0</v>
      </c>
      <c r="H20" s="22">
        <f>SUMIFS('Página 01_Cadastro'!R$6:R$120,'Página 01_Cadastro'!G$6:G$120,'Página 04_Envio_Tipo Bolsa'!A20,'Página 01_Cadastro'!J$6:J$120,'Pag 08_Legendas'!C$7)</f>
        <v>0</v>
      </c>
      <c r="I20" s="22">
        <f t="shared" ref="I20:I26" si="2">SUM(C20:H20)</f>
        <v>0</v>
      </c>
    </row>
    <row r="21" spans="1:9" x14ac:dyDescent="0.2">
      <c r="A21" s="89" t="s">
        <v>1</v>
      </c>
      <c r="B21" s="21">
        <f>COUNTIFS('Página 01_Cadastro'!G$6:G$120,'Página 04_Envio_Tipo Bolsa'!A21,'Página 01_Cadastro'!C$6:C$120,"S",'Página 01_Cadastro'!J$6:J$120,'Pag 08_Legendas'!C$7)</f>
        <v>0</v>
      </c>
      <c r="C21" s="22">
        <f>SUMIFS('Página 01_Cadastro'!M$6:M$120,'Página 01_Cadastro'!G$6:G$120,'Página 04_Envio_Tipo Bolsa'!A21,'Página 01_Cadastro'!J$6:J$120,'Pag 08_Legendas'!C$7)</f>
        <v>0</v>
      </c>
      <c r="D21" s="22">
        <f>SUMIFS('Página 01_Cadastro'!N$6:N$120,'Página 01_Cadastro'!G$6:G$120,'Página 04_Envio_Tipo Bolsa'!A21,'Página 01_Cadastro'!J$6:J$120,'Pag 08_Legendas'!C$7)</f>
        <v>0</v>
      </c>
      <c r="E21" s="22">
        <f>SUMIFS('Página 01_Cadastro'!O$6:O$120,'Página 01_Cadastro'!G$6:G$120,'Página 04_Envio_Tipo Bolsa'!A21,'Página 01_Cadastro'!J$6:J$120,'Pag 08_Legendas'!C$7)</f>
        <v>0</v>
      </c>
      <c r="F21" s="22">
        <f>SUMIFS('Página 01_Cadastro'!P$6:P$120,'Página 01_Cadastro'!G$6:G$120,'Página 04_Envio_Tipo Bolsa'!A21,'Página 01_Cadastro'!J$6:J$120,'Pag 08_Legendas'!C$7)</f>
        <v>0</v>
      </c>
      <c r="G21" s="22">
        <f>SUMIFS('Página 01_Cadastro'!Q$6:Q$120,'Página 01_Cadastro'!G$6:G$120,'Página 04_Envio_Tipo Bolsa'!A21,'Página 01_Cadastro'!J$6:J$120,'Pag 08_Legendas'!C$7)</f>
        <v>0</v>
      </c>
      <c r="H21" s="22">
        <f>SUMIFS('Página 01_Cadastro'!R$6:R$120,'Página 01_Cadastro'!G$6:G$120,'Página 04_Envio_Tipo Bolsa'!A21,'Página 01_Cadastro'!J$6:J$120,'Pag 08_Legendas'!C$7)</f>
        <v>0</v>
      </c>
      <c r="I21" s="22">
        <f t="shared" si="2"/>
        <v>0</v>
      </c>
    </row>
    <row r="22" spans="1:9" x14ac:dyDescent="0.2">
      <c r="A22" s="89" t="s">
        <v>26</v>
      </c>
      <c r="B22" s="21">
        <f>COUNTIFS('Página 01_Cadastro'!G$6:G$120,'Página 04_Envio_Tipo Bolsa'!A22,'Página 01_Cadastro'!C$6:C$120,"S",'Página 01_Cadastro'!J$6:J$120,'Pag 08_Legendas'!C$7)</f>
        <v>0</v>
      </c>
      <c r="C22" s="22">
        <f>SUMIFS('Página 01_Cadastro'!M$6:M$120,'Página 01_Cadastro'!G$6:G$120,'Página 04_Envio_Tipo Bolsa'!A22,'Página 01_Cadastro'!J$6:J$120,'Pag 08_Legendas'!C$7)</f>
        <v>0</v>
      </c>
      <c r="D22" s="22">
        <f>SUMIFS('Página 01_Cadastro'!N$6:N$120,'Página 01_Cadastro'!G$6:G$120,'Página 04_Envio_Tipo Bolsa'!A22,'Página 01_Cadastro'!J$6:J$120,'Pag 08_Legendas'!C$7)</f>
        <v>0</v>
      </c>
      <c r="E22" s="22">
        <f>SUMIFS('Página 01_Cadastro'!O$6:O$120,'Página 01_Cadastro'!G$6:G$120,'Página 04_Envio_Tipo Bolsa'!A22,'Página 01_Cadastro'!J$6:J$120,'Pag 08_Legendas'!C$7)</f>
        <v>0</v>
      </c>
      <c r="F22" s="22">
        <f>SUMIFS('Página 01_Cadastro'!P$6:P$120,'Página 01_Cadastro'!G$6:G$120,'Página 04_Envio_Tipo Bolsa'!A22,'Página 01_Cadastro'!J$6:J$120,'Pag 08_Legendas'!C$7)</f>
        <v>0</v>
      </c>
      <c r="G22" s="22">
        <f>SUMIFS('Página 01_Cadastro'!Q$6:Q$120,'Página 01_Cadastro'!G$6:G$120,'Página 04_Envio_Tipo Bolsa'!A22,'Página 01_Cadastro'!J$6:J$120,'Pag 08_Legendas'!C$7)</f>
        <v>0</v>
      </c>
      <c r="H22" s="22">
        <f>SUMIFS('Página 01_Cadastro'!R$6:R$120,'Página 01_Cadastro'!G$6:G$120,'Página 04_Envio_Tipo Bolsa'!A22,'Página 01_Cadastro'!J$6:J$120,'Pag 08_Legendas'!C$7)</f>
        <v>0</v>
      </c>
      <c r="I22" s="22">
        <f t="shared" si="2"/>
        <v>0</v>
      </c>
    </row>
    <row r="23" spans="1:9" x14ac:dyDescent="0.2">
      <c r="A23" s="89" t="s">
        <v>2</v>
      </c>
      <c r="B23" s="21">
        <f>COUNTIFS('Página 01_Cadastro'!G$6:G$120,'Página 04_Envio_Tipo Bolsa'!A23,'Página 01_Cadastro'!C$6:C$120,"S",'Página 01_Cadastro'!J$6:J$120,'Pag 08_Legendas'!C$7)</f>
        <v>0</v>
      </c>
      <c r="C23" s="22">
        <f>SUMIFS('Página 01_Cadastro'!M$6:M$120,'Página 01_Cadastro'!G$6:G$120,'Página 04_Envio_Tipo Bolsa'!A23,'Página 01_Cadastro'!J$6:J$120,'Pag 08_Legendas'!C$7)</f>
        <v>0</v>
      </c>
      <c r="D23" s="22">
        <f>SUMIFS('Página 01_Cadastro'!N$6:N$120,'Página 01_Cadastro'!G$6:G$120,'Página 04_Envio_Tipo Bolsa'!A23,'Página 01_Cadastro'!J$6:J$120,'Pag 08_Legendas'!C$7)</f>
        <v>0</v>
      </c>
      <c r="E23" s="22">
        <f>SUMIFS('Página 01_Cadastro'!O$6:O$120,'Página 01_Cadastro'!G$6:G$120,'Página 04_Envio_Tipo Bolsa'!A23,'Página 01_Cadastro'!J$6:J$120,'Pag 08_Legendas'!C$7)</f>
        <v>0</v>
      </c>
      <c r="F23" s="22">
        <f>SUMIFS('Página 01_Cadastro'!P$6:P$120,'Página 01_Cadastro'!G$6:G$120,'Página 04_Envio_Tipo Bolsa'!A23,'Página 01_Cadastro'!J$6:J$120,'Pag 08_Legendas'!C$7)</f>
        <v>0</v>
      </c>
      <c r="G23" s="22">
        <f>SUMIFS('Página 01_Cadastro'!Q$6:Q$120,'Página 01_Cadastro'!G$6:G$120,'Página 04_Envio_Tipo Bolsa'!A23,'Página 01_Cadastro'!J$6:J$120,'Pag 08_Legendas'!C$7)</f>
        <v>0</v>
      </c>
      <c r="H23" s="22">
        <f>SUMIFS('Página 01_Cadastro'!R$6:R$120,'Página 01_Cadastro'!G$6:G$120,'Página 04_Envio_Tipo Bolsa'!A23,'Página 01_Cadastro'!J$6:J$120,'Pag 08_Legendas'!C$7)</f>
        <v>0</v>
      </c>
      <c r="I23" s="22">
        <f t="shared" si="2"/>
        <v>0</v>
      </c>
    </row>
    <row r="24" spans="1:9" x14ac:dyDescent="0.2">
      <c r="A24" s="89" t="s">
        <v>4</v>
      </c>
      <c r="B24" s="21">
        <f>COUNTIFS('Página 01_Cadastro'!G$6:G$120,'Página 04_Envio_Tipo Bolsa'!A24,'Página 01_Cadastro'!C$6:C$120,"S",'Página 01_Cadastro'!J$6:J$120,'Pag 08_Legendas'!C$7)</f>
        <v>0</v>
      </c>
      <c r="C24" s="22">
        <f>SUMIFS('Página 01_Cadastro'!M$6:M$120,'Página 01_Cadastro'!G$6:G$120,'Página 04_Envio_Tipo Bolsa'!A24,'Página 01_Cadastro'!J$6:J$120,'Pag 08_Legendas'!C$7)</f>
        <v>0</v>
      </c>
      <c r="D24" s="22">
        <f>SUMIFS('Página 01_Cadastro'!N$6:N$120,'Página 01_Cadastro'!G$6:G$120,'Página 04_Envio_Tipo Bolsa'!A24,'Página 01_Cadastro'!J$6:J$120,'Pag 08_Legendas'!C$7)</f>
        <v>0</v>
      </c>
      <c r="E24" s="22">
        <f>SUMIFS('Página 01_Cadastro'!O$6:O$120,'Página 01_Cadastro'!G$6:G$120,'Página 04_Envio_Tipo Bolsa'!A24,'Página 01_Cadastro'!J$6:J$120,'Pag 08_Legendas'!C$7)</f>
        <v>0</v>
      </c>
      <c r="F24" s="22">
        <f>SUMIFS('Página 01_Cadastro'!P$6:P$120,'Página 01_Cadastro'!G$6:G$120,'Página 04_Envio_Tipo Bolsa'!A24,'Página 01_Cadastro'!J$6:J$120,'Pag 08_Legendas'!C$7)</f>
        <v>0</v>
      </c>
      <c r="G24" s="22">
        <f>SUMIFS('Página 01_Cadastro'!Q$6:Q$120,'Página 01_Cadastro'!G$6:G$120,'Página 04_Envio_Tipo Bolsa'!A24,'Página 01_Cadastro'!J$6:J$120,'Pag 08_Legendas'!C$7)</f>
        <v>0</v>
      </c>
      <c r="H24" s="22">
        <f>SUMIFS('Página 01_Cadastro'!R$6:R$120,'Página 01_Cadastro'!G$6:G$120,'Página 04_Envio_Tipo Bolsa'!A24,'Página 01_Cadastro'!J$6:J$120,'Pag 08_Legendas'!C$7)</f>
        <v>0</v>
      </c>
      <c r="I24" s="22">
        <f t="shared" si="2"/>
        <v>0</v>
      </c>
    </row>
    <row r="25" spans="1:9" x14ac:dyDescent="0.2">
      <c r="A25" s="89" t="s">
        <v>3</v>
      </c>
      <c r="B25" s="21">
        <f>COUNTIFS('Página 01_Cadastro'!G$6:G$120,'Página 04_Envio_Tipo Bolsa'!A25,'Página 01_Cadastro'!C$6:C$120,"S",'Página 01_Cadastro'!J$6:J$120,'Pag 08_Legendas'!C$7)</f>
        <v>0</v>
      </c>
      <c r="C25" s="22">
        <f>SUMIFS('Página 01_Cadastro'!M$6:M$120,'Página 01_Cadastro'!G$6:G$120,'Página 04_Envio_Tipo Bolsa'!A25,'Página 01_Cadastro'!J$6:J$120,'Pag 08_Legendas'!C$7)</f>
        <v>0</v>
      </c>
      <c r="D25" s="22">
        <f>SUMIFS('Página 01_Cadastro'!N$6:N$120,'Página 01_Cadastro'!G$6:G$120,'Página 04_Envio_Tipo Bolsa'!A25,'Página 01_Cadastro'!J$6:J$120,'Pag 08_Legendas'!C$7)</f>
        <v>0</v>
      </c>
      <c r="E25" s="22">
        <f>SUMIFS('Página 01_Cadastro'!O$6:O$120,'Página 01_Cadastro'!G$6:G$120,'Página 04_Envio_Tipo Bolsa'!A25,'Página 01_Cadastro'!J$6:J$120,'Pag 08_Legendas'!C$7)</f>
        <v>0</v>
      </c>
      <c r="F25" s="22">
        <f>SUMIFS('Página 01_Cadastro'!P$6:P$120,'Página 01_Cadastro'!G$6:G$120,'Página 04_Envio_Tipo Bolsa'!A25,'Página 01_Cadastro'!J$6:J$120,'Pag 08_Legendas'!C$7)</f>
        <v>0</v>
      </c>
      <c r="G25" s="22">
        <f>SUMIFS('Página 01_Cadastro'!Q$6:Q$120,'Página 01_Cadastro'!G$6:G$120,'Página 04_Envio_Tipo Bolsa'!A25,'Página 01_Cadastro'!J$6:J$120,'Pag 08_Legendas'!C$7)</f>
        <v>0</v>
      </c>
      <c r="H25" s="22">
        <f>SUMIFS('Página 01_Cadastro'!R$6:R$120,'Página 01_Cadastro'!G$6:G$120,'Página 04_Envio_Tipo Bolsa'!A25,'Página 01_Cadastro'!J$6:J$120,'Pag 08_Legendas'!C$7)</f>
        <v>0</v>
      </c>
      <c r="I25" s="22">
        <f t="shared" si="2"/>
        <v>0</v>
      </c>
    </row>
    <row r="26" spans="1:9" x14ac:dyDescent="0.2">
      <c r="A26" s="43" t="s">
        <v>6</v>
      </c>
      <c r="B26" s="31">
        <f>SUM(B19:B25)</f>
        <v>0</v>
      </c>
      <c r="C26" s="33">
        <f t="shared" ref="C26:H26" si="3">SUM(C19:C25)</f>
        <v>0</v>
      </c>
      <c r="D26" s="33">
        <f t="shared" si="3"/>
        <v>0</v>
      </c>
      <c r="E26" s="33">
        <f t="shared" si="3"/>
        <v>0</v>
      </c>
      <c r="F26" s="33">
        <f t="shared" si="3"/>
        <v>0</v>
      </c>
      <c r="G26" s="33">
        <f t="shared" si="3"/>
        <v>0</v>
      </c>
      <c r="H26" s="33">
        <f t="shared" si="3"/>
        <v>0</v>
      </c>
      <c r="I26" s="33">
        <f t="shared" si="2"/>
        <v>0</v>
      </c>
    </row>
    <row r="28" spans="1:9" x14ac:dyDescent="0.2">
      <c r="A28" s="174" t="s">
        <v>83</v>
      </c>
      <c r="B28" s="174"/>
      <c r="C28" s="174"/>
      <c r="D28" s="174"/>
      <c r="E28" s="174"/>
      <c r="F28" s="174"/>
      <c r="G28" s="174"/>
      <c r="H28" s="174"/>
      <c r="I28" s="174"/>
    </row>
    <row r="30" spans="1:9" ht="25.5" x14ac:dyDescent="0.2">
      <c r="A30" s="35" t="s">
        <v>25</v>
      </c>
      <c r="B30" s="36" t="s">
        <v>27</v>
      </c>
      <c r="C30" s="36" t="s">
        <v>16</v>
      </c>
      <c r="D30" s="37" t="s">
        <v>17</v>
      </c>
      <c r="E30" s="37" t="s">
        <v>18</v>
      </c>
      <c r="F30" s="37" t="s">
        <v>19</v>
      </c>
      <c r="G30" s="37" t="s">
        <v>20</v>
      </c>
      <c r="H30" s="37" t="s">
        <v>21</v>
      </c>
      <c r="I30" s="37" t="s">
        <v>28</v>
      </c>
    </row>
    <row r="31" spans="1:9" x14ac:dyDescent="0.2">
      <c r="A31" s="89" t="s">
        <v>0</v>
      </c>
      <c r="B31" s="21">
        <f>COUNTIFS('Página 01_Cadastro'!G$6:G$120,'Página 04_Envio_Tipo Bolsa'!A31,'Página 01_Cadastro'!C$6:C$120,"S",'Página 01_Cadastro'!J$6:J$120,'Pag 08_Legendas'!C$3)</f>
        <v>0</v>
      </c>
      <c r="C31" s="22">
        <f>SUMIFS('Página 01_Cadastro'!M$6:M$120,'Página 01_Cadastro'!G$6:G$120,'Página 04_Envio_Tipo Bolsa'!A31,'Página 01_Cadastro'!J$6:J$120,'Pag 08_Legendas'!C$3)</f>
        <v>0</v>
      </c>
      <c r="D31" s="22">
        <f>SUMIFS('Página 01_Cadastro'!N$6:N$120,'Página 01_Cadastro'!G$6:G$120,'Página 04_Envio_Tipo Bolsa'!A31,'Página 01_Cadastro'!J$6:J$120,'Pag 08_Legendas'!C$3)</f>
        <v>0</v>
      </c>
      <c r="E31" s="22">
        <f>SUMIFS('Página 01_Cadastro'!O$6:O$120,'Página 01_Cadastro'!G$6:G$120,'Página 04_Envio_Tipo Bolsa'!A31,'Página 01_Cadastro'!J$6:J$120,'Pag 08_Legendas'!C$3)</f>
        <v>0</v>
      </c>
      <c r="F31" s="22">
        <f>SUMIFS('Página 01_Cadastro'!P$6:P$120,'Página 01_Cadastro'!G$6:G$120,'Página 04_Envio_Tipo Bolsa'!A31,'Página 01_Cadastro'!J$6:J$120,'Pag 08_Legendas'!C$3)</f>
        <v>0</v>
      </c>
      <c r="G31" s="22">
        <f>SUMIFS('Página 01_Cadastro'!Q$6:Q$120,'Página 01_Cadastro'!G$6:G$120,'Página 04_Envio_Tipo Bolsa'!A31,'Página 01_Cadastro'!J$6:J$120,'Pag 08_Legendas'!C$3)</f>
        <v>0</v>
      </c>
      <c r="H31" s="22">
        <f>SUMIFS('Página 01_Cadastro'!R$6:R$120,'Página 01_Cadastro'!G$6:G$120,'Página 04_Envio_Tipo Bolsa'!A31,'Página 01_Cadastro'!J$6:J$120,'Pag 08_Legendas'!C$3)</f>
        <v>0</v>
      </c>
      <c r="I31" s="22">
        <f>SUM(C31:H31)</f>
        <v>0</v>
      </c>
    </row>
    <row r="32" spans="1:9" x14ac:dyDescent="0.2">
      <c r="A32" s="89" t="s">
        <v>5</v>
      </c>
      <c r="B32" s="21">
        <f>COUNTIFS('Página 01_Cadastro'!G$6:G$120,'Página 04_Envio_Tipo Bolsa'!A32,'Página 01_Cadastro'!C$6:C$120,"S",'Página 01_Cadastro'!J$6:J$120,'Pag 08_Legendas'!C$3)</f>
        <v>0</v>
      </c>
      <c r="C32" s="22">
        <f>SUMIFS('Página 01_Cadastro'!M$6:M$120,'Página 01_Cadastro'!G$6:G$120,'Página 04_Envio_Tipo Bolsa'!A32,'Página 01_Cadastro'!J$6:J$120,'Pag 08_Legendas'!C$3)</f>
        <v>0</v>
      </c>
      <c r="D32" s="22">
        <f>SUMIFS('Página 01_Cadastro'!N$6:N$120,'Página 01_Cadastro'!G$6:G$120,'Página 04_Envio_Tipo Bolsa'!A32,'Página 01_Cadastro'!J$6:J$120,'Pag 08_Legendas'!C$3)</f>
        <v>0</v>
      </c>
      <c r="E32" s="22">
        <f>SUMIFS('Página 01_Cadastro'!O$6:O$120,'Página 01_Cadastro'!G$6:G$120,'Página 04_Envio_Tipo Bolsa'!A32,'Página 01_Cadastro'!J$6:J$120,'Pag 08_Legendas'!C$3)</f>
        <v>0</v>
      </c>
      <c r="F32" s="22">
        <f>SUMIFS('Página 01_Cadastro'!P$6:P$120,'Página 01_Cadastro'!G$6:G$120,'Página 04_Envio_Tipo Bolsa'!A32,'Página 01_Cadastro'!J$6:J$120,'Pag 08_Legendas'!C$3)</f>
        <v>0</v>
      </c>
      <c r="G32" s="22">
        <f>SUMIFS('Página 01_Cadastro'!Q$6:Q$120,'Página 01_Cadastro'!G$6:G$120,'Página 04_Envio_Tipo Bolsa'!A32,'Página 01_Cadastro'!J$6:J$120,'Pag 08_Legendas'!C$3)</f>
        <v>0</v>
      </c>
      <c r="H32" s="22">
        <f>SUMIFS('Página 01_Cadastro'!R$6:R$120,'Página 01_Cadastro'!G$6:G$120,'Página 04_Envio_Tipo Bolsa'!A32,'Página 01_Cadastro'!J$6:J$120,'Pag 08_Legendas'!C$3)</f>
        <v>0</v>
      </c>
      <c r="I32" s="22">
        <f t="shared" ref="I32:I38" si="4">SUM(C32:H32)</f>
        <v>0</v>
      </c>
    </row>
    <row r="33" spans="1:9" x14ac:dyDescent="0.2">
      <c r="A33" s="89" t="s">
        <v>1</v>
      </c>
      <c r="B33" s="21">
        <f>COUNTIFS('Página 01_Cadastro'!G$6:G$120,'Página 04_Envio_Tipo Bolsa'!A33,'Página 01_Cadastro'!C$6:C$120,"S",'Página 01_Cadastro'!J$6:J$120,'Pag 08_Legendas'!C$3)</f>
        <v>0</v>
      </c>
      <c r="C33" s="22">
        <f>SUMIFS('Página 01_Cadastro'!M$6:M$120,'Página 01_Cadastro'!G$6:G$120,'Página 04_Envio_Tipo Bolsa'!A33,'Página 01_Cadastro'!J$6:J$120,'Pag 08_Legendas'!C$3)</f>
        <v>0</v>
      </c>
      <c r="D33" s="22">
        <f>SUMIFS('Página 01_Cadastro'!N$6:N$120,'Página 01_Cadastro'!G$6:G$120,'Página 04_Envio_Tipo Bolsa'!A33,'Página 01_Cadastro'!J$6:J$120,'Pag 08_Legendas'!C$3)</f>
        <v>0</v>
      </c>
      <c r="E33" s="22">
        <f>SUMIFS('Página 01_Cadastro'!O$6:O$120,'Página 01_Cadastro'!G$6:G$120,'Página 04_Envio_Tipo Bolsa'!A33,'Página 01_Cadastro'!J$6:J$120,'Pag 08_Legendas'!C$3)</f>
        <v>0</v>
      </c>
      <c r="F33" s="22">
        <f>SUMIFS('Página 01_Cadastro'!P$6:P$120,'Página 01_Cadastro'!G$6:G$120,'Página 04_Envio_Tipo Bolsa'!A33,'Página 01_Cadastro'!J$6:J$120,'Pag 08_Legendas'!C$3)</f>
        <v>0</v>
      </c>
      <c r="G33" s="22">
        <f>SUMIFS('Página 01_Cadastro'!Q$6:Q$120,'Página 01_Cadastro'!G$6:G$120,'Página 04_Envio_Tipo Bolsa'!A33,'Página 01_Cadastro'!J$6:J$120,'Pag 08_Legendas'!C$3)</f>
        <v>0</v>
      </c>
      <c r="H33" s="22">
        <f>SUMIFS('Página 01_Cadastro'!R$6:R$120,'Página 01_Cadastro'!G$6:G$120,'Página 04_Envio_Tipo Bolsa'!A33,'Página 01_Cadastro'!J$6:J$120,'Pag 08_Legendas'!C$3)</f>
        <v>0</v>
      </c>
      <c r="I33" s="22">
        <f t="shared" si="4"/>
        <v>0</v>
      </c>
    </row>
    <row r="34" spans="1:9" x14ac:dyDescent="0.2">
      <c r="A34" s="89" t="s">
        <v>26</v>
      </c>
      <c r="B34" s="21">
        <f>COUNTIFS('Página 01_Cadastro'!G$6:G$120,'Página 04_Envio_Tipo Bolsa'!A34,'Página 01_Cadastro'!C$6:C$120,"S",'Página 01_Cadastro'!J$6:J$120,'Pag 08_Legendas'!C$3)</f>
        <v>0</v>
      </c>
      <c r="C34" s="22">
        <f>SUMIFS('Página 01_Cadastro'!M$6:M$120,'Página 01_Cadastro'!G$6:G$120,'Página 04_Envio_Tipo Bolsa'!A34,'Página 01_Cadastro'!J$6:J$120,'Pag 08_Legendas'!C$3)</f>
        <v>0</v>
      </c>
      <c r="D34" s="22">
        <f>SUMIFS('Página 01_Cadastro'!N$6:N$120,'Página 01_Cadastro'!G$6:G$120,'Página 04_Envio_Tipo Bolsa'!A34,'Página 01_Cadastro'!J$6:J$120,'Pag 08_Legendas'!C$3)</f>
        <v>0</v>
      </c>
      <c r="E34" s="22">
        <f>SUMIFS('Página 01_Cadastro'!O$6:O$120,'Página 01_Cadastro'!G$6:G$120,'Página 04_Envio_Tipo Bolsa'!A34,'Página 01_Cadastro'!J$6:J$120,'Pag 08_Legendas'!C$3)</f>
        <v>0</v>
      </c>
      <c r="F34" s="22">
        <f>SUMIFS('Página 01_Cadastro'!P$6:P$120,'Página 01_Cadastro'!G$6:G$120,'Página 04_Envio_Tipo Bolsa'!A34,'Página 01_Cadastro'!J$6:J$120,'Pag 08_Legendas'!C$3)</f>
        <v>0</v>
      </c>
      <c r="G34" s="22">
        <f>SUMIFS('Página 01_Cadastro'!Q$6:Q$120,'Página 01_Cadastro'!G$6:G$120,'Página 04_Envio_Tipo Bolsa'!A34,'Página 01_Cadastro'!J$6:J$120,'Pag 08_Legendas'!C$3)</f>
        <v>0</v>
      </c>
      <c r="H34" s="22">
        <f>SUMIFS('Página 01_Cadastro'!R$6:R$120,'Página 01_Cadastro'!G$6:G$120,'Página 04_Envio_Tipo Bolsa'!A34,'Página 01_Cadastro'!J$6:J$120,'Pag 08_Legendas'!C$3)</f>
        <v>0</v>
      </c>
      <c r="I34" s="22">
        <f t="shared" si="4"/>
        <v>0</v>
      </c>
    </row>
    <row r="35" spans="1:9" x14ac:dyDescent="0.2">
      <c r="A35" s="89" t="s">
        <v>2</v>
      </c>
      <c r="B35" s="21">
        <f>COUNTIFS('Página 01_Cadastro'!G$6:G$120,'Página 04_Envio_Tipo Bolsa'!A35,'Página 01_Cadastro'!C$6:C$120,"S",'Página 01_Cadastro'!J$6:J$120,'Pag 08_Legendas'!C$3)</f>
        <v>0</v>
      </c>
      <c r="C35" s="22">
        <f>SUMIFS('Página 01_Cadastro'!M$6:M$120,'Página 01_Cadastro'!G$6:G$120,'Página 04_Envio_Tipo Bolsa'!A35,'Página 01_Cadastro'!J$6:J$120,'Pag 08_Legendas'!C$3)</f>
        <v>0</v>
      </c>
      <c r="D35" s="22">
        <f>SUMIFS('Página 01_Cadastro'!N$6:N$120,'Página 01_Cadastro'!G$6:G$120,'Página 04_Envio_Tipo Bolsa'!A35,'Página 01_Cadastro'!J$6:J$120,'Pag 08_Legendas'!C$3)</f>
        <v>0</v>
      </c>
      <c r="E35" s="22">
        <f>SUMIFS('Página 01_Cadastro'!O$6:O$120,'Página 01_Cadastro'!G$6:G$120,'Página 04_Envio_Tipo Bolsa'!A35,'Página 01_Cadastro'!J$6:J$120,'Pag 08_Legendas'!C$3)</f>
        <v>0</v>
      </c>
      <c r="F35" s="22">
        <f>SUMIFS('Página 01_Cadastro'!P$6:P$120,'Página 01_Cadastro'!G$6:G$120,'Página 04_Envio_Tipo Bolsa'!A35,'Página 01_Cadastro'!J$6:J$120,'Pag 08_Legendas'!C$3)</f>
        <v>0</v>
      </c>
      <c r="G35" s="22">
        <f>SUMIFS('Página 01_Cadastro'!Q$6:Q$120,'Página 01_Cadastro'!G$6:G$120,'Página 04_Envio_Tipo Bolsa'!A35,'Página 01_Cadastro'!J$6:J$120,'Pag 08_Legendas'!C$3)</f>
        <v>0</v>
      </c>
      <c r="H35" s="22">
        <f>SUMIFS('Página 01_Cadastro'!R$6:R$120,'Página 01_Cadastro'!G$6:G$120,'Página 04_Envio_Tipo Bolsa'!A35,'Página 01_Cadastro'!J$6:J$120,'Pag 08_Legendas'!C$3)</f>
        <v>0</v>
      </c>
      <c r="I35" s="22">
        <f t="shared" si="4"/>
        <v>0</v>
      </c>
    </row>
    <row r="36" spans="1:9" x14ac:dyDescent="0.2">
      <c r="A36" s="89" t="s">
        <v>4</v>
      </c>
      <c r="B36" s="21">
        <f>COUNTIFS('Página 01_Cadastro'!G$6:G$120,'Página 04_Envio_Tipo Bolsa'!A36,'Página 01_Cadastro'!C$6:C$120,"S",'Página 01_Cadastro'!J$6:J$120,'Pag 08_Legendas'!C$3)</f>
        <v>0</v>
      </c>
      <c r="C36" s="22">
        <f>SUMIFS('Página 01_Cadastro'!M$6:M$120,'Página 01_Cadastro'!G$6:G$120,'Página 04_Envio_Tipo Bolsa'!A36,'Página 01_Cadastro'!J$6:J$120,'Pag 08_Legendas'!C$3)</f>
        <v>0</v>
      </c>
      <c r="D36" s="22">
        <f>SUMIFS('Página 01_Cadastro'!N$6:N$120,'Página 01_Cadastro'!G$6:G$120,'Página 04_Envio_Tipo Bolsa'!A36,'Página 01_Cadastro'!J$6:J$120,'Pag 08_Legendas'!C$3)</f>
        <v>0</v>
      </c>
      <c r="E36" s="22">
        <f>SUMIFS('Página 01_Cadastro'!O$6:O$120,'Página 01_Cadastro'!G$6:G$120,'Página 04_Envio_Tipo Bolsa'!A36,'Página 01_Cadastro'!J$6:J$120,'Pag 08_Legendas'!C$3)</f>
        <v>0</v>
      </c>
      <c r="F36" s="22">
        <f>SUMIFS('Página 01_Cadastro'!P$6:P$120,'Página 01_Cadastro'!G$6:G$120,'Página 04_Envio_Tipo Bolsa'!A36,'Página 01_Cadastro'!J$6:J$120,'Pag 08_Legendas'!C$3)</f>
        <v>0</v>
      </c>
      <c r="G36" s="22">
        <f>SUMIFS('Página 01_Cadastro'!Q$6:Q$120,'Página 01_Cadastro'!G$6:G$120,'Página 04_Envio_Tipo Bolsa'!A36,'Página 01_Cadastro'!J$6:J$120,'Pag 08_Legendas'!C$3)</f>
        <v>0</v>
      </c>
      <c r="H36" s="22">
        <f>SUMIFS('Página 01_Cadastro'!R$6:R$120,'Página 01_Cadastro'!G$6:G$120,'Página 04_Envio_Tipo Bolsa'!A36,'Página 01_Cadastro'!J$6:J$120,'Pag 08_Legendas'!C$3)</f>
        <v>0</v>
      </c>
      <c r="I36" s="22">
        <f t="shared" si="4"/>
        <v>0</v>
      </c>
    </row>
    <row r="37" spans="1:9" x14ac:dyDescent="0.2">
      <c r="A37" s="89" t="s">
        <v>3</v>
      </c>
      <c r="B37" s="21">
        <f>COUNTIFS('Página 01_Cadastro'!G$6:G$120,'Página 04_Envio_Tipo Bolsa'!A37,'Página 01_Cadastro'!C$6:C$120,"S",'Página 01_Cadastro'!J$6:J$120,'Pag 08_Legendas'!C$3)</f>
        <v>0</v>
      </c>
      <c r="C37" s="22">
        <f>SUMIFS('Página 01_Cadastro'!M$6:M$120,'Página 01_Cadastro'!G$6:G$120,'Página 04_Envio_Tipo Bolsa'!A37,'Página 01_Cadastro'!J$6:J$120,'Pag 08_Legendas'!C$3)</f>
        <v>0</v>
      </c>
      <c r="D37" s="22">
        <f>SUMIFS('Página 01_Cadastro'!N$6:N$120,'Página 01_Cadastro'!G$6:G$120,'Página 04_Envio_Tipo Bolsa'!A37,'Página 01_Cadastro'!J$6:J$120,'Pag 08_Legendas'!C$3)</f>
        <v>0</v>
      </c>
      <c r="E37" s="22">
        <f>SUMIFS('Página 01_Cadastro'!O$6:O$120,'Página 01_Cadastro'!G$6:G$120,'Página 04_Envio_Tipo Bolsa'!A37,'Página 01_Cadastro'!J$6:J$120,'Pag 08_Legendas'!C$3)</f>
        <v>0</v>
      </c>
      <c r="F37" s="22">
        <f>SUMIFS('Página 01_Cadastro'!P$6:P$120,'Página 01_Cadastro'!G$6:G$120,'Página 04_Envio_Tipo Bolsa'!A37,'Página 01_Cadastro'!J$6:J$120,'Pag 08_Legendas'!C$3)</f>
        <v>0</v>
      </c>
      <c r="G37" s="22">
        <f>SUMIFS('Página 01_Cadastro'!Q$6:Q$120,'Página 01_Cadastro'!G$6:G$120,'Página 04_Envio_Tipo Bolsa'!A37,'Página 01_Cadastro'!J$6:J$120,'Pag 08_Legendas'!C$3)</f>
        <v>0</v>
      </c>
      <c r="H37" s="22">
        <f>SUMIFS('Página 01_Cadastro'!R$6:R$120,'Página 01_Cadastro'!G$6:G$120,'Página 04_Envio_Tipo Bolsa'!A37,'Página 01_Cadastro'!J$6:J$120,'Pag 08_Legendas'!C$3)</f>
        <v>0</v>
      </c>
      <c r="I37" s="22">
        <f t="shared" si="4"/>
        <v>0</v>
      </c>
    </row>
    <row r="38" spans="1:9" x14ac:dyDescent="0.2">
      <c r="A38" s="43" t="s">
        <v>6</v>
      </c>
      <c r="B38" s="31">
        <f>SUM(B31:B37)</f>
        <v>0</v>
      </c>
      <c r="C38" s="33">
        <f t="shared" ref="C38:H38" si="5">SUM(C31:C37)</f>
        <v>0</v>
      </c>
      <c r="D38" s="33">
        <f t="shared" si="5"/>
        <v>0</v>
      </c>
      <c r="E38" s="33">
        <f t="shared" si="5"/>
        <v>0</v>
      </c>
      <c r="F38" s="33">
        <f t="shared" si="5"/>
        <v>0</v>
      </c>
      <c r="G38" s="33">
        <f t="shared" si="5"/>
        <v>0</v>
      </c>
      <c r="H38" s="33">
        <f t="shared" si="5"/>
        <v>0</v>
      </c>
      <c r="I38" s="33">
        <f t="shared" si="4"/>
        <v>0</v>
      </c>
    </row>
    <row r="40" spans="1:9" x14ac:dyDescent="0.2">
      <c r="A40" s="174" t="s">
        <v>81</v>
      </c>
      <c r="B40" s="174"/>
      <c r="C40" s="174"/>
      <c r="D40" s="174"/>
      <c r="E40" s="174"/>
      <c r="F40" s="174"/>
      <c r="G40" s="174"/>
      <c r="H40" s="174"/>
      <c r="I40" s="174"/>
    </row>
    <row r="42" spans="1:9" ht="25.5" x14ac:dyDescent="0.2">
      <c r="A42" s="35" t="s">
        <v>25</v>
      </c>
      <c r="B42" s="36" t="s">
        <v>27</v>
      </c>
      <c r="C42" s="36" t="s">
        <v>16</v>
      </c>
      <c r="D42" s="37" t="s">
        <v>17</v>
      </c>
      <c r="E42" s="37" t="s">
        <v>18</v>
      </c>
      <c r="F42" s="37" t="s">
        <v>19</v>
      </c>
      <c r="G42" s="37" t="s">
        <v>20</v>
      </c>
      <c r="H42" s="37" t="s">
        <v>21</v>
      </c>
      <c r="I42" s="37" t="s">
        <v>28</v>
      </c>
    </row>
    <row r="43" spans="1:9" x14ac:dyDescent="0.2">
      <c r="A43" s="89" t="s">
        <v>0</v>
      </c>
      <c r="B43" s="21">
        <f>COUNTIFS('Página 01_Cadastro'!G$6:G$120,'Página 04_Envio_Tipo Bolsa'!A43,'Página 01_Cadastro'!C$6:C$120,"S",'Página 01_Cadastro'!J$6:J$120,'Pag 08_Legendas'!C$5)</f>
        <v>0</v>
      </c>
      <c r="C43" s="22">
        <f>SUMIFS('Página 01_Cadastro'!M$6:M$120,'Página 01_Cadastro'!G$6:G$120,'Página 04_Envio_Tipo Bolsa'!A43,'Página 01_Cadastro'!J$6:J$120,'Pag 08_Legendas'!C$5)</f>
        <v>0</v>
      </c>
      <c r="D43" s="22">
        <f>SUMIFS('Página 01_Cadastro'!N$6:N$120,'Página 01_Cadastro'!G$6:G$120,'Página 04_Envio_Tipo Bolsa'!A43,'Página 01_Cadastro'!J$6:J$120,'Pag 08_Legendas'!C$5)</f>
        <v>0</v>
      </c>
      <c r="E43" s="22">
        <f>SUMIFS('Página 01_Cadastro'!O$6:O$120,'Página 01_Cadastro'!G$6:G$120,'Página 04_Envio_Tipo Bolsa'!A43,'Página 01_Cadastro'!J$6:J$120,'Pag 08_Legendas'!C$5)</f>
        <v>0</v>
      </c>
      <c r="F43" s="22">
        <f>SUMIFS('Página 01_Cadastro'!P$6:P$120,'Página 01_Cadastro'!G$6:G$120,'Página 04_Envio_Tipo Bolsa'!A43,'Página 01_Cadastro'!J$6:J$120,'Pag 08_Legendas'!C$5)</f>
        <v>0</v>
      </c>
      <c r="G43" s="22">
        <f>SUMIFS('Página 01_Cadastro'!Q$6:Q$120,'Página 01_Cadastro'!G$6:G$120,'Página 04_Envio_Tipo Bolsa'!A43,'Página 01_Cadastro'!J$6:J$120,'Pag 08_Legendas'!C$5)</f>
        <v>0</v>
      </c>
      <c r="H43" s="22">
        <f>SUMIFS('Página 01_Cadastro'!R$6:R$120,'Página 01_Cadastro'!G$6:G$120,'Página 04_Envio_Tipo Bolsa'!A43,'Página 01_Cadastro'!J$6:J$120,'Pag 08_Legendas'!C$5)</f>
        <v>0</v>
      </c>
      <c r="I43" s="22">
        <f>SUM(C43:H43)</f>
        <v>0</v>
      </c>
    </row>
    <row r="44" spans="1:9" x14ac:dyDescent="0.2">
      <c r="A44" s="89" t="s">
        <v>5</v>
      </c>
      <c r="B44" s="21">
        <f>COUNTIFS('Página 01_Cadastro'!G$6:G$120,'Página 04_Envio_Tipo Bolsa'!A44,'Página 01_Cadastro'!C$6:C$120,"S",'Página 01_Cadastro'!J$6:J$120,'Pag 08_Legendas'!C$5)</f>
        <v>0</v>
      </c>
      <c r="C44" s="22">
        <f>SUMIFS('Página 01_Cadastro'!M$6:M$120,'Página 01_Cadastro'!G$6:G$120,'Página 04_Envio_Tipo Bolsa'!A44,'Página 01_Cadastro'!J$6:J$120,'Pag 08_Legendas'!C$5)</f>
        <v>0</v>
      </c>
      <c r="D44" s="22">
        <f>SUMIFS('Página 01_Cadastro'!N$6:N$120,'Página 01_Cadastro'!G$6:G$120,'Página 04_Envio_Tipo Bolsa'!A44,'Página 01_Cadastro'!J$6:J$120,'Pag 08_Legendas'!C$5)</f>
        <v>0</v>
      </c>
      <c r="E44" s="22">
        <f>SUMIFS('Página 01_Cadastro'!O$6:O$120,'Página 01_Cadastro'!G$6:G$120,'Página 04_Envio_Tipo Bolsa'!A44,'Página 01_Cadastro'!J$6:J$120,'Pag 08_Legendas'!C$5)</f>
        <v>0</v>
      </c>
      <c r="F44" s="22">
        <f>SUMIFS('Página 01_Cadastro'!P$6:P$120,'Página 01_Cadastro'!G$6:G$120,'Página 04_Envio_Tipo Bolsa'!A44,'Página 01_Cadastro'!J$6:J$120,'Pag 08_Legendas'!C$5)</f>
        <v>0</v>
      </c>
      <c r="G44" s="22">
        <f>SUMIFS('Página 01_Cadastro'!Q$6:Q$120,'Página 01_Cadastro'!G$6:G$120,'Página 04_Envio_Tipo Bolsa'!A44,'Página 01_Cadastro'!J$6:J$120,'Pag 08_Legendas'!C$5)</f>
        <v>0</v>
      </c>
      <c r="H44" s="22">
        <f>SUMIFS('Página 01_Cadastro'!R$6:R$120,'Página 01_Cadastro'!G$6:G$120,'Página 04_Envio_Tipo Bolsa'!A44,'Página 01_Cadastro'!J$6:J$120,'Pag 08_Legendas'!C$5)</f>
        <v>0</v>
      </c>
      <c r="I44" s="22">
        <f t="shared" ref="I44:I50" si="6">SUM(C44:H44)</f>
        <v>0</v>
      </c>
    </row>
    <row r="45" spans="1:9" x14ac:dyDescent="0.2">
      <c r="A45" s="89" t="s">
        <v>1</v>
      </c>
      <c r="B45" s="21">
        <f>COUNTIFS('Página 01_Cadastro'!G$6:G$120,'Página 04_Envio_Tipo Bolsa'!A45,'Página 01_Cadastro'!C$6:C$120,"S",'Página 01_Cadastro'!J$6:J$120,'Pag 08_Legendas'!C$5)</f>
        <v>0</v>
      </c>
      <c r="C45" s="22">
        <f>SUMIFS('Página 01_Cadastro'!M$6:M$120,'Página 01_Cadastro'!G$6:G$120,'Página 04_Envio_Tipo Bolsa'!A45,'Página 01_Cadastro'!J$6:J$120,'Pag 08_Legendas'!C$5)</f>
        <v>0</v>
      </c>
      <c r="D45" s="22">
        <f>SUMIFS('Página 01_Cadastro'!N$6:N$120,'Página 01_Cadastro'!G$6:G$120,'Página 04_Envio_Tipo Bolsa'!A45,'Página 01_Cadastro'!J$6:J$120,'Pag 08_Legendas'!C$5)</f>
        <v>0</v>
      </c>
      <c r="E45" s="22">
        <f>SUMIFS('Página 01_Cadastro'!O$6:O$120,'Página 01_Cadastro'!G$6:G$120,'Página 04_Envio_Tipo Bolsa'!A45,'Página 01_Cadastro'!J$6:J$120,'Pag 08_Legendas'!C$5)</f>
        <v>0</v>
      </c>
      <c r="F45" s="22">
        <f>SUMIFS('Página 01_Cadastro'!P$6:P$120,'Página 01_Cadastro'!G$6:G$120,'Página 04_Envio_Tipo Bolsa'!A45,'Página 01_Cadastro'!J$6:J$120,'Pag 08_Legendas'!C$5)</f>
        <v>0</v>
      </c>
      <c r="G45" s="22">
        <f>SUMIFS('Página 01_Cadastro'!Q$6:Q$120,'Página 01_Cadastro'!G$6:G$120,'Página 04_Envio_Tipo Bolsa'!A45,'Página 01_Cadastro'!J$6:J$120,'Pag 08_Legendas'!C$5)</f>
        <v>0</v>
      </c>
      <c r="H45" s="22">
        <f>SUMIFS('Página 01_Cadastro'!R$6:R$120,'Página 01_Cadastro'!G$6:G$120,'Página 04_Envio_Tipo Bolsa'!A45,'Página 01_Cadastro'!J$6:J$120,'Pag 08_Legendas'!C$5)</f>
        <v>0</v>
      </c>
      <c r="I45" s="22">
        <f t="shared" si="6"/>
        <v>0</v>
      </c>
    </row>
    <row r="46" spans="1:9" x14ac:dyDescent="0.2">
      <c r="A46" s="89" t="s">
        <v>26</v>
      </c>
      <c r="B46" s="21">
        <f>COUNTIFS('Página 01_Cadastro'!G$6:G$120,'Página 04_Envio_Tipo Bolsa'!A46,'Página 01_Cadastro'!C$6:C$120,"S",'Página 01_Cadastro'!J$6:J$120,'Pag 08_Legendas'!C$5)</f>
        <v>0</v>
      </c>
      <c r="C46" s="22">
        <f>SUMIFS('Página 01_Cadastro'!M$6:M$120,'Página 01_Cadastro'!G$6:G$120,'Página 04_Envio_Tipo Bolsa'!A46,'Página 01_Cadastro'!J$6:J$120,'Pag 08_Legendas'!C$5)</f>
        <v>0</v>
      </c>
      <c r="D46" s="22">
        <f>SUMIFS('Página 01_Cadastro'!N$6:N$120,'Página 01_Cadastro'!G$6:G$120,'Página 04_Envio_Tipo Bolsa'!A46,'Página 01_Cadastro'!J$6:J$120,'Pag 08_Legendas'!C$5)</f>
        <v>0</v>
      </c>
      <c r="E46" s="22">
        <f>SUMIFS('Página 01_Cadastro'!O$6:O$120,'Página 01_Cadastro'!G$6:G$120,'Página 04_Envio_Tipo Bolsa'!A46,'Página 01_Cadastro'!J$6:J$120,'Pag 08_Legendas'!C$5)</f>
        <v>0</v>
      </c>
      <c r="F46" s="22">
        <f>SUMIFS('Página 01_Cadastro'!P$6:P$120,'Página 01_Cadastro'!G$6:G$120,'Página 04_Envio_Tipo Bolsa'!A46,'Página 01_Cadastro'!J$6:J$120,'Pag 08_Legendas'!C$5)</f>
        <v>0</v>
      </c>
      <c r="G46" s="22">
        <f>SUMIFS('Página 01_Cadastro'!Q$6:Q$120,'Página 01_Cadastro'!G$6:G$120,'Página 04_Envio_Tipo Bolsa'!A46,'Página 01_Cadastro'!J$6:J$120,'Pag 08_Legendas'!C$5)</f>
        <v>0</v>
      </c>
      <c r="H46" s="22">
        <f>SUMIFS('Página 01_Cadastro'!R$6:R$120,'Página 01_Cadastro'!G$6:G$120,'Página 04_Envio_Tipo Bolsa'!A46,'Página 01_Cadastro'!J$6:J$120,'Pag 08_Legendas'!C$5)</f>
        <v>0</v>
      </c>
      <c r="I46" s="22">
        <f t="shared" si="6"/>
        <v>0</v>
      </c>
    </row>
    <row r="47" spans="1:9" x14ac:dyDescent="0.2">
      <c r="A47" s="89" t="s">
        <v>2</v>
      </c>
      <c r="B47" s="21">
        <f>COUNTIFS('Página 01_Cadastro'!G$6:G$120,'Página 04_Envio_Tipo Bolsa'!A47,'Página 01_Cadastro'!C$6:C$120,"S",'Página 01_Cadastro'!J$6:J$120,'Pag 08_Legendas'!C$5)</f>
        <v>0</v>
      </c>
      <c r="C47" s="22">
        <f>SUMIFS('Página 01_Cadastro'!M$6:M$120,'Página 01_Cadastro'!G$6:G$120,'Página 04_Envio_Tipo Bolsa'!A47,'Página 01_Cadastro'!J$6:J$120,'Pag 08_Legendas'!C$5)</f>
        <v>0</v>
      </c>
      <c r="D47" s="22">
        <f>SUMIFS('Página 01_Cadastro'!N$6:N$120,'Página 01_Cadastro'!G$6:G$120,'Página 04_Envio_Tipo Bolsa'!A47,'Página 01_Cadastro'!J$6:J$120,'Pag 08_Legendas'!C$5)</f>
        <v>0</v>
      </c>
      <c r="E47" s="22">
        <f>SUMIFS('Página 01_Cadastro'!O$6:O$120,'Página 01_Cadastro'!G$6:G$120,'Página 04_Envio_Tipo Bolsa'!A47,'Página 01_Cadastro'!J$6:J$120,'Pag 08_Legendas'!C$5)</f>
        <v>0</v>
      </c>
      <c r="F47" s="22">
        <f>SUMIFS('Página 01_Cadastro'!P$6:P$120,'Página 01_Cadastro'!G$6:G$120,'Página 04_Envio_Tipo Bolsa'!A47,'Página 01_Cadastro'!J$6:J$120,'Pag 08_Legendas'!C$5)</f>
        <v>0</v>
      </c>
      <c r="G47" s="22">
        <f>SUMIFS('Página 01_Cadastro'!Q$6:Q$120,'Página 01_Cadastro'!G$6:G$120,'Página 04_Envio_Tipo Bolsa'!A47,'Página 01_Cadastro'!J$6:J$120,'Pag 08_Legendas'!C$5)</f>
        <v>0</v>
      </c>
      <c r="H47" s="22">
        <f>SUMIFS('Página 01_Cadastro'!R$6:R$120,'Página 01_Cadastro'!G$6:G$120,'Página 04_Envio_Tipo Bolsa'!A47,'Página 01_Cadastro'!J$6:J$120,'Pag 08_Legendas'!C$5)</f>
        <v>0</v>
      </c>
      <c r="I47" s="22">
        <f t="shared" si="6"/>
        <v>0</v>
      </c>
    </row>
    <row r="48" spans="1:9" x14ac:dyDescent="0.2">
      <c r="A48" s="89" t="s">
        <v>4</v>
      </c>
      <c r="B48" s="21">
        <f>COUNTIFS('Página 01_Cadastro'!G$6:G$120,'Página 04_Envio_Tipo Bolsa'!A48,'Página 01_Cadastro'!C$6:C$120,"S",'Página 01_Cadastro'!J$6:J$120,'Pag 08_Legendas'!C$5)</f>
        <v>0</v>
      </c>
      <c r="C48" s="22">
        <f>SUMIFS('Página 01_Cadastro'!M$6:M$120,'Página 01_Cadastro'!G$6:G$120,'Página 04_Envio_Tipo Bolsa'!A48,'Página 01_Cadastro'!J$6:J$120,'Pag 08_Legendas'!C$5)</f>
        <v>0</v>
      </c>
      <c r="D48" s="22">
        <f>SUMIFS('Página 01_Cadastro'!N$6:N$120,'Página 01_Cadastro'!G$6:G$120,'Página 04_Envio_Tipo Bolsa'!A48,'Página 01_Cadastro'!J$6:J$120,'Pag 08_Legendas'!C$5)</f>
        <v>0</v>
      </c>
      <c r="E48" s="22">
        <f>SUMIFS('Página 01_Cadastro'!O$6:O$120,'Página 01_Cadastro'!G$6:G$120,'Página 04_Envio_Tipo Bolsa'!A48,'Página 01_Cadastro'!J$6:J$120,'Pag 08_Legendas'!C$5)</f>
        <v>0</v>
      </c>
      <c r="F48" s="22">
        <f>SUMIFS('Página 01_Cadastro'!P$6:P$120,'Página 01_Cadastro'!G$6:G$120,'Página 04_Envio_Tipo Bolsa'!A48,'Página 01_Cadastro'!J$6:J$120,'Pag 08_Legendas'!C$5)</f>
        <v>0</v>
      </c>
      <c r="G48" s="22">
        <f>SUMIFS('Página 01_Cadastro'!Q$6:Q$120,'Página 01_Cadastro'!G$6:G$120,'Página 04_Envio_Tipo Bolsa'!A48,'Página 01_Cadastro'!J$6:J$120,'Pag 08_Legendas'!C$5)</f>
        <v>0</v>
      </c>
      <c r="H48" s="22">
        <f>SUMIFS('Página 01_Cadastro'!R$6:R$120,'Página 01_Cadastro'!G$6:G$120,'Página 04_Envio_Tipo Bolsa'!A48,'Página 01_Cadastro'!J$6:J$120,'Pag 08_Legendas'!C$5)</f>
        <v>0</v>
      </c>
      <c r="I48" s="22">
        <f t="shared" si="6"/>
        <v>0</v>
      </c>
    </row>
    <row r="49" spans="1:9" x14ac:dyDescent="0.2">
      <c r="A49" s="89" t="s">
        <v>3</v>
      </c>
      <c r="B49" s="21">
        <f>COUNTIFS('Página 01_Cadastro'!G$6:G$120,'Página 04_Envio_Tipo Bolsa'!A49,'Página 01_Cadastro'!C$6:C$120,"S",'Página 01_Cadastro'!J$6:J$120,'Pag 08_Legendas'!C$5)</f>
        <v>0</v>
      </c>
      <c r="C49" s="22">
        <f>SUMIFS('Página 01_Cadastro'!M$6:M$120,'Página 01_Cadastro'!G$6:G$120,'Página 04_Envio_Tipo Bolsa'!A49,'Página 01_Cadastro'!J$6:J$120,'Pag 08_Legendas'!C$5)</f>
        <v>0</v>
      </c>
      <c r="D49" s="22">
        <f>SUMIFS('Página 01_Cadastro'!N$6:N$120,'Página 01_Cadastro'!G$6:G$120,'Página 04_Envio_Tipo Bolsa'!A49,'Página 01_Cadastro'!J$6:J$120,'Pag 08_Legendas'!C$5)</f>
        <v>0</v>
      </c>
      <c r="E49" s="22">
        <f>SUMIFS('Página 01_Cadastro'!O$6:O$120,'Página 01_Cadastro'!G$6:G$120,'Página 04_Envio_Tipo Bolsa'!A49,'Página 01_Cadastro'!J$6:J$120,'Pag 08_Legendas'!C$5)</f>
        <v>0</v>
      </c>
      <c r="F49" s="22">
        <f>SUMIFS('Página 01_Cadastro'!P$6:P$120,'Página 01_Cadastro'!G$6:G$120,'Página 04_Envio_Tipo Bolsa'!A49,'Página 01_Cadastro'!J$6:J$120,'Pag 08_Legendas'!C$5)</f>
        <v>0</v>
      </c>
      <c r="G49" s="22">
        <f>SUMIFS('Página 01_Cadastro'!Q$6:Q$120,'Página 01_Cadastro'!G$6:G$120,'Página 04_Envio_Tipo Bolsa'!A49,'Página 01_Cadastro'!J$6:J$120,'Pag 08_Legendas'!C$5)</f>
        <v>0</v>
      </c>
      <c r="H49" s="22">
        <f>SUMIFS('Página 01_Cadastro'!R$6:R$120,'Página 01_Cadastro'!G$6:G$120,'Página 04_Envio_Tipo Bolsa'!A49,'Página 01_Cadastro'!J$6:J$120,'Pag 08_Legendas'!C$5)</f>
        <v>0</v>
      </c>
      <c r="I49" s="22">
        <f t="shared" si="6"/>
        <v>0</v>
      </c>
    </row>
    <row r="50" spans="1:9" x14ac:dyDescent="0.2">
      <c r="A50" s="43" t="s">
        <v>6</v>
      </c>
      <c r="B50" s="31">
        <f>SUM(B43:B49)</f>
        <v>0</v>
      </c>
      <c r="C50" s="33">
        <f t="shared" ref="C50:H50" si="7">SUM(C43:C49)</f>
        <v>0</v>
      </c>
      <c r="D50" s="33">
        <f t="shared" si="7"/>
        <v>0</v>
      </c>
      <c r="E50" s="33">
        <f t="shared" si="7"/>
        <v>0</v>
      </c>
      <c r="F50" s="33">
        <f t="shared" si="7"/>
        <v>0</v>
      </c>
      <c r="G50" s="33">
        <f t="shared" si="7"/>
        <v>0</v>
      </c>
      <c r="H50" s="33">
        <f t="shared" si="7"/>
        <v>0</v>
      </c>
      <c r="I50" s="33">
        <f t="shared" si="6"/>
        <v>0</v>
      </c>
    </row>
    <row r="52" spans="1:9" x14ac:dyDescent="0.2">
      <c r="A52" s="174" t="s">
        <v>80</v>
      </c>
      <c r="B52" s="174"/>
      <c r="C52" s="174"/>
      <c r="D52" s="174"/>
      <c r="E52" s="174"/>
      <c r="F52" s="174"/>
      <c r="G52" s="174"/>
      <c r="H52" s="174"/>
      <c r="I52" s="174"/>
    </row>
    <row r="54" spans="1:9" ht="25.5" x14ac:dyDescent="0.2">
      <c r="A54" s="35" t="s">
        <v>25</v>
      </c>
      <c r="B54" s="36" t="s">
        <v>27</v>
      </c>
      <c r="C54" s="36" t="s">
        <v>16</v>
      </c>
      <c r="D54" s="37" t="s">
        <v>17</v>
      </c>
      <c r="E54" s="37" t="s">
        <v>18</v>
      </c>
      <c r="F54" s="37" t="s">
        <v>19</v>
      </c>
      <c r="G54" s="37" t="s">
        <v>20</v>
      </c>
      <c r="H54" s="37" t="s">
        <v>21</v>
      </c>
      <c r="I54" s="37" t="s">
        <v>28</v>
      </c>
    </row>
    <row r="55" spans="1:9" x14ac:dyDescent="0.2">
      <c r="A55" s="89" t="s">
        <v>0</v>
      </c>
      <c r="B55" s="21">
        <f>COUNTIFS('Página 01_Cadastro'!G$6:G$120,'Página 04_Envio_Tipo Bolsa'!A55,'Página 01_Cadastro'!C$6:C$120,"S",'Página 01_Cadastro'!J$6:J$120,'Pag 08_Legendas'!C$8)</f>
        <v>0</v>
      </c>
      <c r="C55" s="22">
        <f>SUMIFS('Página 01_Cadastro'!M$6:M$120,'Página 01_Cadastro'!G$6:G$120,'Página 04_Envio_Tipo Bolsa'!A55,'Página 01_Cadastro'!J$6:J$120,'Pag 08_Legendas'!C$8)</f>
        <v>0</v>
      </c>
      <c r="D55" s="22">
        <f>SUMIFS('Página 01_Cadastro'!N$6:N$120,'Página 01_Cadastro'!G$6:G$120,'Página 04_Envio_Tipo Bolsa'!A55,'Página 01_Cadastro'!J$6:J$120,'Pag 08_Legendas'!C$8)</f>
        <v>0</v>
      </c>
      <c r="E55" s="22">
        <f>SUMIFS('Página 01_Cadastro'!O$6:O$120,'Página 01_Cadastro'!G$6:G$120,'Página 04_Envio_Tipo Bolsa'!A55,'Página 01_Cadastro'!J$6:J$120,'Pag 08_Legendas'!C$8)</f>
        <v>0</v>
      </c>
      <c r="F55" s="22">
        <f>SUMIFS('Página 01_Cadastro'!P$6:P$120,'Página 01_Cadastro'!G$6:G$120,'Página 04_Envio_Tipo Bolsa'!A55,'Página 01_Cadastro'!J$6:J$120,'Pag 08_Legendas'!C$8)</f>
        <v>0</v>
      </c>
      <c r="G55" s="22">
        <f>SUMIFS('Página 01_Cadastro'!Q$6:Q$120,'Página 01_Cadastro'!G$6:G$120,'Página 04_Envio_Tipo Bolsa'!A55,'Página 01_Cadastro'!J$6:J$120,'Pag 08_Legendas'!C$8)</f>
        <v>0</v>
      </c>
      <c r="H55" s="22">
        <f>SUMIFS('Página 01_Cadastro'!R$6:R$120,'Página 01_Cadastro'!G$6:G$120,'Página 04_Envio_Tipo Bolsa'!A55,'Página 01_Cadastro'!J$6:J$120,'Pag 08_Legendas'!C$8)</f>
        <v>0</v>
      </c>
      <c r="I55" s="22">
        <f>SUM(C55:H55)</f>
        <v>0</v>
      </c>
    </row>
    <row r="56" spans="1:9" x14ac:dyDescent="0.2">
      <c r="A56" s="89" t="s">
        <v>5</v>
      </c>
      <c r="B56" s="21">
        <f>COUNTIFS('Página 01_Cadastro'!G$6:G$120,'Página 04_Envio_Tipo Bolsa'!A56,'Página 01_Cadastro'!C$6:C$120,"S",'Página 01_Cadastro'!J$6:J$120,'Pag 08_Legendas'!C$8)</f>
        <v>0</v>
      </c>
      <c r="C56" s="22">
        <f>SUMIFS('Página 01_Cadastro'!M$6:M$120,'Página 01_Cadastro'!G$6:G$120,'Página 04_Envio_Tipo Bolsa'!A56,'Página 01_Cadastro'!J$6:J$120,'Pag 08_Legendas'!C$8)</f>
        <v>0</v>
      </c>
      <c r="D56" s="22">
        <f>SUMIFS('Página 01_Cadastro'!N$6:N$120,'Página 01_Cadastro'!G$6:G$120,'Página 04_Envio_Tipo Bolsa'!A56,'Página 01_Cadastro'!J$6:J$120,'Pag 08_Legendas'!C$8)</f>
        <v>0</v>
      </c>
      <c r="E56" s="22">
        <f>SUMIFS('Página 01_Cadastro'!O$6:O$120,'Página 01_Cadastro'!G$6:G$120,'Página 04_Envio_Tipo Bolsa'!A56,'Página 01_Cadastro'!J$6:J$120,'Pag 08_Legendas'!C$8)</f>
        <v>0</v>
      </c>
      <c r="F56" s="22">
        <f>SUMIFS('Página 01_Cadastro'!P$6:P$120,'Página 01_Cadastro'!G$6:G$120,'Página 04_Envio_Tipo Bolsa'!A56,'Página 01_Cadastro'!J$6:J$120,'Pag 08_Legendas'!C$8)</f>
        <v>0</v>
      </c>
      <c r="G56" s="22">
        <f>SUMIFS('Página 01_Cadastro'!Q$6:Q$120,'Página 01_Cadastro'!G$6:G$120,'Página 04_Envio_Tipo Bolsa'!A56,'Página 01_Cadastro'!J$6:J$120,'Pag 08_Legendas'!C$8)</f>
        <v>0</v>
      </c>
      <c r="H56" s="22">
        <f>SUMIFS('Página 01_Cadastro'!R$6:R$120,'Página 01_Cadastro'!G$6:G$120,'Página 04_Envio_Tipo Bolsa'!A56,'Página 01_Cadastro'!J$6:J$120,'Pag 08_Legendas'!C$8)</f>
        <v>0</v>
      </c>
      <c r="I56" s="22">
        <f t="shared" ref="I56:I62" si="8">SUM(C56:H56)</f>
        <v>0</v>
      </c>
    </row>
    <row r="57" spans="1:9" x14ac:dyDescent="0.2">
      <c r="A57" s="89" t="s">
        <v>1</v>
      </c>
      <c r="B57" s="21">
        <f>COUNTIFS('Página 01_Cadastro'!G$6:G$120,'Página 04_Envio_Tipo Bolsa'!A57,'Página 01_Cadastro'!C$6:C$120,"S",'Página 01_Cadastro'!J$6:J$120,'Pag 08_Legendas'!C$8)</f>
        <v>0</v>
      </c>
      <c r="C57" s="22">
        <f>SUMIFS('Página 01_Cadastro'!M$6:M$120,'Página 01_Cadastro'!G$6:G$120,'Página 04_Envio_Tipo Bolsa'!A57,'Página 01_Cadastro'!J$6:J$120,'Pag 08_Legendas'!C$8)</f>
        <v>0</v>
      </c>
      <c r="D57" s="22">
        <f>SUMIFS('Página 01_Cadastro'!N$6:N$120,'Página 01_Cadastro'!G$6:G$120,'Página 04_Envio_Tipo Bolsa'!A57,'Página 01_Cadastro'!J$6:J$120,'Pag 08_Legendas'!C$8)</f>
        <v>0</v>
      </c>
      <c r="E57" s="22">
        <f>SUMIFS('Página 01_Cadastro'!O$6:O$120,'Página 01_Cadastro'!G$6:G$120,'Página 04_Envio_Tipo Bolsa'!A57,'Página 01_Cadastro'!J$6:J$120,'Pag 08_Legendas'!C$8)</f>
        <v>0</v>
      </c>
      <c r="F57" s="22">
        <f>SUMIFS('Página 01_Cadastro'!P$6:P$120,'Página 01_Cadastro'!G$6:G$120,'Página 04_Envio_Tipo Bolsa'!A57,'Página 01_Cadastro'!J$6:J$120,'Pag 08_Legendas'!C$8)</f>
        <v>0</v>
      </c>
      <c r="G57" s="22">
        <f>SUMIFS('Página 01_Cadastro'!Q$6:Q$120,'Página 01_Cadastro'!G$6:G$120,'Página 04_Envio_Tipo Bolsa'!A57,'Página 01_Cadastro'!J$6:J$120,'Pag 08_Legendas'!C$8)</f>
        <v>0</v>
      </c>
      <c r="H57" s="22">
        <f>SUMIFS('Página 01_Cadastro'!R$6:R$120,'Página 01_Cadastro'!G$6:G$120,'Página 04_Envio_Tipo Bolsa'!A57,'Página 01_Cadastro'!J$6:J$120,'Pag 08_Legendas'!C$8)</f>
        <v>0</v>
      </c>
      <c r="I57" s="22">
        <f t="shared" si="8"/>
        <v>0</v>
      </c>
    </row>
    <row r="58" spans="1:9" x14ac:dyDescent="0.2">
      <c r="A58" s="89" t="s">
        <v>26</v>
      </c>
      <c r="B58" s="21">
        <f>COUNTIFS('Página 01_Cadastro'!G$6:G$120,'Página 04_Envio_Tipo Bolsa'!A58,'Página 01_Cadastro'!C$6:C$120,"S",'Página 01_Cadastro'!J$6:J$120,'Pag 08_Legendas'!C$8)</f>
        <v>0</v>
      </c>
      <c r="C58" s="22">
        <f>SUMIFS('Página 01_Cadastro'!M$6:M$120,'Página 01_Cadastro'!G$6:G$120,'Página 04_Envio_Tipo Bolsa'!A58,'Página 01_Cadastro'!J$6:J$120,'Pag 08_Legendas'!C$8)</f>
        <v>0</v>
      </c>
      <c r="D58" s="22">
        <f>SUMIFS('Página 01_Cadastro'!N$6:N$120,'Página 01_Cadastro'!G$6:G$120,'Página 04_Envio_Tipo Bolsa'!A58,'Página 01_Cadastro'!J$6:J$120,'Pag 08_Legendas'!C$8)</f>
        <v>0</v>
      </c>
      <c r="E58" s="22">
        <f>SUMIFS('Página 01_Cadastro'!O$6:O$120,'Página 01_Cadastro'!G$6:G$120,'Página 04_Envio_Tipo Bolsa'!A58,'Página 01_Cadastro'!J$6:J$120,'Pag 08_Legendas'!C$8)</f>
        <v>0</v>
      </c>
      <c r="F58" s="22">
        <f>SUMIFS('Página 01_Cadastro'!P$6:P$120,'Página 01_Cadastro'!G$6:G$120,'Página 04_Envio_Tipo Bolsa'!A58,'Página 01_Cadastro'!J$6:J$120,'Pag 08_Legendas'!C$8)</f>
        <v>0</v>
      </c>
      <c r="G58" s="22">
        <f>SUMIFS('Página 01_Cadastro'!Q$6:Q$120,'Página 01_Cadastro'!G$6:G$120,'Página 04_Envio_Tipo Bolsa'!A58,'Página 01_Cadastro'!J$6:J$120,'Pag 08_Legendas'!C$8)</f>
        <v>0</v>
      </c>
      <c r="H58" s="22">
        <f>SUMIFS('Página 01_Cadastro'!R$6:R$120,'Página 01_Cadastro'!G$6:G$120,'Página 04_Envio_Tipo Bolsa'!A58,'Página 01_Cadastro'!J$6:J$120,'Pag 08_Legendas'!C$8)</f>
        <v>0</v>
      </c>
      <c r="I58" s="22">
        <f t="shared" si="8"/>
        <v>0</v>
      </c>
    </row>
    <row r="59" spans="1:9" x14ac:dyDescent="0.2">
      <c r="A59" s="89" t="s">
        <v>2</v>
      </c>
      <c r="B59" s="21">
        <f>COUNTIFS('Página 01_Cadastro'!G$6:G$120,'Página 04_Envio_Tipo Bolsa'!A59,'Página 01_Cadastro'!C$6:C$120,"S",'Página 01_Cadastro'!J$6:J$120,'Pag 08_Legendas'!C$8)</f>
        <v>0</v>
      </c>
      <c r="C59" s="22">
        <f>SUMIFS('Página 01_Cadastro'!M$6:M$120,'Página 01_Cadastro'!G$6:G$120,'Página 04_Envio_Tipo Bolsa'!A59,'Página 01_Cadastro'!J$6:J$120,'Pag 08_Legendas'!C$8)</f>
        <v>0</v>
      </c>
      <c r="D59" s="22">
        <f>SUMIFS('Página 01_Cadastro'!N$6:N$120,'Página 01_Cadastro'!G$6:G$120,'Página 04_Envio_Tipo Bolsa'!A59,'Página 01_Cadastro'!J$6:J$120,'Pag 08_Legendas'!C$8)</f>
        <v>0</v>
      </c>
      <c r="E59" s="22">
        <f>SUMIFS('Página 01_Cadastro'!O$6:O$120,'Página 01_Cadastro'!G$6:G$120,'Página 04_Envio_Tipo Bolsa'!A59,'Página 01_Cadastro'!J$6:J$120,'Pag 08_Legendas'!C$8)</f>
        <v>0</v>
      </c>
      <c r="F59" s="22">
        <f>SUMIFS('Página 01_Cadastro'!P$6:P$120,'Página 01_Cadastro'!G$6:G$120,'Página 04_Envio_Tipo Bolsa'!A59,'Página 01_Cadastro'!J$6:J$120,'Pag 08_Legendas'!C$8)</f>
        <v>0</v>
      </c>
      <c r="G59" s="22">
        <f>SUMIFS('Página 01_Cadastro'!Q$6:Q$120,'Página 01_Cadastro'!G$6:G$120,'Página 04_Envio_Tipo Bolsa'!A59,'Página 01_Cadastro'!J$6:J$120,'Pag 08_Legendas'!C$8)</f>
        <v>0</v>
      </c>
      <c r="H59" s="22">
        <f>SUMIFS('Página 01_Cadastro'!R$6:R$120,'Página 01_Cadastro'!G$6:G$120,'Página 04_Envio_Tipo Bolsa'!A59,'Página 01_Cadastro'!J$6:J$120,'Pag 08_Legendas'!C$8)</f>
        <v>0</v>
      </c>
      <c r="I59" s="22">
        <f t="shared" si="8"/>
        <v>0</v>
      </c>
    </row>
    <row r="60" spans="1:9" x14ac:dyDescent="0.2">
      <c r="A60" s="89" t="s">
        <v>4</v>
      </c>
      <c r="B60" s="21">
        <f>COUNTIFS('Página 01_Cadastro'!G$6:G$120,'Página 04_Envio_Tipo Bolsa'!A60,'Página 01_Cadastro'!C$6:C$120,"S",'Página 01_Cadastro'!J$6:J$120,'Pag 08_Legendas'!C$8)</f>
        <v>0</v>
      </c>
      <c r="C60" s="22">
        <f>SUMIFS('Página 01_Cadastro'!M$6:M$120,'Página 01_Cadastro'!G$6:G$120,'Página 04_Envio_Tipo Bolsa'!A60,'Página 01_Cadastro'!J$6:J$120,'Pag 08_Legendas'!C$8)</f>
        <v>0</v>
      </c>
      <c r="D60" s="22">
        <f>SUMIFS('Página 01_Cadastro'!N$6:N$120,'Página 01_Cadastro'!G$6:G$120,'Página 04_Envio_Tipo Bolsa'!A60,'Página 01_Cadastro'!J$6:J$120,'Pag 08_Legendas'!C$8)</f>
        <v>0</v>
      </c>
      <c r="E60" s="22">
        <f>SUMIFS('Página 01_Cadastro'!O$6:O$120,'Página 01_Cadastro'!G$6:G$120,'Página 04_Envio_Tipo Bolsa'!A60,'Página 01_Cadastro'!J$6:J$120,'Pag 08_Legendas'!C$8)</f>
        <v>0</v>
      </c>
      <c r="F60" s="22">
        <f>SUMIFS('Página 01_Cadastro'!P$6:P$120,'Página 01_Cadastro'!G$6:G$120,'Página 04_Envio_Tipo Bolsa'!A60,'Página 01_Cadastro'!J$6:J$120,'Pag 08_Legendas'!C$8)</f>
        <v>0</v>
      </c>
      <c r="G60" s="22">
        <f>SUMIFS('Página 01_Cadastro'!Q$6:Q$120,'Página 01_Cadastro'!G$6:G$120,'Página 04_Envio_Tipo Bolsa'!A60,'Página 01_Cadastro'!J$6:J$120,'Pag 08_Legendas'!C$8)</f>
        <v>0</v>
      </c>
      <c r="H60" s="22">
        <f>SUMIFS('Página 01_Cadastro'!R$6:R$120,'Página 01_Cadastro'!G$6:G$120,'Página 04_Envio_Tipo Bolsa'!A60,'Página 01_Cadastro'!J$6:J$120,'Pag 08_Legendas'!C$8)</f>
        <v>0</v>
      </c>
      <c r="I60" s="22">
        <f t="shared" si="8"/>
        <v>0</v>
      </c>
    </row>
    <row r="61" spans="1:9" x14ac:dyDescent="0.2">
      <c r="A61" s="89" t="s">
        <v>3</v>
      </c>
      <c r="B61" s="21">
        <f>COUNTIFS('Página 01_Cadastro'!G$6:G$120,'Página 04_Envio_Tipo Bolsa'!A61,'Página 01_Cadastro'!C$6:C$120,"S",'Página 01_Cadastro'!J$6:J$120,'Pag 08_Legendas'!C$8)</f>
        <v>0</v>
      </c>
      <c r="C61" s="22">
        <f>SUMIFS('Página 01_Cadastro'!M$6:M$120,'Página 01_Cadastro'!G$6:G$120,'Página 04_Envio_Tipo Bolsa'!A61,'Página 01_Cadastro'!J$6:J$120,'Pag 08_Legendas'!C$8)</f>
        <v>0</v>
      </c>
      <c r="D61" s="22">
        <f>SUMIFS('Página 01_Cadastro'!N$6:N$120,'Página 01_Cadastro'!G$6:G$120,'Página 04_Envio_Tipo Bolsa'!A61,'Página 01_Cadastro'!J$6:J$120,'Pag 08_Legendas'!C$8)</f>
        <v>0</v>
      </c>
      <c r="E61" s="22">
        <f>SUMIFS('Página 01_Cadastro'!O$6:O$120,'Página 01_Cadastro'!G$6:G$120,'Página 04_Envio_Tipo Bolsa'!A61,'Página 01_Cadastro'!J$6:J$120,'Pag 08_Legendas'!C$8)</f>
        <v>0</v>
      </c>
      <c r="F61" s="22">
        <f>SUMIFS('Página 01_Cadastro'!P$6:P$120,'Página 01_Cadastro'!G$6:G$120,'Página 04_Envio_Tipo Bolsa'!A61,'Página 01_Cadastro'!J$6:J$120,'Pag 08_Legendas'!C$8)</f>
        <v>0</v>
      </c>
      <c r="G61" s="22">
        <f>SUMIFS('Página 01_Cadastro'!Q$6:Q$120,'Página 01_Cadastro'!G$6:G$120,'Página 04_Envio_Tipo Bolsa'!A61,'Página 01_Cadastro'!J$6:J$120,'Pag 08_Legendas'!C$8)</f>
        <v>0</v>
      </c>
      <c r="H61" s="22">
        <f>SUMIFS('Página 01_Cadastro'!R$6:R$120,'Página 01_Cadastro'!G$6:G$120,'Página 04_Envio_Tipo Bolsa'!A61,'Página 01_Cadastro'!J$6:J$120,'Pag 08_Legendas'!C$8)</f>
        <v>0</v>
      </c>
      <c r="I61" s="22">
        <f t="shared" si="8"/>
        <v>0</v>
      </c>
    </row>
    <row r="62" spans="1:9" x14ac:dyDescent="0.2">
      <c r="A62" s="43" t="s">
        <v>6</v>
      </c>
      <c r="B62" s="31">
        <f>SUM(B55:B61)</f>
        <v>0</v>
      </c>
      <c r="C62" s="33">
        <f t="shared" ref="C62:H62" si="9">SUM(C55:C61)</f>
        <v>0</v>
      </c>
      <c r="D62" s="33">
        <f t="shared" si="9"/>
        <v>0</v>
      </c>
      <c r="E62" s="33">
        <f t="shared" si="9"/>
        <v>0</v>
      </c>
      <c r="F62" s="33">
        <f t="shared" si="9"/>
        <v>0</v>
      </c>
      <c r="G62" s="33">
        <f t="shared" si="9"/>
        <v>0</v>
      </c>
      <c r="H62" s="33">
        <f t="shared" si="9"/>
        <v>0</v>
      </c>
      <c r="I62" s="33">
        <f t="shared" si="8"/>
        <v>0</v>
      </c>
    </row>
    <row r="64" spans="1:9" x14ac:dyDescent="0.2">
      <c r="A64" s="174" t="s">
        <v>79</v>
      </c>
      <c r="B64" s="174"/>
      <c r="C64" s="174"/>
      <c r="D64" s="174"/>
      <c r="E64" s="174"/>
      <c r="F64" s="174"/>
      <c r="G64" s="174"/>
      <c r="H64" s="174"/>
      <c r="I64" s="174"/>
    </row>
    <row r="66" spans="1:9" ht="25.5" x14ac:dyDescent="0.2">
      <c r="A66" s="35" t="s">
        <v>25</v>
      </c>
      <c r="B66" s="36" t="s">
        <v>27</v>
      </c>
      <c r="C66" s="36" t="s">
        <v>16</v>
      </c>
      <c r="D66" s="37" t="s">
        <v>17</v>
      </c>
      <c r="E66" s="37" t="s">
        <v>18</v>
      </c>
      <c r="F66" s="37" t="s">
        <v>19</v>
      </c>
      <c r="G66" s="37" t="s">
        <v>20</v>
      </c>
      <c r="H66" s="37" t="s">
        <v>21</v>
      </c>
      <c r="I66" s="37" t="s">
        <v>28</v>
      </c>
    </row>
    <row r="67" spans="1:9" x14ac:dyDescent="0.2">
      <c r="A67" s="89" t="s">
        <v>0</v>
      </c>
      <c r="B67" s="21">
        <f>COUNTIFS('Página 01_Cadastro'!G$6:G$120,'Página 04_Envio_Tipo Bolsa'!A67,'Página 01_Cadastro'!C$6:C$120,"S",'Página 01_Cadastro'!J$6:J$120,'Pag 08_Legendas'!C$9)</f>
        <v>0</v>
      </c>
      <c r="C67" s="22">
        <f>SUMIFS('Página 01_Cadastro'!M$6:M$120,'Página 01_Cadastro'!G$6:G$120,'Página 04_Envio_Tipo Bolsa'!A67,'Página 01_Cadastro'!J$6:J$120,'Pag 08_Legendas'!C$9)</f>
        <v>0</v>
      </c>
      <c r="D67" s="22">
        <f>SUMIFS('Página 01_Cadastro'!N$6:N$120,'Página 01_Cadastro'!G$6:G$120,'Página 04_Envio_Tipo Bolsa'!A67,'Página 01_Cadastro'!J$6:J$120,'Pag 08_Legendas'!C$9)</f>
        <v>0</v>
      </c>
      <c r="E67" s="22">
        <f>SUMIFS('Página 01_Cadastro'!O$6:O$120,'Página 01_Cadastro'!G$6:G$120,'Página 04_Envio_Tipo Bolsa'!A67,'Página 01_Cadastro'!J$6:J$120,'Pag 08_Legendas'!C$9)</f>
        <v>0</v>
      </c>
      <c r="F67" s="22">
        <f>SUMIFS('Página 01_Cadastro'!P$6:P$120,'Página 01_Cadastro'!G$6:G$120,'Página 04_Envio_Tipo Bolsa'!A67,'Página 01_Cadastro'!J$6:J$120,'Pag 08_Legendas'!C$9)</f>
        <v>0</v>
      </c>
      <c r="G67" s="22">
        <f>SUMIFS('Página 01_Cadastro'!Q$6:Q$120,'Página 01_Cadastro'!G$6:G$120,'Página 04_Envio_Tipo Bolsa'!A67,'Página 01_Cadastro'!J$6:J$120,'Pag 08_Legendas'!C$9)</f>
        <v>0</v>
      </c>
      <c r="H67" s="22">
        <f>SUMIFS('Página 01_Cadastro'!R$6:R$120,'Página 01_Cadastro'!G$6:G$120,'Página 04_Envio_Tipo Bolsa'!A67,'Página 01_Cadastro'!J$6:J$120,'Pag 08_Legendas'!C$9)</f>
        <v>0</v>
      </c>
      <c r="I67" s="22">
        <f>SUM(C67:H67)</f>
        <v>0</v>
      </c>
    </row>
    <row r="68" spans="1:9" x14ac:dyDescent="0.2">
      <c r="A68" s="89" t="s">
        <v>5</v>
      </c>
      <c r="B68" s="21">
        <f>COUNTIFS('Página 01_Cadastro'!G$6:G$120,'Página 04_Envio_Tipo Bolsa'!A68,'Página 01_Cadastro'!C$6:C$120,"S",'Página 01_Cadastro'!J$6:J$120,'Pag 08_Legendas'!C$9)</f>
        <v>0</v>
      </c>
      <c r="C68" s="22">
        <f>SUMIFS('Página 01_Cadastro'!M$6:M$120,'Página 01_Cadastro'!G$6:G$120,'Página 04_Envio_Tipo Bolsa'!A68,'Página 01_Cadastro'!J$6:J$120,'Pag 08_Legendas'!C$9)</f>
        <v>0</v>
      </c>
      <c r="D68" s="22">
        <f>SUMIFS('Página 01_Cadastro'!N$6:N$120,'Página 01_Cadastro'!G$6:G$120,'Página 04_Envio_Tipo Bolsa'!A68,'Página 01_Cadastro'!J$6:J$120,'Pag 08_Legendas'!C$9)</f>
        <v>0</v>
      </c>
      <c r="E68" s="22">
        <f>SUMIFS('Página 01_Cadastro'!O$6:O$120,'Página 01_Cadastro'!G$6:G$120,'Página 04_Envio_Tipo Bolsa'!A68,'Página 01_Cadastro'!J$6:J$120,'Pag 08_Legendas'!C$9)</f>
        <v>0</v>
      </c>
      <c r="F68" s="22">
        <f>SUMIFS('Página 01_Cadastro'!P$6:P$120,'Página 01_Cadastro'!G$6:G$120,'Página 04_Envio_Tipo Bolsa'!A68,'Página 01_Cadastro'!J$6:J$120,'Pag 08_Legendas'!C$9)</f>
        <v>0</v>
      </c>
      <c r="G68" s="22">
        <f>SUMIFS('Página 01_Cadastro'!Q$6:Q$120,'Página 01_Cadastro'!G$6:G$120,'Página 04_Envio_Tipo Bolsa'!A68,'Página 01_Cadastro'!J$6:J$120,'Pag 08_Legendas'!C$9)</f>
        <v>0</v>
      </c>
      <c r="H68" s="22">
        <f>SUMIFS('Página 01_Cadastro'!R$6:R$120,'Página 01_Cadastro'!G$6:G$120,'Página 04_Envio_Tipo Bolsa'!A68,'Página 01_Cadastro'!J$6:J$120,'Pag 08_Legendas'!C$9)</f>
        <v>0</v>
      </c>
      <c r="I68" s="22">
        <f t="shared" ref="I68:I74" si="10">SUM(C68:H68)</f>
        <v>0</v>
      </c>
    </row>
    <row r="69" spans="1:9" x14ac:dyDescent="0.2">
      <c r="A69" s="89" t="s">
        <v>1</v>
      </c>
      <c r="B69" s="21">
        <f>COUNTIFS('Página 01_Cadastro'!G$6:G$120,'Página 04_Envio_Tipo Bolsa'!A69,'Página 01_Cadastro'!C$6:C$120,"S",'Página 01_Cadastro'!J$6:J$120,'Pag 08_Legendas'!C$9)</f>
        <v>0</v>
      </c>
      <c r="C69" s="22">
        <f>SUMIFS('Página 01_Cadastro'!M$6:M$120,'Página 01_Cadastro'!G$6:G$120,'Página 04_Envio_Tipo Bolsa'!A69,'Página 01_Cadastro'!J$6:J$120,'Pag 08_Legendas'!C$9)</f>
        <v>0</v>
      </c>
      <c r="D69" s="22">
        <f>SUMIFS('Página 01_Cadastro'!N$6:N$120,'Página 01_Cadastro'!G$6:G$120,'Página 04_Envio_Tipo Bolsa'!A69,'Página 01_Cadastro'!J$6:J$120,'Pag 08_Legendas'!C$9)</f>
        <v>0</v>
      </c>
      <c r="E69" s="22">
        <f>SUMIFS('Página 01_Cadastro'!O$6:O$120,'Página 01_Cadastro'!G$6:G$120,'Página 04_Envio_Tipo Bolsa'!A69,'Página 01_Cadastro'!J$6:J$120,'Pag 08_Legendas'!C$9)</f>
        <v>0</v>
      </c>
      <c r="F69" s="22">
        <f>SUMIFS('Página 01_Cadastro'!P$6:P$120,'Página 01_Cadastro'!G$6:G$120,'Página 04_Envio_Tipo Bolsa'!A69,'Página 01_Cadastro'!J$6:J$120,'Pag 08_Legendas'!C$9)</f>
        <v>0</v>
      </c>
      <c r="G69" s="22">
        <f>SUMIFS('Página 01_Cadastro'!Q$6:Q$120,'Página 01_Cadastro'!G$6:G$120,'Página 04_Envio_Tipo Bolsa'!A69,'Página 01_Cadastro'!J$6:J$120,'Pag 08_Legendas'!C$9)</f>
        <v>0</v>
      </c>
      <c r="H69" s="22">
        <f>SUMIFS('Página 01_Cadastro'!R$6:R$120,'Página 01_Cadastro'!G$6:G$120,'Página 04_Envio_Tipo Bolsa'!A69,'Página 01_Cadastro'!J$6:J$120,'Pag 08_Legendas'!C$9)</f>
        <v>0</v>
      </c>
      <c r="I69" s="22">
        <f t="shared" si="10"/>
        <v>0</v>
      </c>
    </row>
    <row r="70" spans="1:9" x14ac:dyDescent="0.2">
      <c r="A70" s="89" t="s">
        <v>26</v>
      </c>
      <c r="B70" s="21">
        <f>COUNTIFS('Página 01_Cadastro'!G$6:G$120,'Página 04_Envio_Tipo Bolsa'!A70,'Página 01_Cadastro'!C$6:C$120,"S",'Página 01_Cadastro'!J$6:J$120,'Pag 08_Legendas'!C$9)</f>
        <v>0</v>
      </c>
      <c r="C70" s="22">
        <f>SUMIFS('Página 01_Cadastro'!M$6:M$120,'Página 01_Cadastro'!G$6:G$120,'Página 04_Envio_Tipo Bolsa'!A70,'Página 01_Cadastro'!J$6:J$120,'Pag 08_Legendas'!C$9)</f>
        <v>0</v>
      </c>
      <c r="D70" s="22">
        <f>SUMIFS('Página 01_Cadastro'!N$6:N$120,'Página 01_Cadastro'!G$6:G$120,'Página 04_Envio_Tipo Bolsa'!A70,'Página 01_Cadastro'!J$6:J$120,'Pag 08_Legendas'!C$9)</f>
        <v>0</v>
      </c>
      <c r="E70" s="22">
        <f>SUMIFS('Página 01_Cadastro'!O$6:O$120,'Página 01_Cadastro'!G$6:G$120,'Página 04_Envio_Tipo Bolsa'!A70,'Página 01_Cadastro'!J$6:J$120,'Pag 08_Legendas'!C$9)</f>
        <v>0</v>
      </c>
      <c r="F70" s="22">
        <f>SUMIFS('Página 01_Cadastro'!P$6:P$120,'Página 01_Cadastro'!G$6:G$120,'Página 04_Envio_Tipo Bolsa'!A70,'Página 01_Cadastro'!J$6:J$120,'Pag 08_Legendas'!C$9)</f>
        <v>0</v>
      </c>
      <c r="G70" s="22">
        <f>SUMIFS('Página 01_Cadastro'!Q$6:Q$120,'Página 01_Cadastro'!G$6:G$120,'Página 04_Envio_Tipo Bolsa'!A70,'Página 01_Cadastro'!J$6:J$120,'Pag 08_Legendas'!C$9)</f>
        <v>0</v>
      </c>
      <c r="H70" s="22">
        <f>SUMIFS('Página 01_Cadastro'!R$6:R$120,'Página 01_Cadastro'!G$6:G$120,'Página 04_Envio_Tipo Bolsa'!A70,'Página 01_Cadastro'!J$6:J$120,'Pag 08_Legendas'!C$9)</f>
        <v>0</v>
      </c>
      <c r="I70" s="22">
        <f t="shared" si="10"/>
        <v>0</v>
      </c>
    </row>
    <row r="71" spans="1:9" x14ac:dyDescent="0.2">
      <c r="A71" s="89" t="s">
        <v>2</v>
      </c>
      <c r="B71" s="21">
        <f>COUNTIFS('Página 01_Cadastro'!G$6:G$120,'Página 04_Envio_Tipo Bolsa'!A71,'Página 01_Cadastro'!C$6:C$120,"S",'Página 01_Cadastro'!J$6:J$120,'Pag 08_Legendas'!C$9)</f>
        <v>0</v>
      </c>
      <c r="C71" s="22">
        <f>SUMIFS('Página 01_Cadastro'!M$6:M$120,'Página 01_Cadastro'!G$6:G$120,'Página 04_Envio_Tipo Bolsa'!A71,'Página 01_Cadastro'!J$6:J$120,'Pag 08_Legendas'!C$9)</f>
        <v>0</v>
      </c>
      <c r="D71" s="22">
        <f>SUMIFS('Página 01_Cadastro'!N$6:N$120,'Página 01_Cadastro'!G$6:G$120,'Página 04_Envio_Tipo Bolsa'!A71,'Página 01_Cadastro'!J$6:J$120,'Pag 08_Legendas'!C$9)</f>
        <v>0</v>
      </c>
      <c r="E71" s="22">
        <f>SUMIFS('Página 01_Cadastro'!O$6:O$120,'Página 01_Cadastro'!G$6:G$120,'Página 04_Envio_Tipo Bolsa'!A71,'Página 01_Cadastro'!J$6:J$120,'Pag 08_Legendas'!C$9)</f>
        <v>0</v>
      </c>
      <c r="F71" s="22">
        <f>SUMIFS('Página 01_Cadastro'!P$6:P$120,'Página 01_Cadastro'!G$6:G$120,'Página 04_Envio_Tipo Bolsa'!A71,'Página 01_Cadastro'!J$6:J$120,'Pag 08_Legendas'!C$9)</f>
        <v>0</v>
      </c>
      <c r="G71" s="22">
        <f>SUMIFS('Página 01_Cadastro'!Q$6:Q$120,'Página 01_Cadastro'!G$6:G$120,'Página 04_Envio_Tipo Bolsa'!A71,'Página 01_Cadastro'!J$6:J$120,'Pag 08_Legendas'!C$9)</f>
        <v>0</v>
      </c>
      <c r="H71" s="22">
        <f>SUMIFS('Página 01_Cadastro'!R$6:R$120,'Página 01_Cadastro'!G$6:G$120,'Página 04_Envio_Tipo Bolsa'!A71,'Página 01_Cadastro'!J$6:J$120,'Pag 08_Legendas'!C$9)</f>
        <v>0</v>
      </c>
      <c r="I71" s="22">
        <f t="shared" si="10"/>
        <v>0</v>
      </c>
    </row>
    <row r="72" spans="1:9" x14ac:dyDescent="0.2">
      <c r="A72" s="89" t="s">
        <v>4</v>
      </c>
      <c r="B72" s="21">
        <f>COUNTIFS('Página 01_Cadastro'!G$6:G$120,'Página 04_Envio_Tipo Bolsa'!A72,'Página 01_Cadastro'!C$6:C$120,"S",'Página 01_Cadastro'!J$6:J$120,'Pag 08_Legendas'!C$9)</f>
        <v>0</v>
      </c>
      <c r="C72" s="22">
        <f>SUMIFS('Página 01_Cadastro'!M$6:M$120,'Página 01_Cadastro'!G$6:G$120,'Página 04_Envio_Tipo Bolsa'!A72,'Página 01_Cadastro'!J$6:J$120,'Pag 08_Legendas'!C$9)</f>
        <v>0</v>
      </c>
      <c r="D72" s="22">
        <f>SUMIFS('Página 01_Cadastro'!N$6:N$120,'Página 01_Cadastro'!G$6:G$120,'Página 04_Envio_Tipo Bolsa'!A72,'Página 01_Cadastro'!J$6:J$120,'Pag 08_Legendas'!C$9)</f>
        <v>0</v>
      </c>
      <c r="E72" s="22">
        <f>SUMIFS('Página 01_Cadastro'!O$6:O$120,'Página 01_Cadastro'!G$6:G$120,'Página 04_Envio_Tipo Bolsa'!A72,'Página 01_Cadastro'!J$6:J$120,'Pag 08_Legendas'!C$9)</f>
        <v>0</v>
      </c>
      <c r="F72" s="22">
        <f>SUMIFS('Página 01_Cadastro'!P$6:P$120,'Página 01_Cadastro'!G$6:G$120,'Página 04_Envio_Tipo Bolsa'!A72,'Página 01_Cadastro'!J$6:J$120,'Pag 08_Legendas'!C$9)</f>
        <v>0</v>
      </c>
      <c r="G72" s="22">
        <f>SUMIFS('Página 01_Cadastro'!Q$6:Q$120,'Página 01_Cadastro'!G$6:G$120,'Página 04_Envio_Tipo Bolsa'!A72,'Página 01_Cadastro'!J$6:J$120,'Pag 08_Legendas'!C$9)</f>
        <v>0</v>
      </c>
      <c r="H72" s="22">
        <f>SUMIFS('Página 01_Cadastro'!R$6:R$120,'Página 01_Cadastro'!G$6:G$120,'Página 04_Envio_Tipo Bolsa'!A72,'Página 01_Cadastro'!J$6:J$120,'Pag 08_Legendas'!C$9)</f>
        <v>0</v>
      </c>
      <c r="I72" s="22">
        <f t="shared" si="10"/>
        <v>0</v>
      </c>
    </row>
    <row r="73" spans="1:9" x14ac:dyDescent="0.2">
      <c r="A73" s="89" t="s">
        <v>3</v>
      </c>
      <c r="B73" s="21">
        <f>COUNTIFS('Página 01_Cadastro'!G$6:G$120,'Página 04_Envio_Tipo Bolsa'!A73,'Página 01_Cadastro'!C$6:C$120,"S",'Página 01_Cadastro'!J$6:J$120,'Pag 08_Legendas'!C$9)</f>
        <v>0</v>
      </c>
      <c r="C73" s="22">
        <f>SUMIFS('Página 01_Cadastro'!M$6:M$120,'Página 01_Cadastro'!G$6:G$120,'Página 04_Envio_Tipo Bolsa'!A73,'Página 01_Cadastro'!J$6:J$120,'Pag 08_Legendas'!C$9)</f>
        <v>0</v>
      </c>
      <c r="D73" s="22">
        <f>SUMIFS('Página 01_Cadastro'!N$6:N$120,'Página 01_Cadastro'!G$6:G$120,'Página 04_Envio_Tipo Bolsa'!A73,'Página 01_Cadastro'!J$6:J$120,'Pag 08_Legendas'!C$9)</f>
        <v>0</v>
      </c>
      <c r="E73" s="22">
        <f>SUMIFS('Página 01_Cadastro'!O$6:O$120,'Página 01_Cadastro'!G$6:G$120,'Página 04_Envio_Tipo Bolsa'!A73,'Página 01_Cadastro'!J$6:J$120,'Pag 08_Legendas'!C$9)</f>
        <v>0</v>
      </c>
      <c r="F73" s="22">
        <f>SUMIFS('Página 01_Cadastro'!P$6:P$120,'Página 01_Cadastro'!G$6:G$120,'Página 04_Envio_Tipo Bolsa'!A73,'Página 01_Cadastro'!J$6:J$120,'Pag 08_Legendas'!C$9)</f>
        <v>0</v>
      </c>
      <c r="G73" s="22">
        <f>SUMIFS('Página 01_Cadastro'!Q$6:Q$120,'Página 01_Cadastro'!G$6:G$120,'Página 04_Envio_Tipo Bolsa'!A73,'Página 01_Cadastro'!J$6:J$120,'Pag 08_Legendas'!C$9)</f>
        <v>0</v>
      </c>
      <c r="H73" s="22">
        <f>SUMIFS('Página 01_Cadastro'!R$6:R$120,'Página 01_Cadastro'!G$6:G$120,'Página 04_Envio_Tipo Bolsa'!A73,'Página 01_Cadastro'!J$6:J$120,'Pag 08_Legendas'!C$9)</f>
        <v>0</v>
      </c>
      <c r="I73" s="22">
        <f t="shared" si="10"/>
        <v>0</v>
      </c>
    </row>
    <row r="74" spans="1:9" x14ac:dyDescent="0.2">
      <c r="A74" s="43" t="s">
        <v>6</v>
      </c>
      <c r="B74" s="31">
        <f>SUM(B67:B73)</f>
        <v>0</v>
      </c>
      <c r="C74" s="33">
        <f t="shared" ref="C74:H74" si="11">SUM(C67:C73)</f>
        <v>0</v>
      </c>
      <c r="D74" s="33">
        <f t="shared" si="11"/>
        <v>0</v>
      </c>
      <c r="E74" s="33">
        <f t="shared" si="11"/>
        <v>0</v>
      </c>
      <c r="F74" s="33">
        <f t="shared" si="11"/>
        <v>0</v>
      </c>
      <c r="G74" s="33">
        <f t="shared" si="11"/>
        <v>0</v>
      </c>
      <c r="H74" s="33">
        <f t="shared" si="11"/>
        <v>0</v>
      </c>
      <c r="I74" s="33">
        <f t="shared" si="10"/>
        <v>0</v>
      </c>
    </row>
    <row r="76" spans="1:9" x14ac:dyDescent="0.2">
      <c r="A76" s="174" t="s">
        <v>78</v>
      </c>
      <c r="B76" s="174"/>
      <c r="C76" s="174"/>
      <c r="D76" s="174"/>
      <c r="E76" s="174"/>
      <c r="F76" s="174"/>
      <c r="G76" s="174"/>
      <c r="H76" s="174"/>
      <c r="I76" s="174"/>
    </row>
    <row r="78" spans="1:9" ht="25.5" x14ac:dyDescent="0.2">
      <c r="A78" s="35" t="s">
        <v>25</v>
      </c>
      <c r="B78" s="36" t="s">
        <v>27</v>
      </c>
      <c r="C78" s="36" t="s">
        <v>16</v>
      </c>
      <c r="D78" s="37" t="s">
        <v>17</v>
      </c>
      <c r="E78" s="37" t="s">
        <v>18</v>
      </c>
      <c r="F78" s="37" t="s">
        <v>19</v>
      </c>
      <c r="G78" s="37" t="s">
        <v>20</v>
      </c>
      <c r="H78" s="37" t="s">
        <v>21</v>
      </c>
      <c r="I78" s="37" t="s">
        <v>28</v>
      </c>
    </row>
    <row r="79" spans="1:9" x14ac:dyDescent="0.2">
      <c r="A79" s="89" t="s">
        <v>0</v>
      </c>
      <c r="B79" s="21">
        <f>COUNTIFS('Página 01_Cadastro'!G$6:G$120,'Página 04_Envio_Tipo Bolsa'!A79,'Página 01_Cadastro'!C$6:C$120,"S",'Página 01_Cadastro'!J$6:J$120,'Pag 08_Legendas'!C$4)</f>
        <v>0</v>
      </c>
      <c r="C79" s="22">
        <f>SUMIFS('Página 01_Cadastro'!M$6:M$120,'Página 01_Cadastro'!G$6:G$120,'Página 04_Envio_Tipo Bolsa'!A79,'Página 01_Cadastro'!J$6:J$120,'Pag 08_Legendas'!C$4)</f>
        <v>0</v>
      </c>
      <c r="D79" s="22">
        <f>SUMIFS('Página 01_Cadastro'!N$6:N$120,'Página 01_Cadastro'!G$6:G$120,'Página 04_Envio_Tipo Bolsa'!A79,'Página 01_Cadastro'!J$6:J$120,'Pag 08_Legendas'!C$4)</f>
        <v>0</v>
      </c>
      <c r="E79" s="22">
        <f>SUMIFS('Página 01_Cadastro'!O$6:O$120,'Página 01_Cadastro'!G$6:G$120,'Página 04_Envio_Tipo Bolsa'!A79,'Página 01_Cadastro'!J$6:J$120,'Pag 08_Legendas'!C$4)</f>
        <v>0</v>
      </c>
      <c r="F79" s="22">
        <f>SUMIFS('Página 01_Cadastro'!P$6:P$120,'Página 01_Cadastro'!G$6:G$120,'Página 04_Envio_Tipo Bolsa'!A79,'Página 01_Cadastro'!J$6:J$120,'Pag 08_Legendas'!C$4)</f>
        <v>0</v>
      </c>
      <c r="G79" s="22">
        <f>SUMIFS('Página 01_Cadastro'!Q$6:Q$120,'Página 01_Cadastro'!G$6:G$120,'Página 04_Envio_Tipo Bolsa'!A79,'Página 01_Cadastro'!J$6:J$120,'Pag 08_Legendas'!C$4)</f>
        <v>0</v>
      </c>
      <c r="H79" s="22">
        <f>SUMIFS('Página 01_Cadastro'!R$6:R$120,'Página 01_Cadastro'!G$6:G$120,'Página 04_Envio_Tipo Bolsa'!A79,'Página 01_Cadastro'!J$6:J$120,'Pag 08_Legendas'!C$4)</f>
        <v>0</v>
      </c>
      <c r="I79" s="22">
        <f>SUM(C79:H79)</f>
        <v>0</v>
      </c>
    </row>
    <row r="80" spans="1:9" x14ac:dyDescent="0.2">
      <c r="A80" s="89" t="s">
        <v>5</v>
      </c>
      <c r="B80" s="21">
        <f>COUNTIFS('Página 01_Cadastro'!G$6:G$120,'Página 04_Envio_Tipo Bolsa'!A80,'Página 01_Cadastro'!C$6:C$120,"S",'Página 01_Cadastro'!J$6:J$120,'Pag 08_Legendas'!C$4)</f>
        <v>0</v>
      </c>
      <c r="C80" s="22">
        <f>SUMIFS('Página 01_Cadastro'!M$6:M$120,'Página 01_Cadastro'!G$6:G$120,'Página 04_Envio_Tipo Bolsa'!A80,'Página 01_Cadastro'!J$6:J$120,'Pag 08_Legendas'!C$4)</f>
        <v>0</v>
      </c>
      <c r="D80" s="22">
        <f>SUMIFS('Página 01_Cadastro'!N$6:N$120,'Página 01_Cadastro'!G$6:G$120,'Página 04_Envio_Tipo Bolsa'!A80,'Página 01_Cadastro'!J$6:J$120,'Pag 08_Legendas'!C$4)</f>
        <v>0</v>
      </c>
      <c r="E80" s="22">
        <f>SUMIFS('Página 01_Cadastro'!O$6:O$120,'Página 01_Cadastro'!G$6:G$120,'Página 04_Envio_Tipo Bolsa'!A80,'Página 01_Cadastro'!J$6:J$120,'Pag 08_Legendas'!C$4)</f>
        <v>0</v>
      </c>
      <c r="F80" s="22">
        <f>SUMIFS('Página 01_Cadastro'!P$6:P$120,'Página 01_Cadastro'!G$6:G$120,'Página 04_Envio_Tipo Bolsa'!A80,'Página 01_Cadastro'!J$6:J$120,'Pag 08_Legendas'!C$4)</f>
        <v>0</v>
      </c>
      <c r="G80" s="22">
        <f>SUMIFS('Página 01_Cadastro'!Q$6:Q$120,'Página 01_Cadastro'!G$6:G$120,'Página 04_Envio_Tipo Bolsa'!A80,'Página 01_Cadastro'!J$6:J$120,'Pag 08_Legendas'!C$4)</f>
        <v>0</v>
      </c>
      <c r="H80" s="22">
        <f>SUMIFS('Página 01_Cadastro'!R$6:R$120,'Página 01_Cadastro'!G$6:G$120,'Página 04_Envio_Tipo Bolsa'!A80,'Página 01_Cadastro'!J$6:J$120,'Pag 08_Legendas'!C$4)</f>
        <v>0</v>
      </c>
      <c r="I80" s="22">
        <f t="shared" ref="I80:I86" si="12">SUM(C80:H80)</f>
        <v>0</v>
      </c>
    </row>
    <row r="81" spans="1:9" x14ac:dyDescent="0.2">
      <c r="A81" s="89" t="s">
        <v>1</v>
      </c>
      <c r="B81" s="21">
        <f>COUNTIFS('Página 01_Cadastro'!G$6:G$120,'Página 04_Envio_Tipo Bolsa'!A81,'Página 01_Cadastro'!C$6:C$120,"S",'Página 01_Cadastro'!J$6:J$120,'Pag 08_Legendas'!C$4)</f>
        <v>0</v>
      </c>
      <c r="C81" s="22">
        <f>SUMIFS('Página 01_Cadastro'!M$6:M$120,'Página 01_Cadastro'!G$6:G$120,'Página 04_Envio_Tipo Bolsa'!A81,'Página 01_Cadastro'!J$6:J$120,'Pag 08_Legendas'!C$4)</f>
        <v>0</v>
      </c>
      <c r="D81" s="22">
        <f>SUMIFS('Página 01_Cadastro'!N$6:N$120,'Página 01_Cadastro'!G$6:G$120,'Página 04_Envio_Tipo Bolsa'!A81,'Página 01_Cadastro'!J$6:J$120,'Pag 08_Legendas'!C$4)</f>
        <v>0</v>
      </c>
      <c r="E81" s="22">
        <f>SUMIFS('Página 01_Cadastro'!O$6:O$120,'Página 01_Cadastro'!G$6:G$120,'Página 04_Envio_Tipo Bolsa'!A81,'Página 01_Cadastro'!J$6:J$120,'Pag 08_Legendas'!C$4)</f>
        <v>0</v>
      </c>
      <c r="F81" s="22">
        <f>SUMIFS('Página 01_Cadastro'!P$6:P$120,'Página 01_Cadastro'!G$6:G$120,'Página 04_Envio_Tipo Bolsa'!A81,'Página 01_Cadastro'!J$6:J$120,'Pag 08_Legendas'!C$4)</f>
        <v>0</v>
      </c>
      <c r="G81" s="22">
        <f>SUMIFS('Página 01_Cadastro'!Q$6:Q$120,'Página 01_Cadastro'!G$6:G$120,'Página 04_Envio_Tipo Bolsa'!A81,'Página 01_Cadastro'!J$6:J$120,'Pag 08_Legendas'!C$4)</f>
        <v>0</v>
      </c>
      <c r="H81" s="22">
        <f>SUMIFS('Página 01_Cadastro'!R$6:R$120,'Página 01_Cadastro'!G$6:G$120,'Página 04_Envio_Tipo Bolsa'!A81,'Página 01_Cadastro'!J$6:J$120,'Pag 08_Legendas'!C$4)</f>
        <v>0</v>
      </c>
      <c r="I81" s="22">
        <f t="shared" si="12"/>
        <v>0</v>
      </c>
    </row>
    <row r="82" spans="1:9" x14ac:dyDescent="0.2">
      <c r="A82" s="89" t="s">
        <v>26</v>
      </c>
      <c r="B82" s="21">
        <f>COUNTIFS('Página 01_Cadastro'!G$6:G$120,'Página 04_Envio_Tipo Bolsa'!A82,'Página 01_Cadastro'!C$6:C$120,"S",'Página 01_Cadastro'!J$6:J$120,'Pag 08_Legendas'!C$4)</f>
        <v>0</v>
      </c>
      <c r="C82" s="22">
        <f>SUMIFS('Página 01_Cadastro'!M$6:M$120,'Página 01_Cadastro'!G$6:G$120,'Página 04_Envio_Tipo Bolsa'!A82,'Página 01_Cadastro'!J$6:J$120,'Pag 08_Legendas'!C$4)</f>
        <v>0</v>
      </c>
      <c r="D82" s="22">
        <f>SUMIFS('Página 01_Cadastro'!N$6:N$120,'Página 01_Cadastro'!G$6:G$120,'Página 04_Envio_Tipo Bolsa'!A82,'Página 01_Cadastro'!J$6:J$120,'Pag 08_Legendas'!C$4)</f>
        <v>0</v>
      </c>
      <c r="E82" s="22">
        <f>SUMIFS('Página 01_Cadastro'!O$6:O$120,'Página 01_Cadastro'!G$6:G$120,'Página 04_Envio_Tipo Bolsa'!A82,'Página 01_Cadastro'!J$6:J$120,'Pag 08_Legendas'!C$4)</f>
        <v>0</v>
      </c>
      <c r="F82" s="22">
        <f>SUMIFS('Página 01_Cadastro'!P$6:P$120,'Página 01_Cadastro'!G$6:G$120,'Página 04_Envio_Tipo Bolsa'!A82,'Página 01_Cadastro'!J$6:J$120,'Pag 08_Legendas'!C$4)</f>
        <v>0</v>
      </c>
      <c r="G82" s="22">
        <f>SUMIFS('Página 01_Cadastro'!Q$6:Q$120,'Página 01_Cadastro'!G$6:G$120,'Página 04_Envio_Tipo Bolsa'!A82,'Página 01_Cadastro'!J$6:J$120,'Pag 08_Legendas'!C$4)</f>
        <v>0</v>
      </c>
      <c r="H82" s="22">
        <f>SUMIFS('Página 01_Cadastro'!R$6:R$120,'Página 01_Cadastro'!G$6:G$120,'Página 04_Envio_Tipo Bolsa'!A82,'Página 01_Cadastro'!J$6:J$120,'Pag 08_Legendas'!C$4)</f>
        <v>0</v>
      </c>
      <c r="I82" s="22">
        <f t="shared" si="12"/>
        <v>0</v>
      </c>
    </row>
    <row r="83" spans="1:9" x14ac:dyDescent="0.2">
      <c r="A83" s="89" t="s">
        <v>2</v>
      </c>
      <c r="B83" s="21">
        <f>COUNTIFS('Página 01_Cadastro'!G$6:G$120,'Página 04_Envio_Tipo Bolsa'!A83,'Página 01_Cadastro'!C$6:C$120,"S",'Página 01_Cadastro'!J$6:J$120,'Pag 08_Legendas'!C$4)</f>
        <v>0</v>
      </c>
      <c r="C83" s="22">
        <f>SUMIFS('Página 01_Cadastro'!M$6:M$120,'Página 01_Cadastro'!G$6:G$120,'Página 04_Envio_Tipo Bolsa'!A83,'Página 01_Cadastro'!J$6:J$120,'Pag 08_Legendas'!C$4)</f>
        <v>0</v>
      </c>
      <c r="D83" s="22">
        <f>SUMIFS('Página 01_Cadastro'!N$6:N$120,'Página 01_Cadastro'!G$6:G$120,'Página 04_Envio_Tipo Bolsa'!A83,'Página 01_Cadastro'!J$6:J$120,'Pag 08_Legendas'!C$4)</f>
        <v>0</v>
      </c>
      <c r="E83" s="22">
        <f>SUMIFS('Página 01_Cadastro'!O$6:O$120,'Página 01_Cadastro'!G$6:G$120,'Página 04_Envio_Tipo Bolsa'!A83,'Página 01_Cadastro'!J$6:J$120,'Pag 08_Legendas'!C$4)</f>
        <v>0</v>
      </c>
      <c r="F83" s="22">
        <f>SUMIFS('Página 01_Cadastro'!P$6:P$120,'Página 01_Cadastro'!G$6:G$120,'Página 04_Envio_Tipo Bolsa'!A83,'Página 01_Cadastro'!J$6:J$120,'Pag 08_Legendas'!C$4)</f>
        <v>0</v>
      </c>
      <c r="G83" s="22">
        <f>SUMIFS('Página 01_Cadastro'!Q$6:Q$120,'Página 01_Cadastro'!G$6:G$120,'Página 04_Envio_Tipo Bolsa'!A83,'Página 01_Cadastro'!J$6:J$120,'Pag 08_Legendas'!C$4)</f>
        <v>0</v>
      </c>
      <c r="H83" s="22">
        <f>SUMIFS('Página 01_Cadastro'!R$6:R$120,'Página 01_Cadastro'!G$6:G$120,'Página 04_Envio_Tipo Bolsa'!A83,'Página 01_Cadastro'!J$6:J$120,'Pag 08_Legendas'!C$4)</f>
        <v>0</v>
      </c>
      <c r="I83" s="22">
        <f t="shared" si="12"/>
        <v>0</v>
      </c>
    </row>
    <row r="84" spans="1:9" x14ac:dyDescent="0.2">
      <c r="A84" s="89" t="s">
        <v>4</v>
      </c>
      <c r="B84" s="21">
        <f>COUNTIFS('Página 01_Cadastro'!G$6:G$120,'Página 04_Envio_Tipo Bolsa'!A84,'Página 01_Cadastro'!C$6:C$120,"S",'Página 01_Cadastro'!J$6:J$120,'Pag 08_Legendas'!C$4)</f>
        <v>0</v>
      </c>
      <c r="C84" s="22">
        <f>SUMIFS('Página 01_Cadastro'!M$6:M$120,'Página 01_Cadastro'!G$6:G$120,'Página 04_Envio_Tipo Bolsa'!A84,'Página 01_Cadastro'!J$6:J$120,'Pag 08_Legendas'!C$4)</f>
        <v>0</v>
      </c>
      <c r="D84" s="22">
        <f>SUMIFS('Página 01_Cadastro'!N$6:N$120,'Página 01_Cadastro'!G$6:G$120,'Página 04_Envio_Tipo Bolsa'!A84,'Página 01_Cadastro'!J$6:J$120,'Pag 08_Legendas'!C$4)</f>
        <v>0</v>
      </c>
      <c r="E84" s="22">
        <f>SUMIFS('Página 01_Cadastro'!O$6:O$120,'Página 01_Cadastro'!G$6:G$120,'Página 04_Envio_Tipo Bolsa'!A84,'Página 01_Cadastro'!J$6:J$120,'Pag 08_Legendas'!C$4)</f>
        <v>0</v>
      </c>
      <c r="F84" s="22">
        <f>SUMIFS('Página 01_Cadastro'!P$6:P$120,'Página 01_Cadastro'!G$6:G$120,'Página 04_Envio_Tipo Bolsa'!A84,'Página 01_Cadastro'!J$6:J$120,'Pag 08_Legendas'!C$4)</f>
        <v>0</v>
      </c>
      <c r="G84" s="22">
        <f>SUMIFS('Página 01_Cadastro'!Q$6:Q$120,'Página 01_Cadastro'!G$6:G$120,'Página 04_Envio_Tipo Bolsa'!A84,'Página 01_Cadastro'!J$6:J$120,'Pag 08_Legendas'!C$4)</f>
        <v>0</v>
      </c>
      <c r="H84" s="22">
        <f>SUMIFS('Página 01_Cadastro'!R$6:R$120,'Página 01_Cadastro'!G$6:G$120,'Página 04_Envio_Tipo Bolsa'!A84,'Página 01_Cadastro'!J$6:J$120,'Pag 08_Legendas'!C$4)</f>
        <v>0</v>
      </c>
      <c r="I84" s="22">
        <f t="shared" si="12"/>
        <v>0</v>
      </c>
    </row>
    <row r="85" spans="1:9" x14ac:dyDescent="0.2">
      <c r="A85" s="89" t="s">
        <v>3</v>
      </c>
      <c r="B85" s="21">
        <f>COUNTIFS('Página 01_Cadastro'!G$6:G$120,'Página 04_Envio_Tipo Bolsa'!A85,'Página 01_Cadastro'!C$6:C$120,"S",'Página 01_Cadastro'!J$6:J$120,'Pag 08_Legendas'!C$4)</f>
        <v>0</v>
      </c>
      <c r="C85" s="22">
        <f>SUMIFS('Página 01_Cadastro'!M$6:M$120,'Página 01_Cadastro'!G$6:G$120,'Página 04_Envio_Tipo Bolsa'!A85,'Página 01_Cadastro'!J$6:J$120,'Pag 08_Legendas'!C$4)</f>
        <v>0</v>
      </c>
      <c r="D85" s="22">
        <f>SUMIFS('Página 01_Cadastro'!N$6:N$120,'Página 01_Cadastro'!G$6:G$120,'Página 04_Envio_Tipo Bolsa'!A85,'Página 01_Cadastro'!J$6:J$120,'Pag 08_Legendas'!C$4)</f>
        <v>0</v>
      </c>
      <c r="E85" s="22">
        <f>SUMIFS('Página 01_Cadastro'!O$6:O$120,'Página 01_Cadastro'!G$6:G$120,'Página 04_Envio_Tipo Bolsa'!A85,'Página 01_Cadastro'!J$6:J$120,'Pag 08_Legendas'!C$4)</f>
        <v>0</v>
      </c>
      <c r="F85" s="22">
        <f>SUMIFS('Página 01_Cadastro'!P$6:P$120,'Página 01_Cadastro'!G$6:G$120,'Página 04_Envio_Tipo Bolsa'!A85,'Página 01_Cadastro'!J$6:J$120,'Pag 08_Legendas'!C$4)</f>
        <v>0</v>
      </c>
      <c r="G85" s="22">
        <f>SUMIFS('Página 01_Cadastro'!Q$6:Q$120,'Página 01_Cadastro'!G$6:G$120,'Página 04_Envio_Tipo Bolsa'!A85,'Página 01_Cadastro'!J$6:J$120,'Pag 08_Legendas'!C$4)</f>
        <v>0</v>
      </c>
      <c r="H85" s="22">
        <f>SUMIFS('Página 01_Cadastro'!R$6:R$120,'Página 01_Cadastro'!G$6:G$120,'Página 04_Envio_Tipo Bolsa'!A85,'Página 01_Cadastro'!J$6:J$120,'Pag 08_Legendas'!C$4)</f>
        <v>0</v>
      </c>
      <c r="I85" s="22">
        <f t="shared" si="12"/>
        <v>0</v>
      </c>
    </row>
    <row r="86" spans="1:9" x14ac:dyDescent="0.2">
      <c r="A86" s="43" t="s">
        <v>6</v>
      </c>
      <c r="B86" s="31">
        <f>SUM(B79:B85)</f>
        <v>0</v>
      </c>
      <c r="C86" s="33">
        <f t="shared" ref="C86:H86" si="13">SUM(C79:C85)</f>
        <v>0</v>
      </c>
      <c r="D86" s="33">
        <f t="shared" si="13"/>
        <v>0</v>
      </c>
      <c r="E86" s="33">
        <f t="shared" si="13"/>
        <v>0</v>
      </c>
      <c r="F86" s="33">
        <f t="shared" si="13"/>
        <v>0</v>
      </c>
      <c r="G86" s="33">
        <f t="shared" si="13"/>
        <v>0</v>
      </c>
      <c r="H86" s="33">
        <f t="shared" si="13"/>
        <v>0</v>
      </c>
      <c r="I86" s="33">
        <f t="shared" si="12"/>
        <v>0</v>
      </c>
    </row>
    <row r="88" spans="1:9" x14ac:dyDescent="0.2">
      <c r="A88" s="174" t="s">
        <v>109</v>
      </c>
      <c r="B88" s="174"/>
      <c r="C88" s="174"/>
      <c r="D88" s="174"/>
      <c r="E88" s="174"/>
      <c r="F88" s="174"/>
      <c r="G88" s="174"/>
      <c r="H88" s="174"/>
      <c r="I88" s="174"/>
    </row>
    <row r="90" spans="1:9" ht="25.5" x14ac:dyDescent="0.2">
      <c r="A90" s="35" t="s">
        <v>25</v>
      </c>
      <c r="B90" s="36" t="s">
        <v>27</v>
      </c>
      <c r="C90" s="36" t="s">
        <v>16</v>
      </c>
      <c r="D90" s="37" t="s">
        <v>17</v>
      </c>
      <c r="E90" s="37" t="s">
        <v>18</v>
      </c>
      <c r="F90" s="37" t="s">
        <v>19</v>
      </c>
      <c r="G90" s="37" t="s">
        <v>20</v>
      </c>
      <c r="H90" s="37" t="s">
        <v>21</v>
      </c>
      <c r="I90" s="37" t="s">
        <v>28</v>
      </c>
    </row>
    <row r="91" spans="1:9" x14ac:dyDescent="0.2">
      <c r="A91" s="89" t="s">
        <v>0</v>
      </c>
      <c r="B91" s="21">
        <f>COUNTIFS('Página 01_Cadastro'!G$6:G$120,'Página 04_Envio_Tipo Bolsa'!A91,'Página 01_Cadastro'!C$6:C$120,"S",'Página 01_Cadastro'!J$6:J$120,'Pag 08_Legendas'!C$10)</f>
        <v>0</v>
      </c>
      <c r="C91" s="22">
        <f>SUMIFS('Página 01_Cadastro'!M$6:M$120,'Página 01_Cadastro'!G$6:G$120,'Página 04_Envio_Tipo Bolsa'!A91,'Página 01_Cadastro'!J$6:J$120,'Pag 08_Legendas'!C$10)</f>
        <v>0</v>
      </c>
      <c r="D91" s="22">
        <f>SUMIFS('Página 01_Cadastro'!N$6:N$120,'Página 01_Cadastro'!G$6:G$120,'Página 04_Envio_Tipo Bolsa'!A91,'Página 01_Cadastro'!J$6:J$120,'Pag 08_Legendas'!C$10)</f>
        <v>0</v>
      </c>
      <c r="E91" s="22">
        <f>SUMIFS('Página 01_Cadastro'!O$6:O$120,'Página 01_Cadastro'!G$6:G$120,'Página 04_Envio_Tipo Bolsa'!A91,'Página 01_Cadastro'!J$6:J$120,'Pag 08_Legendas'!C$10)</f>
        <v>0</v>
      </c>
      <c r="F91" s="22">
        <f>SUMIFS('Página 01_Cadastro'!P$6:P$120,'Página 01_Cadastro'!G$6:G$120,'Página 04_Envio_Tipo Bolsa'!A91,'Página 01_Cadastro'!J$6:J$120,'Pag 08_Legendas'!C$10)</f>
        <v>0</v>
      </c>
      <c r="G91" s="22">
        <f>SUMIFS('Página 01_Cadastro'!Q$6:Q$120,'Página 01_Cadastro'!G$6:G$120,'Página 04_Envio_Tipo Bolsa'!A91,'Página 01_Cadastro'!J$6:J$120,'Pag 08_Legendas'!C$10)</f>
        <v>0</v>
      </c>
      <c r="H91" s="22">
        <f>SUMIFS('Página 01_Cadastro'!R$6:R$120,'Página 01_Cadastro'!G$6:G$120,'Página 04_Envio_Tipo Bolsa'!A91,'Página 01_Cadastro'!J$6:J$120,'Pag 08_Legendas'!C$10)</f>
        <v>0</v>
      </c>
      <c r="I91" s="22">
        <f>SUM(C91:H91)</f>
        <v>0</v>
      </c>
    </row>
    <row r="92" spans="1:9" x14ac:dyDescent="0.2">
      <c r="A92" s="89" t="s">
        <v>5</v>
      </c>
      <c r="B92" s="21">
        <f>COUNTIFS('Página 01_Cadastro'!G$6:G$120,'Página 04_Envio_Tipo Bolsa'!A92,'Página 01_Cadastro'!C$6:C$120,"S",'Página 01_Cadastro'!J$6:J$120,'Pag 08_Legendas'!C$10)</f>
        <v>0</v>
      </c>
      <c r="C92" s="22">
        <f>SUMIFS('Página 01_Cadastro'!M$6:M$120,'Página 01_Cadastro'!G$6:G$120,'Página 04_Envio_Tipo Bolsa'!A92,'Página 01_Cadastro'!J$6:J$120,'Pag 08_Legendas'!C$10)</f>
        <v>0</v>
      </c>
      <c r="D92" s="22">
        <f>SUMIFS('Página 01_Cadastro'!N$6:N$120,'Página 01_Cadastro'!G$6:G$120,'Página 04_Envio_Tipo Bolsa'!A92,'Página 01_Cadastro'!J$6:J$120,'Pag 08_Legendas'!C$10)</f>
        <v>0</v>
      </c>
      <c r="E92" s="22">
        <f>SUMIFS('Página 01_Cadastro'!O$6:O$120,'Página 01_Cadastro'!G$6:G$120,'Página 04_Envio_Tipo Bolsa'!A92,'Página 01_Cadastro'!J$6:J$120,'Pag 08_Legendas'!C$10)</f>
        <v>0</v>
      </c>
      <c r="F92" s="22">
        <f>SUMIFS('Página 01_Cadastro'!P$6:P$120,'Página 01_Cadastro'!G$6:G$120,'Página 04_Envio_Tipo Bolsa'!A92,'Página 01_Cadastro'!J$6:J$120,'Pag 08_Legendas'!C$10)</f>
        <v>0</v>
      </c>
      <c r="G92" s="22">
        <f>SUMIFS('Página 01_Cadastro'!Q$6:Q$120,'Página 01_Cadastro'!G$6:G$120,'Página 04_Envio_Tipo Bolsa'!A92,'Página 01_Cadastro'!J$6:J$120,'Pag 08_Legendas'!C$10)</f>
        <v>0</v>
      </c>
      <c r="H92" s="22">
        <f>SUMIFS('Página 01_Cadastro'!R$6:R$120,'Página 01_Cadastro'!G$6:G$120,'Página 04_Envio_Tipo Bolsa'!A92,'Página 01_Cadastro'!J$6:J$120,'Pag 08_Legendas'!C$10)</f>
        <v>0</v>
      </c>
      <c r="I92" s="22">
        <f t="shared" ref="I92:I98" si="14">SUM(C92:H92)</f>
        <v>0</v>
      </c>
    </row>
    <row r="93" spans="1:9" x14ac:dyDescent="0.2">
      <c r="A93" s="89" t="s">
        <v>1</v>
      </c>
      <c r="B93" s="21">
        <f>COUNTIFS('Página 01_Cadastro'!G$6:G$120,'Página 04_Envio_Tipo Bolsa'!A93,'Página 01_Cadastro'!C$6:C$120,"S",'Página 01_Cadastro'!J$6:J$120,'Pag 08_Legendas'!C$10)</f>
        <v>0</v>
      </c>
      <c r="C93" s="22">
        <f>SUMIFS('Página 01_Cadastro'!M$6:M$120,'Página 01_Cadastro'!G$6:G$120,'Página 04_Envio_Tipo Bolsa'!A93,'Página 01_Cadastro'!J$6:J$120,'Pag 08_Legendas'!C$10)</f>
        <v>0</v>
      </c>
      <c r="D93" s="22">
        <f>SUMIFS('Página 01_Cadastro'!N$6:N$120,'Página 01_Cadastro'!G$6:G$120,'Página 04_Envio_Tipo Bolsa'!A93,'Página 01_Cadastro'!J$6:J$120,'Pag 08_Legendas'!C$10)</f>
        <v>0</v>
      </c>
      <c r="E93" s="22">
        <f>SUMIFS('Página 01_Cadastro'!O$6:O$120,'Página 01_Cadastro'!G$6:G$120,'Página 04_Envio_Tipo Bolsa'!A93,'Página 01_Cadastro'!J$6:J$120,'Pag 08_Legendas'!C$10)</f>
        <v>0</v>
      </c>
      <c r="F93" s="22">
        <f>SUMIFS('Página 01_Cadastro'!P$6:P$120,'Página 01_Cadastro'!G$6:G$120,'Página 04_Envio_Tipo Bolsa'!A93,'Página 01_Cadastro'!J$6:J$120,'Pag 08_Legendas'!C$10)</f>
        <v>0</v>
      </c>
      <c r="G93" s="22">
        <f>SUMIFS('Página 01_Cadastro'!Q$6:Q$120,'Página 01_Cadastro'!G$6:G$120,'Página 04_Envio_Tipo Bolsa'!A93,'Página 01_Cadastro'!J$6:J$120,'Pag 08_Legendas'!C$10)</f>
        <v>0</v>
      </c>
      <c r="H93" s="22">
        <f>SUMIFS('Página 01_Cadastro'!R$6:R$120,'Página 01_Cadastro'!G$6:G$120,'Página 04_Envio_Tipo Bolsa'!A93,'Página 01_Cadastro'!J$6:J$120,'Pag 08_Legendas'!C$10)</f>
        <v>0</v>
      </c>
      <c r="I93" s="22">
        <f t="shared" si="14"/>
        <v>0</v>
      </c>
    </row>
    <row r="94" spans="1:9" x14ac:dyDescent="0.2">
      <c r="A94" s="89" t="s">
        <v>26</v>
      </c>
      <c r="B94" s="21">
        <f>COUNTIFS('Página 01_Cadastro'!G$6:G$120,'Página 04_Envio_Tipo Bolsa'!A94,'Página 01_Cadastro'!C$6:C$120,"S",'Página 01_Cadastro'!J$6:J$120,'Pag 08_Legendas'!C$10)</f>
        <v>0</v>
      </c>
      <c r="C94" s="22">
        <f>SUMIFS('Página 01_Cadastro'!M$6:M$120,'Página 01_Cadastro'!G$6:G$120,'Página 04_Envio_Tipo Bolsa'!A94,'Página 01_Cadastro'!J$6:J$120,'Pag 08_Legendas'!C$10)</f>
        <v>0</v>
      </c>
      <c r="D94" s="22">
        <f>SUMIFS('Página 01_Cadastro'!N$6:N$120,'Página 01_Cadastro'!G$6:G$120,'Página 04_Envio_Tipo Bolsa'!A94,'Página 01_Cadastro'!J$6:J$120,'Pag 08_Legendas'!C$10)</f>
        <v>0</v>
      </c>
      <c r="E94" s="22">
        <f>SUMIFS('Página 01_Cadastro'!O$6:O$120,'Página 01_Cadastro'!G$6:G$120,'Página 04_Envio_Tipo Bolsa'!A94,'Página 01_Cadastro'!J$6:J$120,'Pag 08_Legendas'!C$10)</f>
        <v>0</v>
      </c>
      <c r="F94" s="22">
        <f>SUMIFS('Página 01_Cadastro'!P$6:P$120,'Página 01_Cadastro'!G$6:G$120,'Página 04_Envio_Tipo Bolsa'!A94,'Página 01_Cadastro'!J$6:J$120,'Pag 08_Legendas'!C$10)</f>
        <v>0</v>
      </c>
      <c r="G94" s="22">
        <f>SUMIFS('Página 01_Cadastro'!Q$6:Q$120,'Página 01_Cadastro'!G$6:G$120,'Página 04_Envio_Tipo Bolsa'!A94,'Página 01_Cadastro'!J$6:J$120,'Pag 08_Legendas'!C$10)</f>
        <v>0</v>
      </c>
      <c r="H94" s="22">
        <f>SUMIFS('Página 01_Cadastro'!R$6:R$120,'Página 01_Cadastro'!G$6:G$120,'Página 04_Envio_Tipo Bolsa'!A94,'Página 01_Cadastro'!J$6:J$120,'Pag 08_Legendas'!C$10)</f>
        <v>0</v>
      </c>
      <c r="I94" s="22">
        <f t="shared" si="14"/>
        <v>0</v>
      </c>
    </row>
    <row r="95" spans="1:9" x14ac:dyDescent="0.2">
      <c r="A95" s="89" t="s">
        <v>2</v>
      </c>
      <c r="B95" s="21">
        <f>COUNTIFS('Página 01_Cadastro'!G$6:G$120,'Página 04_Envio_Tipo Bolsa'!A95,'Página 01_Cadastro'!C$6:C$120,"S",'Página 01_Cadastro'!J$6:J$120,'Pag 08_Legendas'!C$10)</f>
        <v>0</v>
      </c>
      <c r="C95" s="22">
        <f>SUMIFS('Página 01_Cadastro'!M$6:M$120,'Página 01_Cadastro'!G$6:G$120,'Página 04_Envio_Tipo Bolsa'!A95,'Página 01_Cadastro'!J$6:J$120,'Pag 08_Legendas'!C$10)</f>
        <v>0</v>
      </c>
      <c r="D95" s="22">
        <f>SUMIFS('Página 01_Cadastro'!N$6:N$120,'Página 01_Cadastro'!G$6:G$120,'Página 04_Envio_Tipo Bolsa'!A95,'Página 01_Cadastro'!J$6:J$120,'Pag 08_Legendas'!C$10)</f>
        <v>0</v>
      </c>
      <c r="E95" s="22">
        <f>SUMIFS('Página 01_Cadastro'!O$6:O$120,'Página 01_Cadastro'!G$6:G$120,'Página 04_Envio_Tipo Bolsa'!A95,'Página 01_Cadastro'!J$6:J$120,'Pag 08_Legendas'!C$10)</f>
        <v>0</v>
      </c>
      <c r="F95" s="22">
        <f>SUMIFS('Página 01_Cadastro'!P$6:P$120,'Página 01_Cadastro'!G$6:G$120,'Página 04_Envio_Tipo Bolsa'!A95,'Página 01_Cadastro'!J$6:J$120,'Pag 08_Legendas'!C$10)</f>
        <v>0</v>
      </c>
      <c r="G95" s="22">
        <f>SUMIFS('Página 01_Cadastro'!Q$6:Q$120,'Página 01_Cadastro'!G$6:G$120,'Página 04_Envio_Tipo Bolsa'!A95,'Página 01_Cadastro'!J$6:J$120,'Pag 08_Legendas'!C$10)</f>
        <v>0</v>
      </c>
      <c r="H95" s="22">
        <f>SUMIFS('Página 01_Cadastro'!R$6:R$120,'Página 01_Cadastro'!G$6:G$120,'Página 04_Envio_Tipo Bolsa'!A95,'Página 01_Cadastro'!J$6:J$120,'Pag 08_Legendas'!C$10)</f>
        <v>0</v>
      </c>
      <c r="I95" s="22">
        <f t="shared" si="14"/>
        <v>0</v>
      </c>
    </row>
    <row r="96" spans="1:9" x14ac:dyDescent="0.2">
      <c r="A96" s="89" t="s">
        <v>4</v>
      </c>
      <c r="B96" s="21">
        <f>COUNTIFS('Página 01_Cadastro'!G$6:G$120,'Página 04_Envio_Tipo Bolsa'!A96,'Página 01_Cadastro'!C$6:C$120,"S",'Página 01_Cadastro'!J$6:J$120,'Pag 08_Legendas'!C$10)</f>
        <v>0</v>
      </c>
      <c r="C96" s="22">
        <f>SUMIFS('Página 01_Cadastro'!M$6:M$120,'Página 01_Cadastro'!G$6:G$120,'Página 04_Envio_Tipo Bolsa'!A96,'Página 01_Cadastro'!J$6:J$120,'Pag 08_Legendas'!C$10)</f>
        <v>0</v>
      </c>
      <c r="D96" s="22">
        <f>SUMIFS('Página 01_Cadastro'!N$6:N$120,'Página 01_Cadastro'!G$6:G$120,'Página 04_Envio_Tipo Bolsa'!A96,'Página 01_Cadastro'!J$6:J$120,'Pag 08_Legendas'!C$10)</f>
        <v>0</v>
      </c>
      <c r="E96" s="22">
        <f>SUMIFS('Página 01_Cadastro'!O$6:O$120,'Página 01_Cadastro'!G$6:G$120,'Página 04_Envio_Tipo Bolsa'!A96,'Página 01_Cadastro'!J$6:J$120,'Pag 08_Legendas'!C$10)</f>
        <v>0</v>
      </c>
      <c r="F96" s="22">
        <f>SUMIFS('Página 01_Cadastro'!P$6:P$120,'Página 01_Cadastro'!G$6:G$120,'Página 04_Envio_Tipo Bolsa'!A96,'Página 01_Cadastro'!J$6:J$120,'Pag 08_Legendas'!C$10)</f>
        <v>0</v>
      </c>
      <c r="G96" s="22">
        <f>SUMIFS('Página 01_Cadastro'!Q$6:Q$120,'Página 01_Cadastro'!G$6:G$120,'Página 04_Envio_Tipo Bolsa'!A96,'Página 01_Cadastro'!J$6:J$120,'Pag 08_Legendas'!C$10)</f>
        <v>0</v>
      </c>
      <c r="H96" s="22">
        <f>SUMIFS('Página 01_Cadastro'!R$6:R$120,'Página 01_Cadastro'!G$6:G$120,'Página 04_Envio_Tipo Bolsa'!A96,'Página 01_Cadastro'!J$6:J$120,'Pag 08_Legendas'!C$10)</f>
        <v>0</v>
      </c>
      <c r="I96" s="22">
        <f t="shared" si="14"/>
        <v>0</v>
      </c>
    </row>
    <row r="97" spans="1:9" x14ac:dyDescent="0.2">
      <c r="A97" s="89" t="s">
        <v>3</v>
      </c>
      <c r="B97" s="21">
        <f>COUNTIFS('Página 01_Cadastro'!G$6:G$120,'Página 04_Envio_Tipo Bolsa'!A97,'Página 01_Cadastro'!C$6:C$120,"S",'Página 01_Cadastro'!J$6:J$120,'Pag 08_Legendas'!C$10)</f>
        <v>0</v>
      </c>
      <c r="C97" s="22">
        <f>SUMIFS('Página 01_Cadastro'!M$6:M$120,'Página 01_Cadastro'!G$6:G$120,'Página 04_Envio_Tipo Bolsa'!A97,'Página 01_Cadastro'!J$6:J$120,'Pag 08_Legendas'!C$10)</f>
        <v>0</v>
      </c>
      <c r="D97" s="22">
        <f>SUMIFS('Página 01_Cadastro'!N$6:N$120,'Página 01_Cadastro'!G$6:G$120,'Página 04_Envio_Tipo Bolsa'!A97,'Página 01_Cadastro'!J$6:J$120,'Pag 08_Legendas'!C$10)</f>
        <v>0</v>
      </c>
      <c r="E97" s="22">
        <f>SUMIFS('Página 01_Cadastro'!O$6:O$120,'Página 01_Cadastro'!G$6:G$120,'Página 04_Envio_Tipo Bolsa'!A97,'Página 01_Cadastro'!J$6:J$120,'Pag 08_Legendas'!C$10)</f>
        <v>0</v>
      </c>
      <c r="F97" s="22">
        <f>SUMIFS('Página 01_Cadastro'!P$6:P$120,'Página 01_Cadastro'!G$6:G$120,'Página 04_Envio_Tipo Bolsa'!A97,'Página 01_Cadastro'!J$6:J$120,'Pag 08_Legendas'!C$10)</f>
        <v>0</v>
      </c>
      <c r="G97" s="22">
        <f>SUMIFS('Página 01_Cadastro'!Q$6:Q$120,'Página 01_Cadastro'!G$6:G$120,'Página 04_Envio_Tipo Bolsa'!A97,'Página 01_Cadastro'!J$6:J$120,'Pag 08_Legendas'!C$10)</f>
        <v>0</v>
      </c>
      <c r="H97" s="22">
        <f>SUMIFS('Página 01_Cadastro'!R$6:R$120,'Página 01_Cadastro'!G$6:G$120,'Página 04_Envio_Tipo Bolsa'!A97,'Página 01_Cadastro'!J$6:J$120,'Pag 08_Legendas'!C$10)</f>
        <v>0</v>
      </c>
      <c r="I97" s="22">
        <f t="shared" si="14"/>
        <v>0</v>
      </c>
    </row>
    <row r="98" spans="1:9" x14ac:dyDescent="0.2">
      <c r="A98" s="43" t="s">
        <v>6</v>
      </c>
      <c r="B98" s="31">
        <f>SUM(B91:B97)</f>
        <v>0</v>
      </c>
      <c r="C98" s="33">
        <f t="shared" ref="C98:H98" si="15">SUM(C91:C97)</f>
        <v>0</v>
      </c>
      <c r="D98" s="33">
        <f t="shared" si="15"/>
        <v>0</v>
      </c>
      <c r="E98" s="33">
        <f t="shared" si="15"/>
        <v>0</v>
      </c>
      <c r="F98" s="33">
        <f t="shared" si="15"/>
        <v>0</v>
      </c>
      <c r="G98" s="33">
        <f t="shared" si="15"/>
        <v>0</v>
      </c>
      <c r="H98" s="33">
        <f t="shared" si="15"/>
        <v>0</v>
      </c>
      <c r="I98" s="33">
        <f t="shared" si="14"/>
        <v>0</v>
      </c>
    </row>
    <row r="100" spans="1:9" x14ac:dyDescent="0.2">
      <c r="A100" s="174" t="s">
        <v>110</v>
      </c>
      <c r="B100" s="174"/>
      <c r="C100" s="174"/>
      <c r="D100" s="174"/>
      <c r="E100" s="174"/>
      <c r="F100" s="174"/>
      <c r="G100" s="174"/>
      <c r="H100" s="174"/>
      <c r="I100" s="174"/>
    </row>
    <row r="102" spans="1:9" ht="25.5" x14ac:dyDescent="0.2">
      <c r="A102" s="35" t="s">
        <v>25</v>
      </c>
      <c r="B102" s="36" t="s">
        <v>27</v>
      </c>
      <c r="C102" s="36" t="s">
        <v>16</v>
      </c>
      <c r="D102" s="37" t="s">
        <v>17</v>
      </c>
      <c r="E102" s="37" t="s">
        <v>18</v>
      </c>
      <c r="F102" s="37" t="s">
        <v>19</v>
      </c>
      <c r="G102" s="37" t="s">
        <v>20</v>
      </c>
      <c r="H102" s="37" t="s">
        <v>21</v>
      </c>
      <c r="I102" s="37" t="s">
        <v>28</v>
      </c>
    </row>
    <row r="103" spans="1:9" x14ac:dyDescent="0.2">
      <c r="A103" s="89" t="s">
        <v>0</v>
      </c>
      <c r="B103" s="21">
        <f>COUNTIFS('Página 01_Cadastro'!G$6:G$120,'Página 04_Envio_Tipo Bolsa'!A103,'Página 01_Cadastro'!C$6:C$120,"S",'Página 01_Cadastro'!J$6:J$120,'Pag 08_Legendas'!C$11)</f>
        <v>0</v>
      </c>
      <c r="C103" s="22">
        <f>SUMIFS('Página 01_Cadastro'!M$6:M$120,'Página 01_Cadastro'!G$6:G$120,'Página 04_Envio_Tipo Bolsa'!A103,'Página 01_Cadastro'!J$6:J$120,'Pag 08_Legendas'!C$11)</f>
        <v>0</v>
      </c>
      <c r="D103" s="22">
        <f>SUMIFS('Página 01_Cadastro'!N$6:N$120,'Página 01_Cadastro'!G$6:G$120,'Página 04_Envio_Tipo Bolsa'!A103,'Página 01_Cadastro'!J$6:J$120,'Pag 08_Legendas'!C$11)</f>
        <v>0</v>
      </c>
      <c r="E103" s="22">
        <f>SUMIFS('Página 01_Cadastro'!O$6:O$120,'Página 01_Cadastro'!G$6:G$120,'Página 04_Envio_Tipo Bolsa'!A103,'Página 01_Cadastro'!J$6:J$120,'Pag 08_Legendas'!C$11)</f>
        <v>0</v>
      </c>
      <c r="F103" s="22">
        <f>SUMIFS('Página 01_Cadastro'!P$6:P$120,'Página 01_Cadastro'!G$6:G$120,'Página 04_Envio_Tipo Bolsa'!A103,'Página 01_Cadastro'!J$6:J$120,'Pag 08_Legendas'!C$11)</f>
        <v>0</v>
      </c>
      <c r="G103" s="22">
        <f>SUMIFS('Página 01_Cadastro'!Q$6:Q$120,'Página 01_Cadastro'!G$6:G$120,'Página 04_Envio_Tipo Bolsa'!A103,'Página 01_Cadastro'!J$6:J$120,'Pag 08_Legendas'!C$11)</f>
        <v>0</v>
      </c>
      <c r="H103" s="22">
        <f>SUMIFS('Página 01_Cadastro'!R$6:R$120,'Página 01_Cadastro'!G$6:G$120,'Página 04_Envio_Tipo Bolsa'!A103,'Página 01_Cadastro'!J$6:J$120,'Pag 08_Legendas'!C$11)</f>
        <v>0</v>
      </c>
      <c r="I103" s="22">
        <f>SUM(C103:H103)</f>
        <v>0</v>
      </c>
    </row>
    <row r="104" spans="1:9" x14ac:dyDescent="0.2">
      <c r="A104" s="89" t="s">
        <v>5</v>
      </c>
      <c r="B104" s="21">
        <f>COUNTIFS('Página 01_Cadastro'!G$6:G$120,'Página 04_Envio_Tipo Bolsa'!A104,'Página 01_Cadastro'!C$6:C$120,"S",'Página 01_Cadastro'!J$6:J$120,'Pag 08_Legendas'!C$11)</f>
        <v>0</v>
      </c>
      <c r="C104" s="22">
        <f>SUMIFS('Página 01_Cadastro'!M$6:M$120,'Página 01_Cadastro'!G$6:G$120,'Página 04_Envio_Tipo Bolsa'!A104,'Página 01_Cadastro'!J$6:J$120,'Pag 08_Legendas'!C$11)</f>
        <v>0</v>
      </c>
      <c r="D104" s="22">
        <f>SUMIFS('Página 01_Cadastro'!N$6:N$120,'Página 01_Cadastro'!G$6:G$120,'Página 04_Envio_Tipo Bolsa'!A104,'Página 01_Cadastro'!J$6:J$120,'Pag 08_Legendas'!C$11)</f>
        <v>0</v>
      </c>
      <c r="E104" s="22">
        <f>SUMIFS('Página 01_Cadastro'!O$6:O$120,'Página 01_Cadastro'!G$6:G$120,'Página 04_Envio_Tipo Bolsa'!A104,'Página 01_Cadastro'!J$6:J$120,'Pag 08_Legendas'!C$11)</f>
        <v>0</v>
      </c>
      <c r="F104" s="22">
        <f>SUMIFS('Página 01_Cadastro'!P$6:P$120,'Página 01_Cadastro'!G$6:G$120,'Página 04_Envio_Tipo Bolsa'!A104,'Página 01_Cadastro'!J$6:J$120,'Pag 08_Legendas'!C$11)</f>
        <v>0</v>
      </c>
      <c r="G104" s="22">
        <f>SUMIFS('Página 01_Cadastro'!Q$6:Q$120,'Página 01_Cadastro'!G$6:G$120,'Página 04_Envio_Tipo Bolsa'!A104,'Página 01_Cadastro'!J$6:J$120,'Pag 08_Legendas'!C$11)</f>
        <v>0</v>
      </c>
      <c r="H104" s="22">
        <f>SUMIFS('Página 01_Cadastro'!R$6:R$120,'Página 01_Cadastro'!G$6:G$120,'Página 04_Envio_Tipo Bolsa'!A104,'Página 01_Cadastro'!J$6:J$120,'Pag 08_Legendas'!C$11)</f>
        <v>0</v>
      </c>
      <c r="I104" s="22">
        <f t="shared" ref="I104:I110" si="16">SUM(C104:H104)</f>
        <v>0</v>
      </c>
    </row>
    <row r="105" spans="1:9" x14ac:dyDescent="0.2">
      <c r="A105" s="89" t="s">
        <v>1</v>
      </c>
      <c r="B105" s="21">
        <f>COUNTIFS('Página 01_Cadastro'!G$6:G$120,'Página 04_Envio_Tipo Bolsa'!A105,'Página 01_Cadastro'!C$6:C$120,"S",'Página 01_Cadastro'!J$6:J$120,'Pag 08_Legendas'!C$11)</f>
        <v>0</v>
      </c>
      <c r="C105" s="22">
        <f>SUMIFS('Página 01_Cadastro'!M$6:M$120,'Página 01_Cadastro'!G$6:G$120,'Página 04_Envio_Tipo Bolsa'!A105,'Página 01_Cadastro'!J$6:J$120,'Pag 08_Legendas'!C$11)</f>
        <v>0</v>
      </c>
      <c r="D105" s="22">
        <f>SUMIFS('Página 01_Cadastro'!N$6:N$120,'Página 01_Cadastro'!G$6:G$120,'Página 04_Envio_Tipo Bolsa'!A105,'Página 01_Cadastro'!J$6:J$120,'Pag 08_Legendas'!C$11)</f>
        <v>0</v>
      </c>
      <c r="E105" s="22">
        <f>SUMIFS('Página 01_Cadastro'!O$6:O$120,'Página 01_Cadastro'!G$6:G$120,'Página 04_Envio_Tipo Bolsa'!A105,'Página 01_Cadastro'!J$6:J$120,'Pag 08_Legendas'!C$11)</f>
        <v>0</v>
      </c>
      <c r="F105" s="22">
        <f>SUMIFS('Página 01_Cadastro'!P$6:P$120,'Página 01_Cadastro'!G$6:G$120,'Página 04_Envio_Tipo Bolsa'!A105,'Página 01_Cadastro'!J$6:J$120,'Pag 08_Legendas'!C$11)</f>
        <v>0</v>
      </c>
      <c r="G105" s="22">
        <f>SUMIFS('Página 01_Cadastro'!Q$6:Q$120,'Página 01_Cadastro'!G$6:G$120,'Página 04_Envio_Tipo Bolsa'!A105,'Página 01_Cadastro'!J$6:J$120,'Pag 08_Legendas'!C$11)</f>
        <v>0</v>
      </c>
      <c r="H105" s="22">
        <f>SUMIFS('Página 01_Cadastro'!R$6:R$120,'Página 01_Cadastro'!G$6:G$120,'Página 04_Envio_Tipo Bolsa'!A105,'Página 01_Cadastro'!J$6:J$120,'Pag 08_Legendas'!C$11)</f>
        <v>0</v>
      </c>
      <c r="I105" s="22">
        <f t="shared" si="16"/>
        <v>0</v>
      </c>
    </row>
    <row r="106" spans="1:9" x14ac:dyDescent="0.2">
      <c r="A106" s="89" t="s">
        <v>26</v>
      </c>
      <c r="B106" s="21">
        <f>COUNTIFS('Página 01_Cadastro'!G$6:G$120,'Página 04_Envio_Tipo Bolsa'!A106,'Página 01_Cadastro'!C$6:C$120,"S",'Página 01_Cadastro'!J$6:J$120,'Pag 08_Legendas'!C$11)</f>
        <v>0</v>
      </c>
      <c r="C106" s="22">
        <f>SUMIFS('Página 01_Cadastro'!M$6:M$120,'Página 01_Cadastro'!G$6:G$120,'Página 04_Envio_Tipo Bolsa'!A106,'Página 01_Cadastro'!J$6:J$120,'Pag 08_Legendas'!C$11)</f>
        <v>0</v>
      </c>
      <c r="D106" s="22">
        <f>SUMIFS('Página 01_Cadastro'!N$6:N$120,'Página 01_Cadastro'!G$6:G$120,'Página 04_Envio_Tipo Bolsa'!A106,'Página 01_Cadastro'!J$6:J$120,'Pag 08_Legendas'!C$11)</f>
        <v>0</v>
      </c>
      <c r="E106" s="22">
        <f>SUMIFS('Página 01_Cadastro'!O$6:O$120,'Página 01_Cadastro'!G$6:G$120,'Página 04_Envio_Tipo Bolsa'!A106,'Página 01_Cadastro'!J$6:J$120,'Pag 08_Legendas'!C$11)</f>
        <v>0</v>
      </c>
      <c r="F106" s="22">
        <f>SUMIFS('Página 01_Cadastro'!P$6:P$120,'Página 01_Cadastro'!G$6:G$120,'Página 04_Envio_Tipo Bolsa'!A106,'Página 01_Cadastro'!J$6:J$120,'Pag 08_Legendas'!C$11)</f>
        <v>0</v>
      </c>
      <c r="G106" s="22">
        <f>SUMIFS('Página 01_Cadastro'!Q$6:Q$120,'Página 01_Cadastro'!G$6:G$120,'Página 04_Envio_Tipo Bolsa'!A106,'Página 01_Cadastro'!J$6:J$120,'Pag 08_Legendas'!C$11)</f>
        <v>0</v>
      </c>
      <c r="H106" s="22">
        <f>SUMIFS('Página 01_Cadastro'!R$6:R$120,'Página 01_Cadastro'!G$6:G$120,'Página 04_Envio_Tipo Bolsa'!A106,'Página 01_Cadastro'!J$6:J$120,'Pag 08_Legendas'!C$11)</f>
        <v>0</v>
      </c>
      <c r="I106" s="22">
        <f t="shared" si="16"/>
        <v>0</v>
      </c>
    </row>
    <row r="107" spans="1:9" x14ac:dyDescent="0.2">
      <c r="A107" s="89" t="s">
        <v>2</v>
      </c>
      <c r="B107" s="21">
        <f>COUNTIFS('Página 01_Cadastro'!G$6:G$120,'Página 04_Envio_Tipo Bolsa'!A107,'Página 01_Cadastro'!C$6:C$120,"S",'Página 01_Cadastro'!J$6:J$120,'Pag 08_Legendas'!C$11)</f>
        <v>0</v>
      </c>
      <c r="C107" s="22">
        <f>SUMIFS('Página 01_Cadastro'!M$6:M$120,'Página 01_Cadastro'!G$6:G$120,'Página 04_Envio_Tipo Bolsa'!A107,'Página 01_Cadastro'!J$6:J$120,'Pag 08_Legendas'!C$11)</f>
        <v>0</v>
      </c>
      <c r="D107" s="22">
        <f>SUMIFS('Página 01_Cadastro'!N$6:N$120,'Página 01_Cadastro'!G$6:G$120,'Página 04_Envio_Tipo Bolsa'!A107,'Página 01_Cadastro'!J$6:J$120,'Pag 08_Legendas'!C$11)</f>
        <v>0</v>
      </c>
      <c r="E107" s="22">
        <f>SUMIFS('Página 01_Cadastro'!O$6:O$120,'Página 01_Cadastro'!G$6:G$120,'Página 04_Envio_Tipo Bolsa'!A107,'Página 01_Cadastro'!J$6:J$120,'Pag 08_Legendas'!C$11)</f>
        <v>0</v>
      </c>
      <c r="F107" s="22">
        <f>SUMIFS('Página 01_Cadastro'!P$6:P$120,'Página 01_Cadastro'!G$6:G$120,'Página 04_Envio_Tipo Bolsa'!A107,'Página 01_Cadastro'!J$6:J$120,'Pag 08_Legendas'!C$11)</f>
        <v>0</v>
      </c>
      <c r="G107" s="22">
        <f>SUMIFS('Página 01_Cadastro'!Q$6:Q$120,'Página 01_Cadastro'!G$6:G$120,'Página 04_Envio_Tipo Bolsa'!A107,'Página 01_Cadastro'!J$6:J$120,'Pag 08_Legendas'!C$11)</f>
        <v>0</v>
      </c>
      <c r="H107" s="22">
        <f>SUMIFS('Página 01_Cadastro'!R$6:R$120,'Página 01_Cadastro'!G$6:G$120,'Página 04_Envio_Tipo Bolsa'!A107,'Página 01_Cadastro'!J$6:J$120,'Pag 08_Legendas'!C$11)</f>
        <v>0</v>
      </c>
      <c r="I107" s="22">
        <f t="shared" si="16"/>
        <v>0</v>
      </c>
    </row>
    <row r="108" spans="1:9" x14ac:dyDescent="0.2">
      <c r="A108" s="89" t="s">
        <v>4</v>
      </c>
      <c r="B108" s="21">
        <f>COUNTIFS('Página 01_Cadastro'!G$6:G$120,'Página 04_Envio_Tipo Bolsa'!A108,'Página 01_Cadastro'!C$6:C$120,"S",'Página 01_Cadastro'!J$6:J$120,'Pag 08_Legendas'!C$11)</f>
        <v>0</v>
      </c>
      <c r="C108" s="22">
        <f>SUMIFS('Página 01_Cadastro'!M$6:M$120,'Página 01_Cadastro'!G$6:G$120,'Página 04_Envio_Tipo Bolsa'!A108,'Página 01_Cadastro'!J$6:J$120,'Pag 08_Legendas'!C$11)</f>
        <v>0</v>
      </c>
      <c r="D108" s="22">
        <f>SUMIFS('Página 01_Cadastro'!N$6:N$120,'Página 01_Cadastro'!G$6:G$120,'Página 04_Envio_Tipo Bolsa'!A108,'Página 01_Cadastro'!J$6:J$120,'Pag 08_Legendas'!C$11)</f>
        <v>0</v>
      </c>
      <c r="E108" s="22">
        <f>SUMIFS('Página 01_Cadastro'!O$6:O$120,'Página 01_Cadastro'!G$6:G$120,'Página 04_Envio_Tipo Bolsa'!A108,'Página 01_Cadastro'!J$6:J$120,'Pag 08_Legendas'!C$11)</f>
        <v>0</v>
      </c>
      <c r="F108" s="22">
        <f>SUMIFS('Página 01_Cadastro'!P$6:P$120,'Página 01_Cadastro'!G$6:G$120,'Página 04_Envio_Tipo Bolsa'!A108,'Página 01_Cadastro'!J$6:J$120,'Pag 08_Legendas'!C$11)</f>
        <v>0</v>
      </c>
      <c r="G108" s="22">
        <f>SUMIFS('Página 01_Cadastro'!Q$6:Q$120,'Página 01_Cadastro'!G$6:G$120,'Página 04_Envio_Tipo Bolsa'!A108,'Página 01_Cadastro'!J$6:J$120,'Pag 08_Legendas'!C$11)</f>
        <v>0</v>
      </c>
      <c r="H108" s="22">
        <f>SUMIFS('Página 01_Cadastro'!R$6:R$120,'Página 01_Cadastro'!G$6:G$120,'Página 04_Envio_Tipo Bolsa'!A108,'Página 01_Cadastro'!J$6:J$120,'Pag 08_Legendas'!C$11)</f>
        <v>0</v>
      </c>
      <c r="I108" s="22">
        <f t="shared" si="16"/>
        <v>0</v>
      </c>
    </row>
    <row r="109" spans="1:9" x14ac:dyDescent="0.2">
      <c r="A109" s="89" t="s">
        <v>3</v>
      </c>
      <c r="B109" s="21">
        <f>COUNTIFS('Página 01_Cadastro'!G$6:G$120,'Página 04_Envio_Tipo Bolsa'!A109,'Página 01_Cadastro'!C$6:C$120,"S",'Página 01_Cadastro'!J$6:J$120,'Pag 08_Legendas'!C$11)</f>
        <v>0</v>
      </c>
      <c r="C109" s="22">
        <f>SUMIFS('Página 01_Cadastro'!M$6:M$120,'Página 01_Cadastro'!G$6:G$120,'Página 04_Envio_Tipo Bolsa'!A109,'Página 01_Cadastro'!J$6:J$120,'Pag 08_Legendas'!C$11)</f>
        <v>0</v>
      </c>
      <c r="D109" s="22">
        <f>SUMIFS('Página 01_Cadastro'!N$6:N$120,'Página 01_Cadastro'!G$6:G$120,'Página 04_Envio_Tipo Bolsa'!A109,'Página 01_Cadastro'!J$6:J$120,'Pag 08_Legendas'!C$11)</f>
        <v>0</v>
      </c>
      <c r="E109" s="22">
        <f>SUMIFS('Página 01_Cadastro'!O$6:O$120,'Página 01_Cadastro'!G$6:G$120,'Página 04_Envio_Tipo Bolsa'!A109,'Página 01_Cadastro'!J$6:J$120,'Pag 08_Legendas'!C$11)</f>
        <v>0</v>
      </c>
      <c r="F109" s="22">
        <f>SUMIFS('Página 01_Cadastro'!P$6:P$120,'Página 01_Cadastro'!G$6:G$120,'Página 04_Envio_Tipo Bolsa'!A109,'Página 01_Cadastro'!J$6:J$120,'Pag 08_Legendas'!C$11)</f>
        <v>0</v>
      </c>
      <c r="G109" s="22">
        <f>SUMIFS('Página 01_Cadastro'!Q$6:Q$120,'Página 01_Cadastro'!G$6:G$120,'Página 04_Envio_Tipo Bolsa'!A109,'Página 01_Cadastro'!J$6:J$120,'Pag 08_Legendas'!C$11)</f>
        <v>0</v>
      </c>
      <c r="H109" s="22">
        <f>SUMIFS('Página 01_Cadastro'!R$6:R$120,'Página 01_Cadastro'!G$6:G$120,'Página 04_Envio_Tipo Bolsa'!A109,'Página 01_Cadastro'!J$6:J$120,'Pag 08_Legendas'!C$11)</f>
        <v>0</v>
      </c>
      <c r="I109" s="22">
        <f t="shared" si="16"/>
        <v>0</v>
      </c>
    </row>
    <row r="110" spans="1:9" x14ac:dyDescent="0.2">
      <c r="A110" s="43" t="s">
        <v>6</v>
      </c>
      <c r="B110" s="31">
        <f>SUM(B103:B109)</f>
        <v>0</v>
      </c>
      <c r="C110" s="33">
        <f t="shared" ref="C110:H110" si="17">SUM(C103:C109)</f>
        <v>0</v>
      </c>
      <c r="D110" s="33">
        <f t="shared" si="17"/>
        <v>0</v>
      </c>
      <c r="E110" s="33">
        <f t="shared" si="17"/>
        <v>0</v>
      </c>
      <c r="F110" s="33">
        <f t="shared" si="17"/>
        <v>0</v>
      </c>
      <c r="G110" s="33">
        <f t="shared" si="17"/>
        <v>0</v>
      </c>
      <c r="H110" s="33">
        <f t="shared" si="17"/>
        <v>0</v>
      </c>
      <c r="I110" s="33">
        <f t="shared" si="16"/>
        <v>0</v>
      </c>
    </row>
    <row r="112" spans="1:9" x14ac:dyDescent="0.2">
      <c r="A112" s="174" t="s">
        <v>140</v>
      </c>
      <c r="B112" s="174"/>
      <c r="C112" s="174"/>
      <c r="D112" s="174"/>
      <c r="E112" s="174"/>
      <c r="F112" s="174"/>
      <c r="G112" s="174"/>
      <c r="H112" s="174"/>
      <c r="I112" s="174"/>
    </row>
    <row r="114" spans="1:9" ht="25.5" x14ac:dyDescent="0.2">
      <c r="A114" s="35" t="s">
        <v>25</v>
      </c>
      <c r="B114" s="36" t="s">
        <v>27</v>
      </c>
      <c r="C114" s="36" t="s">
        <v>16</v>
      </c>
      <c r="D114" s="37" t="s">
        <v>17</v>
      </c>
      <c r="E114" s="37" t="s">
        <v>18</v>
      </c>
      <c r="F114" s="37" t="s">
        <v>19</v>
      </c>
      <c r="G114" s="37" t="s">
        <v>20</v>
      </c>
      <c r="H114" s="37" t="s">
        <v>21</v>
      </c>
      <c r="I114" s="37" t="s">
        <v>28</v>
      </c>
    </row>
    <row r="115" spans="1:9" x14ac:dyDescent="0.2">
      <c r="A115" s="89" t="s">
        <v>0</v>
      </c>
      <c r="B115" s="21">
        <f>COUNTIFS('Página 01_Cadastro'!G$6:G$120,'Página 04_Envio_Tipo Bolsa'!A115,'Página 01_Cadastro'!C$6:C$120,"S",'Página 01_Cadastro'!J$6:J$120,'Pag 08_Legendas'!C$12)</f>
        <v>0</v>
      </c>
      <c r="C115" s="22">
        <f>SUMIFS('Página 01_Cadastro'!M$6:M$120,'Página 01_Cadastro'!G$6:G$120,'Página 04_Envio_Tipo Bolsa'!A115,'Página 01_Cadastro'!J$6:J$120,'Pag 08_Legendas'!C$12)</f>
        <v>0</v>
      </c>
      <c r="D115" s="22">
        <f>SUMIFS('Página 01_Cadastro'!N$6:N$120,'Página 01_Cadastro'!G$6:G$120,'Página 04_Envio_Tipo Bolsa'!A115,'Página 01_Cadastro'!J$6:J$120,'Pag 08_Legendas'!C$12)</f>
        <v>0</v>
      </c>
      <c r="E115" s="22">
        <f>SUMIFS('Página 01_Cadastro'!O$6:O$120,'Página 01_Cadastro'!G$6:G$120,'Página 04_Envio_Tipo Bolsa'!A115,'Página 01_Cadastro'!J$6:J$120,'Pag 08_Legendas'!C$12)</f>
        <v>0</v>
      </c>
      <c r="F115" s="22">
        <f>SUMIFS('Página 01_Cadastro'!P$6:P$120,'Página 01_Cadastro'!G$6:G$120,'Página 04_Envio_Tipo Bolsa'!A115,'Página 01_Cadastro'!J$6:J$120,'Pag 08_Legendas'!C$12)</f>
        <v>0</v>
      </c>
      <c r="G115" s="22">
        <f>SUMIFS('Página 01_Cadastro'!Q$6:Q$120,'Página 01_Cadastro'!G$6:G$120,'Página 04_Envio_Tipo Bolsa'!A115,'Página 01_Cadastro'!J$6:J$120,'Pag 08_Legendas'!C$12)</f>
        <v>0</v>
      </c>
      <c r="H115" s="22">
        <f>SUMIFS('Página 01_Cadastro'!R$6:R$120,'Página 01_Cadastro'!G$6:G$120,'Página 04_Envio_Tipo Bolsa'!A115,'Página 01_Cadastro'!J$6:J$120,'Pag 08_Legendas'!C$12)</f>
        <v>0</v>
      </c>
      <c r="I115" s="22">
        <f>SUM(C115:H115)</f>
        <v>0</v>
      </c>
    </row>
    <row r="116" spans="1:9" x14ac:dyDescent="0.2">
      <c r="A116" s="89" t="s">
        <v>5</v>
      </c>
      <c r="B116" s="21">
        <f>COUNTIFS('Página 01_Cadastro'!G$6:G$120,'Página 04_Envio_Tipo Bolsa'!A116,'Página 01_Cadastro'!C$6:C$120,"S",'Página 01_Cadastro'!J$6:J$120,'Pag 08_Legendas'!C$12)</f>
        <v>0</v>
      </c>
      <c r="C116" s="22">
        <f>SUMIFS('Página 01_Cadastro'!M$6:M$120,'Página 01_Cadastro'!G$6:G$120,'Página 04_Envio_Tipo Bolsa'!A116,'Página 01_Cadastro'!J$6:J$120,'Pag 08_Legendas'!C$12)</f>
        <v>0</v>
      </c>
      <c r="D116" s="22">
        <f>SUMIFS('Página 01_Cadastro'!N$6:N$120,'Página 01_Cadastro'!G$6:G$120,'Página 04_Envio_Tipo Bolsa'!A116,'Página 01_Cadastro'!J$6:J$120,'Pag 08_Legendas'!C$12)</f>
        <v>0</v>
      </c>
      <c r="E116" s="22">
        <f>SUMIFS('Página 01_Cadastro'!O$6:O$120,'Página 01_Cadastro'!G$6:G$120,'Página 04_Envio_Tipo Bolsa'!A116,'Página 01_Cadastro'!J$6:J$120,'Pag 08_Legendas'!C$12)</f>
        <v>0</v>
      </c>
      <c r="F116" s="22">
        <f>SUMIFS('Página 01_Cadastro'!P$6:P$120,'Página 01_Cadastro'!G$6:G$120,'Página 04_Envio_Tipo Bolsa'!A116,'Página 01_Cadastro'!J$6:J$120,'Pag 08_Legendas'!C$12)</f>
        <v>0</v>
      </c>
      <c r="G116" s="22">
        <f>SUMIFS('Página 01_Cadastro'!Q$6:Q$120,'Página 01_Cadastro'!G$6:G$120,'Página 04_Envio_Tipo Bolsa'!A116,'Página 01_Cadastro'!J$6:J$120,'Pag 08_Legendas'!C$12)</f>
        <v>0</v>
      </c>
      <c r="H116" s="22">
        <f>SUMIFS('Página 01_Cadastro'!R$6:R$120,'Página 01_Cadastro'!G$6:G$120,'Página 04_Envio_Tipo Bolsa'!A116,'Página 01_Cadastro'!J$6:J$120,'Pag 08_Legendas'!C$12)</f>
        <v>0</v>
      </c>
      <c r="I116" s="22">
        <f t="shared" ref="I116:I122" si="18">SUM(C116:H116)</f>
        <v>0</v>
      </c>
    </row>
    <row r="117" spans="1:9" x14ac:dyDescent="0.2">
      <c r="A117" s="89" t="s">
        <v>1</v>
      </c>
      <c r="B117" s="21">
        <f>COUNTIFS('Página 01_Cadastro'!G$6:G$120,'Página 04_Envio_Tipo Bolsa'!A117,'Página 01_Cadastro'!C$6:C$120,"S",'Página 01_Cadastro'!J$6:J$120,'Pag 08_Legendas'!C$12)</f>
        <v>0</v>
      </c>
      <c r="C117" s="22">
        <f>SUMIFS('Página 01_Cadastro'!M$6:M$120,'Página 01_Cadastro'!G$6:G$120,'Página 04_Envio_Tipo Bolsa'!A117,'Página 01_Cadastro'!J$6:J$120,'Pag 08_Legendas'!C$12)</f>
        <v>0</v>
      </c>
      <c r="D117" s="22">
        <f>SUMIFS('Página 01_Cadastro'!N$6:N$120,'Página 01_Cadastro'!G$6:G$120,'Página 04_Envio_Tipo Bolsa'!A117,'Página 01_Cadastro'!J$6:J$120,'Pag 08_Legendas'!C$12)</f>
        <v>0</v>
      </c>
      <c r="E117" s="22">
        <f>SUMIFS('Página 01_Cadastro'!O$6:O$120,'Página 01_Cadastro'!G$6:G$120,'Página 04_Envio_Tipo Bolsa'!A117,'Página 01_Cadastro'!J$6:J$120,'Pag 08_Legendas'!C$12)</f>
        <v>0</v>
      </c>
      <c r="F117" s="22">
        <f>SUMIFS('Página 01_Cadastro'!P$6:P$120,'Página 01_Cadastro'!G$6:G$120,'Página 04_Envio_Tipo Bolsa'!A117,'Página 01_Cadastro'!J$6:J$120,'Pag 08_Legendas'!C$12)</f>
        <v>0</v>
      </c>
      <c r="G117" s="22">
        <f>SUMIFS('Página 01_Cadastro'!Q$6:Q$120,'Página 01_Cadastro'!G$6:G$120,'Página 04_Envio_Tipo Bolsa'!A117,'Página 01_Cadastro'!J$6:J$120,'Pag 08_Legendas'!C$12)</f>
        <v>0</v>
      </c>
      <c r="H117" s="22">
        <f>SUMIFS('Página 01_Cadastro'!R$6:R$120,'Página 01_Cadastro'!G$6:G$120,'Página 04_Envio_Tipo Bolsa'!A117,'Página 01_Cadastro'!J$6:J$120,'Pag 08_Legendas'!C$12)</f>
        <v>0</v>
      </c>
      <c r="I117" s="22">
        <f t="shared" si="18"/>
        <v>0</v>
      </c>
    </row>
    <row r="118" spans="1:9" x14ac:dyDescent="0.2">
      <c r="A118" s="89" t="s">
        <v>26</v>
      </c>
      <c r="B118" s="21">
        <f>COUNTIFS('Página 01_Cadastro'!G$6:G$120,'Página 04_Envio_Tipo Bolsa'!A118,'Página 01_Cadastro'!C$6:C$120,"S",'Página 01_Cadastro'!J$6:J$120,'Pag 08_Legendas'!C$12)</f>
        <v>0</v>
      </c>
      <c r="C118" s="22">
        <f>SUMIFS('Página 01_Cadastro'!M$6:M$120,'Página 01_Cadastro'!G$6:G$120,'Página 04_Envio_Tipo Bolsa'!A118,'Página 01_Cadastro'!J$6:J$120,'Pag 08_Legendas'!C$12)</f>
        <v>0</v>
      </c>
      <c r="D118" s="22">
        <f>SUMIFS('Página 01_Cadastro'!N$6:N$120,'Página 01_Cadastro'!G$6:G$120,'Página 04_Envio_Tipo Bolsa'!A118,'Página 01_Cadastro'!J$6:J$120,'Pag 08_Legendas'!C$12)</f>
        <v>0</v>
      </c>
      <c r="E118" s="22">
        <f>SUMIFS('Página 01_Cadastro'!O$6:O$120,'Página 01_Cadastro'!G$6:G$120,'Página 04_Envio_Tipo Bolsa'!A118,'Página 01_Cadastro'!J$6:J$120,'Pag 08_Legendas'!C$12)</f>
        <v>0</v>
      </c>
      <c r="F118" s="22">
        <f>SUMIFS('Página 01_Cadastro'!P$6:P$120,'Página 01_Cadastro'!G$6:G$120,'Página 04_Envio_Tipo Bolsa'!A118,'Página 01_Cadastro'!J$6:J$120,'Pag 08_Legendas'!C$12)</f>
        <v>0</v>
      </c>
      <c r="G118" s="22">
        <f>SUMIFS('Página 01_Cadastro'!Q$6:Q$120,'Página 01_Cadastro'!G$6:G$120,'Página 04_Envio_Tipo Bolsa'!A118,'Página 01_Cadastro'!J$6:J$120,'Pag 08_Legendas'!C$12)</f>
        <v>0</v>
      </c>
      <c r="H118" s="22">
        <f>SUMIFS('Página 01_Cadastro'!R$6:R$120,'Página 01_Cadastro'!G$6:G$120,'Página 04_Envio_Tipo Bolsa'!A118,'Página 01_Cadastro'!J$6:J$120,'Pag 08_Legendas'!C$12)</f>
        <v>0</v>
      </c>
      <c r="I118" s="22">
        <f t="shared" si="18"/>
        <v>0</v>
      </c>
    </row>
    <row r="119" spans="1:9" x14ac:dyDescent="0.2">
      <c r="A119" s="89" t="s">
        <v>2</v>
      </c>
      <c r="B119" s="21">
        <f>COUNTIFS('Página 01_Cadastro'!G$6:G$120,'Página 04_Envio_Tipo Bolsa'!A119,'Página 01_Cadastro'!C$6:C$120,"S",'Página 01_Cadastro'!J$6:J$120,'Pag 08_Legendas'!C$12)</f>
        <v>0</v>
      </c>
      <c r="C119" s="22">
        <f>SUMIFS('Página 01_Cadastro'!M$6:M$120,'Página 01_Cadastro'!G$6:G$120,'Página 04_Envio_Tipo Bolsa'!A119,'Página 01_Cadastro'!J$6:J$120,'Pag 08_Legendas'!C$12)</f>
        <v>0</v>
      </c>
      <c r="D119" s="22">
        <f>SUMIFS('Página 01_Cadastro'!N$6:N$120,'Página 01_Cadastro'!G$6:G$120,'Página 04_Envio_Tipo Bolsa'!A119,'Página 01_Cadastro'!J$6:J$120,'Pag 08_Legendas'!C$12)</f>
        <v>0</v>
      </c>
      <c r="E119" s="22">
        <f>SUMIFS('Página 01_Cadastro'!O$6:O$120,'Página 01_Cadastro'!G$6:G$120,'Página 04_Envio_Tipo Bolsa'!A119,'Página 01_Cadastro'!J$6:J$120,'Pag 08_Legendas'!C$12)</f>
        <v>0</v>
      </c>
      <c r="F119" s="22">
        <f>SUMIFS('Página 01_Cadastro'!P$6:P$120,'Página 01_Cadastro'!G$6:G$120,'Página 04_Envio_Tipo Bolsa'!A119,'Página 01_Cadastro'!J$6:J$120,'Pag 08_Legendas'!C$12)</f>
        <v>0</v>
      </c>
      <c r="G119" s="22">
        <f>SUMIFS('Página 01_Cadastro'!Q$6:Q$120,'Página 01_Cadastro'!G$6:G$120,'Página 04_Envio_Tipo Bolsa'!A119,'Página 01_Cadastro'!J$6:J$120,'Pag 08_Legendas'!C$12)</f>
        <v>0</v>
      </c>
      <c r="H119" s="22">
        <f>SUMIFS('Página 01_Cadastro'!R$6:R$120,'Página 01_Cadastro'!G$6:G$120,'Página 04_Envio_Tipo Bolsa'!A119,'Página 01_Cadastro'!J$6:J$120,'Pag 08_Legendas'!C$12)</f>
        <v>0</v>
      </c>
      <c r="I119" s="22">
        <f t="shared" si="18"/>
        <v>0</v>
      </c>
    </row>
    <row r="120" spans="1:9" x14ac:dyDescent="0.2">
      <c r="A120" s="89" t="s">
        <v>4</v>
      </c>
      <c r="B120" s="21">
        <f>COUNTIFS('Página 01_Cadastro'!G$6:G$120,'Página 04_Envio_Tipo Bolsa'!A120,'Página 01_Cadastro'!C$6:C$120,"S",'Página 01_Cadastro'!J$6:J$120,'Pag 08_Legendas'!C$12)</f>
        <v>0</v>
      </c>
      <c r="C120" s="22">
        <f>SUMIFS('Página 01_Cadastro'!M$6:M$120,'Página 01_Cadastro'!G$6:G$120,'Página 04_Envio_Tipo Bolsa'!A120,'Página 01_Cadastro'!J$6:J$120,'Pag 08_Legendas'!C$12)</f>
        <v>0</v>
      </c>
      <c r="D120" s="22">
        <f>SUMIFS('Página 01_Cadastro'!N$6:N$120,'Página 01_Cadastro'!G$6:G$120,'Página 04_Envio_Tipo Bolsa'!A120,'Página 01_Cadastro'!J$6:J$120,'Pag 08_Legendas'!C$12)</f>
        <v>0</v>
      </c>
      <c r="E120" s="22">
        <f>SUMIFS('Página 01_Cadastro'!O$6:O$120,'Página 01_Cadastro'!G$6:G$120,'Página 04_Envio_Tipo Bolsa'!A120,'Página 01_Cadastro'!J$6:J$120,'Pag 08_Legendas'!C$12)</f>
        <v>0</v>
      </c>
      <c r="F120" s="22">
        <f>SUMIFS('Página 01_Cadastro'!P$6:P$120,'Página 01_Cadastro'!G$6:G$120,'Página 04_Envio_Tipo Bolsa'!A120,'Página 01_Cadastro'!J$6:J$120,'Pag 08_Legendas'!C$12)</f>
        <v>0</v>
      </c>
      <c r="G120" s="22">
        <f>SUMIFS('Página 01_Cadastro'!Q$6:Q$120,'Página 01_Cadastro'!G$6:G$120,'Página 04_Envio_Tipo Bolsa'!A120,'Página 01_Cadastro'!J$6:J$120,'Pag 08_Legendas'!C$12)</f>
        <v>0</v>
      </c>
      <c r="H120" s="22">
        <f>SUMIFS('Página 01_Cadastro'!R$6:R$120,'Página 01_Cadastro'!G$6:G$120,'Página 04_Envio_Tipo Bolsa'!A120,'Página 01_Cadastro'!J$6:J$120,'Pag 08_Legendas'!C$12)</f>
        <v>0</v>
      </c>
      <c r="I120" s="22">
        <f t="shared" si="18"/>
        <v>0</v>
      </c>
    </row>
    <row r="121" spans="1:9" x14ac:dyDescent="0.2">
      <c r="A121" s="89" t="s">
        <v>3</v>
      </c>
      <c r="B121" s="21">
        <f>COUNTIFS('Página 01_Cadastro'!G$6:G$120,'Página 04_Envio_Tipo Bolsa'!A121,'Página 01_Cadastro'!C$6:C$120,"S",'Página 01_Cadastro'!J$6:J$120,'Pag 08_Legendas'!C$12)</f>
        <v>0</v>
      </c>
      <c r="C121" s="22">
        <f>SUMIFS('Página 01_Cadastro'!M$6:M$120,'Página 01_Cadastro'!G$6:G$120,'Página 04_Envio_Tipo Bolsa'!A121,'Página 01_Cadastro'!J$6:J$120,'Pag 08_Legendas'!C$12)</f>
        <v>0</v>
      </c>
      <c r="D121" s="22">
        <f>SUMIFS('Página 01_Cadastro'!N$6:N$120,'Página 01_Cadastro'!G$6:G$120,'Página 04_Envio_Tipo Bolsa'!A121,'Página 01_Cadastro'!J$6:J$120,'Pag 08_Legendas'!C$12)</f>
        <v>0</v>
      </c>
      <c r="E121" s="22">
        <f>SUMIFS('Página 01_Cadastro'!O$6:O$120,'Página 01_Cadastro'!G$6:G$120,'Página 04_Envio_Tipo Bolsa'!A121,'Página 01_Cadastro'!J$6:J$120,'Pag 08_Legendas'!C$12)</f>
        <v>0</v>
      </c>
      <c r="F121" s="22">
        <f>SUMIFS('Página 01_Cadastro'!P$6:P$120,'Página 01_Cadastro'!G$6:G$120,'Página 04_Envio_Tipo Bolsa'!A121,'Página 01_Cadastro'!J$6:J$120,'Pag 08_Legendas'!C$12)</f>
        <v>0</v>
      </c>
      <c r="G121" s="22">
        <f>SUMIFS('Página 01_Cadastro'!Q$6:Q$120,'Página 01_Cadastro'!G$6:G$120,'Página 04_Envio_Tipo Bolsa'!A121,'Página 01_Cadastro'!J$6:J$120,'Pag 08_Legendas'!C$12)</f>
        <v>0</v>
      </c>
      <c r="H121" s="22">
        <f>SUMIFS('Página 01_Cadastro'!R$6:R$120,'Página 01_Cadastro'!G$6:G$120,'Página 04_Envio_Tipo Bolsa'!A121,'Página 01_Cadastro'!J$6:J$120,'Pag 08_Legendas'!C$12)</f>
        <v>0</v>
      </c>
      <c r="I121" s="22">
        <f t="shared" si="18"/>
        <v>0</v>
      </c>
    </row>
    <row r="122" spans="1:9" x14ac:dyDescent="0.2">
      <c r="A122" s="43" t="s">
        <v>6</v>
      </c>
      <c r="B122" s="31">
        <f>SUM(B115:B121)</f>
        <v>0</v>
      </c>
      <c r="C122" s="33">
        <f t="shared" ref="C122:H122" si="19">SUM(C115:C121)</f>
        <v>0</v>
      </c>
      <c r="D122" s="33">
        <f t="shared" si="19"/>
        <v>0</v>
      </c>
      <c r="E122" s="33">
        <f t="shared" si="19"/>
        <v>0</v>
      </c>
      <c r="F122" s="33">
        <f t="shared" si="19"/>
        <v>0</v>
      </c>
      <c r="G122" s="33">
        <f t="shared" si="19"/>
        <v>0</v>
      </c>
      <c r="H122" s="33">
        <f t="shared" si="19"/>
        <v>0</v>
      </c>
      <c r="I122" s="33">
        <f t="shared" si="18"/>
        <v>0</v>
      </c>
    </row>
    <row r="125" spans="1:9" x14ac:dyDescent="0.2">
      <c r="A125" s="174" t="s">
        <v>143</v>
      </c>
      <c r="B125" s="174"/>
      <c r="C125" s="174"/>
      <c r="D125" s="174"/>
      <c r="E125" s="174"/>
      <c r="F125" s="174"/>
      <c r="G125" s="174"/>
      <c r="H125" s="174"/>
      <c r="I125" s="174"/>
    </row>
    <row r="127" spans="1:9" ht="25.5" x14ac:dyDescent="0.2">
      <c r="A127" s="35" t="s">
        <v>25</v>
      </c>
      <c r="B127" s="36" t="s">
        <v>27</v>
      </c>
      <c r="C127" s="36" t="s">
        <v>16</v>
      </c>
      <c r="D127" s="37" t="s">
        <v>17</v>
      </c>
      <c r="E127" s="37" t="s">
        <v>18</v>
      </c>
      <c r="F127" s="37" t="s">
        <v>19</v>
      </c>
      <c r="G127" s="37" t="s">
        <v>20</v>
      </c>
      <c r="H127" s="37" t="s">
        <v>21</v>
      </c>
      <c r="I127" s="37" t="s">
        <v>28</v>
      </c>
    </row>
    <row r="128" spans="1:9" x14ac:dyDescent="0.2">
      <c r="A128" s="89" t="s">
        <v>0</v>
      </c>
      <c r="B128" s="21">
        <f>SUM(B115,B79,B67,B55,B43,B31,B19,B6,B103,B91)</f>
        <v>0</v>
      </c>
      <c r="C128" s="23">
        <f>SUM(C115,C79,C67,C55,C43,C31,C19,C6,C103,C91)</f>
        <v>0</v>
      </c>
      <c r="D128" s="23">
        <f t="shared" ref="D128:H128" si="20">SUM(D115,D79,D67,D55,D43,D31,D19,D6,D103,D91)</f>
        <v>0</v>
      </c>
      <c r="E128" s="23">
        <f t="shared" si="20"/>
        <v>0</v>
      </c>
      <c r="F128" s="23">
        <f t="shared" si="20"/>
        <v>0</v>
      </c>
      <c r="G128" s="23">
        <f t="shared" si="20"/>
        <v>0</v>
      </c>
      <c r="H128" s="23">
        <f t="shared" si="20"/>
        <v>0</v>
      </c>
      <c r="I128" s="22">
        <f>SUM(C128:H128)</f>
        <v>0</v>
      </c>
    </row>
    <row r="129" spans="1:9" x14ac:dyDescent="0.2">
      <c r="A129" s="89" t="s">
        <v>5</v>
      </c>
      <c r="B129" s="21">
        <f t="shared" ref="B129:C134" si="21">SUM(B116,B80,B68,B56,B44,B32,B20,B7,B104,B92)</f>
        <v>0</v>
      </c>
      <c r="C129" s="23">
        <f t="shared" si="21"/>
        <v>0</v>
      </c>
      <c r="D129" s="23">
        <f t="shared" ref="D129:H129" si="22">SUM(D116,D80,D68,D56,D44,D32,D20,D7,D104,D92)</f>
        <v>0</v>
      </c>
      <c r="E129" s="23">
        <f t="shared" si="22"/>
        <v>0</v>
      </c>
      <c r="F129" s="23">
        <f t="shared" si="22"/>
        <v>0</v>
      </c>
      <c r="G129" s="23">
        <f t="shared" si="22"/>
        <v>0</v>
      </c>
      <c r="H129" s="23">
        <f t="shared" si="22"/>
        <v>0</v>
      </c>
      <c r="I129" s="22">
        <f t="shared" ref="I129:I135" si="23">SUM(C129:H129)</f>
        <v>0</v>
      </c>
    </row>
    <row r="130" spans="1:9" x14ac:dyDescent="0.2">
      <c r="A130" s="89" t="s">
        <v>1</v>
      </c>
      <c r="B130" s="21">
        <f t="shared" si="21"/>
        <v>0</v>
      </c>
      <c r="C130" s="23">
        <f t="shared" si="21"/>
        <v>0</v>
      </c>
      <c r="D130" s="23">
        <f t="shared" ref="D130:H130" si="24">SUM(D117,D81,D69,D57,D45,D33,D21,D8,D105,D93)</f>
        <v>0</v>
      </c>
      <c r="E130" s="23">
        <f t="shared" si="24"/>
        <v>0</v>
      </c>
      <c r="F130" s="23">
        <f t="shared" si="24"/>
        <v>0</v>
      </c>
      <c r="G130" s="23">
        <f t="shared" si="24"/>
        <v>0</v>
      </c>
      <c r="H130" s="23">
        <f t="shared" si="24"/>
        <v>0</v>
      </c>
      <c r="I130" s="22">
        <f t="shared" si="23"/>
        <v>0</v>
      </c>
    </row>
    <row r="131" spans="1:9" x14ac:dyDescent="0.2">
      <c r="A131" s="89" t="s">
        <v>26</v>
      </c>
      <c r="B131" s="21">
        <f t="shared" si="21"/>
        <v>0</v>
      </c>
      <c r="C131" s="23">
        <f t="shared" si="21"/>
        <v>0</v>
      </c>
      <c r="D131" s="23">
        <f t="shared" ref="D131:H131" si="25">SUM(D118,D82,D70,D58,D46,D34,D22,D9,D106,D94)</f>
        <v>0</v>
      </c>
      <c r="E131" s="23">
        <f t="shared" si="25"/>
        <v>0</v>
      </c>
      <c r="F131" s="23">
        <f t="shared" si="25"/>
        <v>0</v>
      </c>
      <c r="G131" s="23">
        <f t="shared" si="25"/>
        <v>0</v>
      </c>
      <c r="H131" s="23">
        <f t="shared" si="25"/>
        <v>0</v>
      </c>
      <c r="I131" s="22">
        <f t="shared" si="23"/>
        <v>0</v>
      </c>
    </row>
    <row r="132" spans="1:9" x14ac:dyDescent="0.2">
      <c r="A132" s="89" t="s">
        <v>2</v>
      </c>
      <c r="B132" s="21">
        <f t="shared" si="21"/>
        <v>0</v>
      </c>
      <c r="C132" s="23">
        <f t="shared" si="21"/>
        <v>0</v>
      </c>
      <c r="D132" s="23">
        <f t="shared" ref="D132:H132" si="26">SUM(D119,D83,D71,D59,D47,D35,D23,D10,D107,D95)</f>
        <v>0</v>
      </c>
      <c r="E132" s="23">
        <f t="shared" si="26"/>
        <v>0</v>
      </c>
      <c r="F132" s="23">
        <f t="shared" si="26"/>
        <v>0</v>
      </c>
      <c r="G132" s="23">
        <f t="shared" si="26"/>
        <v>0</v>
      </c>
      <c r="H132" s="23">
        <f t="shared" si="26"/>
        <v>0</v>
      </c>
      <c r="I132" s="22">
        <f t="shared" si="23"/>
        <v>0</v>
      </c>
    </row>
    <row r="133" spans="1:9" x14ac:dyDescent="0.2">
      <c r="A133" s="89" t="s">
        <v>4</v>
      </c>
      <c r="B133" s="21">
        <f t="shared" si="21"/>
        <v>0</v>
      </c>
      <c r="C133" s="23">
        <f t="shared" si="21"/>
        <v>0</v>
      </c>
      <c r="D133" s="23">
        <f t="shared" ref="D133:H133" si="27">SUM(D120,D84,D72,D60,D48,D36,D24,D11,D108,D96)</f>
        <v>0</v>
      </c>
      <c r="E133" s="23">
        <f t="shared" si="27"/>
        <v>0</v>
      </c>
      <c r="F133" s="23">
        <f t="shared" si="27"/>
        <v>0</v>
      </c>
      <c r="G133" s="23">
        <f t="shared" si="27"/>
        <v>0</v>
      </c>
      <c r="H133" s="23">
        <f t="shared" si="27"/>
        <v>0</v>
      </c>
      <c r="I133" s="22">
        <f t="shared" si="23"/>
        <v>0</v>
      </c>
    </row>
    <row r="134" spans="1:9" x14ac:dyDescent="0.2">
      <c r="A134" s="89" t="s">
        <v>3</v>
      </c>
      <c r="B134" s="21">
        <f t="shared" si="21"/>
        <v>0</v>
      </c>
      <c r="C134" s="23">
        <f t="shared" si="21"/>
        <v>0</v>
      </c>
      <c r="D134" s="23">
        <f t="shared" ref="D134:H134" si="28">SUM(D121,D85,D73,D61,D49,D37,D25,D12,D109,D97)</f>
        <v>0</v>
      </c>
      <c r="E134" s="23">
        <f t="shared" si="28"/>
        <v>0</v>
      </c>
      <c r="F134" s="23">
        <f t="shared" si="28"/>
        <v>0</v>
      </c>
      <c r="G134" s="23">
        <f t="shared" si="28"/>
        <v>0</v>
      </c>
      <c r="H134" s="23">
        <f t="shared" si="28"/>
        <v>0</v>
      </c>
      <c r="I134" s="22">
        <f t="shared" si="23"/>
        <v>0</v>
      </c>
    </row>
    <row r="135" spans="1:9" x14ac:dyDescent="0.2">
      <c r="A135" s="43" t="s">
        <v>6</v>
      </c>
      <c r="B135" s="69">
        <f>SUM(B128:B134)</f>
        <v>0</v>
      </c>
      <c r="C135" s="34">
        <f t="shared" ref="C135:H135" si="29">SUM(C128:C134)</f>
        <v>0</v>
      </c>
      <c r="D135" s="34">
        <f t="shared" si="29"/>
        <v>0</v>
      </c>
      <c r="E135" s="34">
        <f t="shared" si="29"/>
        <v>0</v>
      </c>
      <c r="F135" s="34">
        <f t="shared" si="29"/>
        <v>0</v>
      </c>
      <c r="G135" s="34">
        <f t="shared" si="29"/>
        <v>0</v>
      </c>
      <c r="H135" s="34">
        <f t="shared" si="29"/>
        <v>0</v>
      </c>
      <c r="I135" s="34">
        <f t="shared" si="23"/>
        <v>0</v>
      </c>
    </row>
    <row r="136" spans="1:9" x14ac:dyDescent="0.2">
      <c r="A136" s="172" t="s">
        <v>155</v>
      </c>
      <c r="B136" s="173"/>
      <c r="C136" s="173"/>
      <c r="D136" s="173"/>
      <c r="E136" s="173"/>
      <c r="F136" s="173"/>
      <c r="G136" s="173"/>
      <c r="H136" s="173"/>
      <c r="I136" s="173"/>
    </row>
  </sheetData>
  <sheetProtection algorithmName="SHA-512" hashValue="nEnH19YbfpV0Dr4OCW3a2rUw391QC0H58xX2PNdXg4j5MQDpJudR0M7LksBMykUcfijslc2GjACjItQk7ALQNQ==" saltValue="5fgeJHRbTjCqfrPIZezC0Q==" spinCount="100000" sheet="1" objects="1" scenarios="1"/>
  <mergeCells count="13">
    <mergeCell ref="A136:I136"/>
    <mergeCell ref="A112:I112"/>
    <mergeCell ref="A125:I125"/>
    <mergeCell ref="A1:I1"/>
    <mergeCell ref="A3:I3"/>
    <mergeCell ref="A16:I16"/>
    <mergeCell ref="A28:I28"/>
    <mergeCell ref="A40:I40"/>
    <mergeCell ref="A52:I52"/>
    <mergeCell ref="A64:I64"/>
    <mergeCell ref="A76:I76"/>
    <mergeCell ref="A88:I88"/>
    <mergeCell ref="A100:I100"/>
  </mergeCells>
  <pageMargins left="0.51181102362204722" right="0.51181102362204722" top="0.78740157480314965" bottom="0.78740157480314965" header="0.31496062992125984" footer="0.31496062992125984"/>
  <pageSetup paperSize="9" scale="40" orientation="portrait" r:id="rId1"/>
  <headerFooter>
    <oddHeader>&amp;R&amp;P/&amp;N</oddHeader>
    <oddFooter>&amp;LFQ-07.54 (anexo ao PQ-07.02) - RA - revisão 03 de 02/02/26 - Página 4/8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9"/>
  <sheetViews>
    <sheetView tabSelected="1" view="pageBreakPreview" topLeftCell="A111" zoomScale="60" zoomScaleNormal="100" workbookViewId="0">
      <selection activeCell="A16" sqref="A16"/>
    </sheetView>
  </sheetViews>
  <sheetFormatPr defaultRowHeight="12.75" x14ac:dyDescent="0.2"/>
  <cols>
    <col min="1" max="1" width="17.140625" style="90" customWidth="1"/>
    <col min="2" max="2" width="12.28515625" customWidth="1"/>
    <col min="3" max="3" width="13.85546875" customWidth="1"/>
    <col min="5" max="5" width="14.5703125" customWidth="1"/>
    <col min="6" max="6" width="13.5703125" customWidth="1"/>
    <col min="7" max="7" width="14.28515625" bestFit="1" customWidth="1"/>
    <col min="8" max="8" width="20.5703125" bestFit="1" customWidth="1"/>
    <col min="9" max="9" width="17.5703125" customWidth="1"/>
    <col min="10" max="10" width="17.7109375" style="4" customWidth="1"/>
    <col min="11" max="11" width="18.85546875" style="4" customWidth="1"/>
  </cols>
  <sheetData>
    <row r="1" spans="1:11" x14ac:dyDescent="0.2">
      <c r="A1" s="175" t="s">
        <v>85</v>
      </c>
      <c r="B1" s="175"/>
      <c r="C1" s="175"/>
      <c r="D1" s="175"/>
      <c r="E1" s="175"/>
      <c r="F1" s="175"/>
      <c r="G1" s="175"/>
      <c r="H1" s="175"/>
      <c r="I1" s="175"/>
    </row>
    <row r="3" spans="1:11" x14ac:dyDescent="0.2">
      <c r="A3" s="174" t="s">
        <v>144</v>
      </c>
      <c r="B3" s="174"/>
      <c r="C3" s="174"/>
      <c r="D3" s="174"/>
      <c r="E3" s="174"/>
      <c r="F3" s="174"/>
      <c r="G3" s="174"/>
      <c r="H3" s="174"/>
      <c r="I3" s="174"/>
    </row>
    <row r="5" spans="1:11" ht="33" customHeight="1" x14ac:dyDescent="0.2">
      <c r="A5" s="35" t="s">
        <v>25</v>
      </c>
      <c r="B5" s="36" t="s">
        <v>27</v>
      </c>
      <c r="C5" s="36" t="s">
        <v>16</v>
      </c>
      <c r="D5" s="37" t="s">
        <v>17</v>
      </c>
      <c r="E5" s="37" t="s">
        <v>18</v>
      </c>
      <c r="F5" s="37" t="s">
        <v>19</v>
      </c>
      <c r="G5" s="37" t="s">
        <v>20</v>
      </c>
      <c r="H5" s="37" t="s">
        <v>21</v>
      </c>
      <c r="I5" s="37" t="s">
        <v>28</v>
      </c>
      <c r="J5" s="37" t="s">
        <v>126</v>
      </c>
      <c r="K5" s="37" t="s">
        <v>127</v>
      </c>
    </row>
    <row r="6" spans="1:11" x14ac:dyDescent="0.2">
      <c r="A6" s="89" t="s">
        <v>0</v>
      </c>
      <c r="B6" s="21">
        <f>(COUNTIFS('Página 02_Retorno'!I$7:I$108,'Pag 05_Modalidade_APROVADO'!A6,'Página 02_Retorno'!K$7:K$108,'Pag 08_Legendas'!B$12,'Página 02_Retorno'!C$7:C$108,"S"))+B103</f>
        <v>0</v>
      </c>
      <c r="C6" s="22">
        <f>(SUMIFS('Página 02_Retorno'!O$7:O$108,'Página 02_Retorno'!I$7:I$108,'Pag 05_Modalidade_APROVADO'!A6,'Página 02_Retorno'!K$7:K$108,'Pag 08_Legendas'!B$12))+C103</f>
        <v>0</v>
      </c>
      <c r="D6" s="22">
        <f>(SUMIFS('Página 02_Retorno'!P$7:P$108,'Página 02_Retorno'!I$7:I$108,'Pag 05_Modalidade_APROVADO'!A6,'Página 02_Retorno'!K$7:K$108,'Pag 08_Legendas'!B$12))+D103</f>
        <v>0</v>
      </c>
      <c r="E6" s="22">
        <f>(SUMIFS('Página 02_Retorno'!Q$7:Q$108,'Página 02_Retorno'!I$7:I$108,'Pag 05_Modalidade_APROVADO'!A6,'Página 02_Retorno'!K$7:K$108,'Pag 08_Legendas'!B$12))+E103</f>
        <v>0</v>
      </c>
      <c r="F6" s="22">
        <f>(SUMIFS('Página 02_Retorno'!R$7:R$108,'Página 02_Retorno'!I$7:I$108,'Pag 05_Modalidade_APROVADO'!A6,'Página 02_Retorno'!K$7:K$108,'Pag 08_Legendas'!B$12))+F103</f>
        <v>0</v>
      </c>
      <c r="G6" s="22">
        <f>(SUMIFS('Página 02_Retorno'!S$7:S$108,'Página 02_Retorno'!I$7:I$108,'Pag 05_Modalidade_APROVADO'!A6,'Página 02_Retorno'!K$7:K$108,'Pag 08_Legendas'!B$12))+G103</f>
        <v>0</v>
      </c>
      <c r="H6" s="22">
        <f>(SUMIFS('Página 02_Retorno'!T$7:T$108,'Página 02_Retorno'!I$7:I$108,'Pag 05_Modalidade_APROVADO'!A6,'Página 02_Retorno'!K$7:K$108,'Pag 08_Legendas'!B$12))+H103</f>
        <v>0</v>
      </c>
      <c r="I6" s="22">
        <f>SUM(C6:H6)</f>
        <v>0</v>
      </c>
      <c r="J6" s="86">
        <f>(SUMIFS('Página 02_Retorno'!U$7:U$108,'Página 02_Retorno'!I$7:I$108,'Pag 05_Modalidade_APROVADO'!A6,'Página 02_Retorno'!K$7:K$108,'Pag 08_Legendas'!B$12,'Página 02_Retorno'!B$7:B$108,'Página 01_Cadastro'!B$2))+J103</f>
        <v>0</v>
      </c>
      <c r="K6" s="21">
        <f>(COUNTIFS('Página 02_Retorno'!I$7:I$108,'Pag 05_Modalidade_APROVADO'!A6,'Página 02_Retorno'!K$7:K$108,'Pag 08_Legendas'!B$12,'Página 02_Retorno'!C$7:C$108,"S",'Página 02_Retorno'!B$7:B$108,'Página 01_Cadastro'!B$2))+K103</f>
        <v>0</v>
      </c>
    </row>
    <row r="7" spans="1:11" x14ac:dyDescent="0.2">
      <c r="A7" s="89" t="s">
        <v>5</v>
      </c>
      <c r="B7" s="21">
        <f>(COUNTIFS('Página 02_Retorno'!I$7:I$108,'Pag 05_Modalidade_APROVADO'!A7,'Página 02_Retorno'!K$7:K$108,'Pag 08_Legendas'!B$12,'Página 02_Retorno'!C$7:C$108,"S"))+B104</f>
        <v>0</v>
      </c>
      <c r="C7" s="22">
        <f>(SUMIFS('Página 02_Retorno'!O$7:O$108,'Página 02_Retorno'!I$7:I$108,'Pag 05_Modalidade_APROVADO'!A7,'Página 02_Retorno'!K$7:K$108,'Pag 08_Legendas'!B$12))+C104</f>
        <v>0</v>
      </c>
      <c r="D7" s="22">
        <f>(SUMIFS('Página 02_Retorno'!P$7:P$108,'Página 02_Retorno'!I$7:I$108,'Pag 05_Modalidade_APROVADO'!A7,'Página 02_Retorno'!K$7:K$108,'Pag 08_Legendas'!B$12))+D104</f>
        <v>0</v>
      </c>
      <c r="E7" s="22">
        <f>(SUMIFS('Página 02_Retorno'!Q$7:Q$108,'Página 02_Retorno'!I$7:I$108,'Pag 05_Modalidade_APROVADO'!A7,'Página 02_Retorno'!K$7:K$108,'Pag 08_Legendas'!B$12))+E104</f>
        <v>0</v>
      </c>
      <c r="F7" s="22">
        <f>(SUMIFS('Página 02_Retorno'!R$7:R$108,'Página 02_Retorno'!I$7:I$108,'Pag 05_Modalidade_APROVADO'!A7,'Página 02_Retorno'!K$7:K$108,'Pag 08_Legendas'!B$12))+F104</f>
        <v>0</v>
      </c>
      <c r="G7" s="22">
        <f>(SUMIFS('Página 02_Retorno'!S$7:S$108,'Página 02_Retorno'!I$7:I$108,'Pag 05_Modalidade_APROVADO'!A7,'Página 02_Retorno'!K$7:K$108,'Pag 08_Legendas'!B$12))+G104</f>
        <v>0</v>
      </c>
      <c r="H7" s="22">
        <f>(SUMIFS('Página 02_Retorno'!T$7:T$108,'Página 02_Retorno'!I$7:I$108,'Pag 05_Modalidade_APROVADO'!A7,'Página 02_Retorno'!K$7:K$108,'Pag 08_Legendas'!B$12))+H104</f>
        <v>0</v>
      </c>
      <c r="I7" s="22">
        <f t="shared" ref="I7:I12" si="0">SUM(C7:H7)</f>
        <v>0</v>
      </c>
      <c r="J7" s="86">
        <f>(SUMIFS('Página 02_Retorno'!U$7:U$108,'Página 02_Retorno'!I$7:I$108,'Pag 05_Modalidade_APROVADO'!A7,'Página 02_Retorno'!K$7:K$108,'Pag 08_Legendas'!B$12,'Página 02_Retorno'!B$7:B$108,'Página 01_Cadastro'!B$2))+J104</f>
        <v>0</v>
      </c>
      <c r="K7" s="21">
        <f>(COUNTIFS('Página 02_Retorno'!I$7:I$108,'Pag 05_Modalidade_APROVADO'!A7,'Página 02_Retorno'!K$7:K$108,'Pag 08_Legendas'!B$12,'Página 02_Retorno'!C$7:C$108,"S",'Página 02_Retorno'!B$7:B$108,'Página 01_Cadastro'!B$2))+K104</f>
        <v>0</v>
      </c>
    </row>
    <row r="8" spans="1:11" x14ac:dyDescent="0.2">
      <c r="A8" s="89" t="s">
        <v>1</v>
      </c>
      <c r="B8" s="21">
        <f>(COUNTIFS('Página 02_Retorno'!I$7:I$108,'Pag 05_Modalidade_APROVADO'!A8,'Página 02_Retorno'!K$7:K$108,'Pag 08_Legendas'!B$12,'Página 02_Retorno'!C$7:C$108,"S"))+B105</f>
        <v>0</v>
      </c>
      <c r="C8" s="22">
        <f>(SUMIFS('Página 02_Retorno'!O$7:O$108,'Página 02_Retorno'!I$7:I$108,'Pag 05_Modalidade_APROVADO'!A8,'Página 02_Retorno'!K$7:K$108,'Pag 08_Legendas'!B$12))+C105</f>
        <v>0</v>
      </c>
      <c r="D8" s="22">
        <f>(SUMIFS('Página 02_Retorno'!P$7:P$108,'Página 02_Retorno'!I$7:I$108,'Pag 05_Modalidade_APROVADO'!A8,'Página 02_Retorno'!K$7:K$108,'Pag 08_Legendas'!B$12))+D105</f>
        <v>0</v>
      </c>
      <c r="E8" s="22">
        <f>(SUMIFS('Página 02_Retorno'!Q$7:Q$108,'Página 02_Retorno'!I$7:I$108,'Pag 05_Modalidade_APROVADO'!A8,'Página 02_Retorno'!K$7:K$108,'Pag 08_Legendas'!B$12))+E105</f>
        <v>0</v>
      </c>
      <c r="F8" s="22">
        <f>(SUMIFS('Página 02_Retorno'!R$7:R$108,'Página 02_Retorno'!I$7:I$108,'Pag 05_Modalidade_APROVADO'!A8,'Página 02_Retorno'!K$7:K$108,'Pag 08_Legendas'!B$12))+F105</f>
        <v>0</v>
      </c>
      <c r="G8" s="22">
        <f>(SUMIFS('Página 02_Retorno'!S$7:S$108,'Página 02_Retorno'!I$7:I$108,'Pag 05_Modalidade_APROVADO'!A8,'Página 02_Retorno'!K$7:K$108,'Pag 08_Legendas'!B$12))+G105</f>
        <v>0</v>
      </c>
      <c r="H8" s="22">
        <f>(SUMIFS('Página 02_Retorno'!T$7:T$108,'Página 02_Retorno'!I$7:I$108,'Pag 05_Modalidade_APROVADO'!A8,'Página 02_Retorno'!K$7:K$108,'Pag 08_Legendas'!B$12))+H105</f>
        <v>0</v>
      </c>
      <c r="I8" s="22">
        <f t="shared" si="0"/>
        <v>0</v>
      </c>
      <c r="J8" s="86">
        <f>(SUMIFS('Página 02_Retorno'!U$7:U$108,'Página 02_Retorno'!I$7:I$108,'Pag 05_Modalidade_APROVADO'!A8,'Página 02_Retorno'!K$7:K$108,'Pag 08_Legendas'!B$12,'Página 02_Retorno'!B$7:B$108,'Página 01_Cadastro'!B$2))+J105</f>
        <v>0</v>
      </c>
      <c r="K8" s="21">
        <f>(COUNTIFS('Página 02_Retorno'!I$7:I$108,'Pag 05_Modalidade_APROVADO'!A8,'Página 02_Retorno'!K$7:K$108,'Pag 08_Legendas'!B$12,'Página 02_Retorno'!C$7:C$108,"S",'Página 02_Retorno'!B$7:B$108,'Página 01_Cadastro'!B$2))+K105</f>
        <v>0</v>
      </c>
    </row>
    <row r="9" spans="1:11" x14ac:dyDescent="0.2">
      <c r="A9" s="89" t="s">
        <v>26</v>
      </c>
      <c r="B9" s="21">
        <f>(COUNTIFS('Página 02_Retorno'!I$7:I$108,'Pag 05_Modalidade_APROVADO'!A9,'Página 02_Retorno'!K$7:K$108,'Pag 08_Legendas'!B$12,'Página 02_Retorno'!C$7:C$108,"S"))+B106</f>
        <v>0</v>
      </c>
      <c r="C9" s="22">
        <f>(SUMIFS('Página 02_Retorno'!O$7:O$108,'Página 02_Retorno'!I$7:I$108,'Pag 05_Modalidade_APROVADO'!A9,'Página 02_Retorno'!K$7:K$108,'Pag 08_Legendas'!B$12))+C106</f>
        <v>0</v>
      </c>
      <c r="D9" s="22">
        <f>(SUMIFS('Página 02_Retorno'!P$7:P$108,'Página 02_Retorno'!I$7:I$108,'Pag 05_Modalidade_APROVADO'!A9,'Página 02_Retorno'!K$7:K$108,'Pag 08_Legendas'!B$12))+D106</f>
        <v>0</v>
      </c>
      <c r="E9" s="22">
        <f>(SUMIFS('Página 02_Retorno'!Q$7:Q$108,'Página 02_Retorno'!I$7:I$108,'Pag 05_Modalidade_APROVADO'!A9,'Página 02_Retorno'!K$7:K$108,'Pag 08_Legendas'!B$12))+E106</f>
        <v>0</v>
      </c>
      <c r="F9" s="22">
        <f>(SUMIFS('Página 02_Retorno'!R$7:R$108,'Página 02_Retorno'!I$7:I$108,'Pag 05_Modalidade_APROVADO'!A9,'Página 02_Retorno'!K$7:K$108,'Pag 08_Legendas'!B$12))+F106</f>
        <v>0</v>
      </c>
      <c r="G9" s="22">
        <f>(SUMIFS('Página 02_Retorno'!S$7:S$108,'Página 02_Retorno'!I$7:I$108,'Pag 05_Modalidade_APROVADO'!A9,'Página 02_Retorno'!K$7:K$108,'Pag 08_Legendas'!B$12))+G106</f>
        <v>0</v>
      </c>
      <c r="H9" s="22">
        <f>(SUMIFS('Página 02_Retorno'!T$7:T$108,'Página 02_Retorno'!I$7:I$108,'Pag 05_Modalidade_APROVADO'!A9,'Página 02_Retorno'!K$7:K$108,'Pag 08_Legendas'!B$12))+H106</f>
        <v>0</v>
      </c>
      <c r="I9" s="22">
        <f t="shared" si="0"/>
        <v>0</v>
      </c>
      <c r="J9" s="86">
        <f>(SUMIFS('Página 02_Retorno'!U$7:U$108,'Página 02_Retorno'!I$7:I$108,'Pag 05_Modalidade_APROVADO'!A9,'Página 02_Retorno'!K$7:K$108,'Pag 08_Legendas'!B$12,'Página 02_Retorno'!B$7:B$108,'Página 01_Cadastro'!B$2))+J106</f>
        <v>0</v>
      </c>
      <c r="K9" s="21">
        <f>(COUNTIFS('Página 02_Retorno'!I$7:I$108,'Pag 05_Modalidade_APROVADO'!A9,'Página 02_Retorno'!K$7:K$108,'Pag 08_Legendas'!B$12,'Página 02_Retorno'!C$7:C$108,"S",'Página 02_Retorno'!B$7:B$108,'Página 01_Cadastro'!B$2))+K106</f>
        <v>0</v>
      </c>
    </row>
    <row r="10" spans="1:11" x14ac:dyDescent="0.2">
      <c r="A10" s="89" t="s">
        <v>2</v>
      </c>
      <c r="B10" s="21">
        <f>(COUNTIFS('Página 02_Retorno'!I$7:I$108,'Pag 05_Modalidade_APROVADO'!A10,'Página 02_Retorno'!K$7:K$108,'Pag 08_Legendas'!B$12,'Página 02_Retorno'!C$7:C$108,"S"))+B107</f>
        <v>0</v>
      </c>
      <c r="C10" s="22">
        <f>(SUMIFS('Página 02_Retorno'!O$7:O$108,'Página 02_Retorno'!I$7:I$108,'Pag 05_Modalidade_APROVADO'!A10,'Página 02_Retorno'!K$7:K$108,'Pag 08_Legendas'!B$12))+C107</f>
        <v>0</v>
      </c>
      <c r="D10" s="22">
        <f>(SUMIFS('Página 02_Retorno'!P$7:P$108,'Página 02_Retorno'!I$7:I$108,'Pag 05_Modalidade_APROVADO'!A10,'Página 02_Retorno'!K$7:K$108,'Pag 08_Legendas'!B$12))+D107</f>
        <v>0</v>
      </c>
      <c r="E10" s="22">
        <f>(SUMIFS('Página 02_Retorno'!Q$7:Q$108,'Página 02_Retorno'!I$7:I$108,'Pag 05_Modalidade_APROVADO'!A10,'Página 02_Retorno'!K$7:K$108,'Pag 08_Legendas'!B$12))+E107</f>
        <v>0</v>
      </c>
      <c r="F10" s="22">
        <f>(SUMIFS('Página 02_Retorno'!R$7:R$108,'Página 02_Retorno'!I$7:I$108,'Pag 05_Modalidade_APROVADO'!A10,'Página 02_Retorno'!K$7:K$108,'Pag 08_Legendas'!B$12))+F107</f>
        <v>0</v>
      </c>
      <c r="G10" s="22">
        <f>(SUMIFS('Página 02_Retorno'!S$7:S$108,'Página 02_Retorno'!I$7:I$108,'Pag 05_Modalidade_APROVADO'!A10,'Página 02_Retorno'!K$7:K$108,'Pag 08_Legendas'!B$12))+G107</f>
        <v>0</v>
      </c>
      <c r="H10" s="22">
        <f>(SUMIFS('Página 02_Retorno'!T$7:T$108,'Página 02_Retorno'!I$7:I$108,'Pag 05_Modalidade_APROVADO'!A10,'Página 02_Retorno'!K$7:K$108,'Pag 08_Legendas'!B$12))+H107</f>
        <v>0</v>
      </c>
      <c r="I10" s="22">
        <f t="shared" si="0"/>
        <v>0</v>
      </c>
      <c r="J10" s="86">
        <f>(SUMIFS('Página 02_Retorno'!U$7:U$108,'Página 02_Retorno'!I$7:I$108,'Pag 05_Modalidade_APROVADO'!A10,'Página 02_Retorno'!K$7:K$108,'Pag 08_Legendas'!B$12,'Página 02_Retorno'!B$7:B$108,'Página 01_Cadastro'!B$2))+J107</f>
        <v>0</v>
      </c>
      <c r="K10" s="21">
        <f>(COUNTIFS('Página 02_Retorno'!I$7:I$108,'Pag 05_Modalidade_APROVADO'!A10,'Página 02_Retorno'!K$7:K$108,'Pag 08_Legendas'!B$12,'Página 02_Retorno'!C$7:C$108,"S",'Página 02_Retorno'!B$7:B$108,'Página 01_Cadastro'!B$2))+K107</f>
        <v>0</v>
      </c>
    </row>
    <row r="11" spans="1:11" x14ac:dyDescent="0.2">
      <c r="A11" s="89" t="s">
        <v>4</v>
      </c>
      <c r="B11" s="21">
        <f>(COUNTIFS('Página 02_Retorno'!I$7:I$108,'Pag 05_Modalidade_APROVADO'!A11,'Página 02_Retorno'!K$7:K$108,'Pag 08_Legendas'!B$12,'Página 02_Retorno'!C$7:C$108,"S"))+B108</f>
        <v>0</v>
      </c>
      <c r="C11" s="22">
        <f>(SUMIFS('Página 02_Retorno'!O$7:O$108,'Página 02_Retorno'!I$7:I$108,'Pag 05_Modalidade_APROVADO'!A11,'Página 02_Retorno'!K$7:K$108,'Pag 08_Legendas'!B$12))+C108</f>
        <v>0</v>
      </c>
      <c r="D11" s="22">
        <f>(SUMIFS('Página 02_Retorno'!P$7:P$108,'Página 02_Retorno'!I$7:I$108,'Pag 05_Modalidade_APROVADO'!A11,'Página 02_Retorno'!K$7:K$108,'Pag 08_Legendas'!B$12))+D108</f>
        <v>0</v>
      </c>
      <c r="E11" s="22">
        <f>(SUMIFS('Página 02_Retorno'!Q$7:Q$108,'Página 02_Retorno'!I$7:I$108,'Pag 05_Modalidade_APROVADO'!A11,'Página 02_Retorno'!K$7:K$108,'Pag 08_Legendas'!B$12))+E108</f>
        <v>0</v>
      </c>
      <c r="F11" s="22">
        <f>(SUMIFS('Página 02_Retorno'!R$7:R$108,'Página 02_Retorno'!I$7:I$108,'Pag 05_Modalidade_APROVADO'!A11,'Página 02_Retorno'!K$7:K$108,'Pag 08_Legendas'!B$12))+F108</f>
        <v>0</v>
      </c>
      <c r="G11" s="22">
        <f>(SUMIFS('Página 02_Retorno'!S$7:S$108,'Página 02_Retorno'!I$7:I$108,'Pag 05_Modalidade_APROVADO'!A11,'Página 02_Retorno'!K$7:K$108,'Pag 08_Legendas'!B$12))+G108</f>
        <v>0</v>
      </c>
      <c r="H11" s="22">
        <f>(SUMIFS('Página 02_Retorno'!T$7:T$108,'Página 02_Retorno'!I$7:I$108,'Pag 05_Modalidade_APROVADO'!A11,'Página 02_Retorno'!K$7:K$108,'Pag 08_Legendas'!B$12))+H108</f>
        <v>0</v>
      </c>
      <c r="I11" s="22">
        <f t="shared" si="0"/>
        <v>0</v>
      </c>
      <c r="J11" s="86">
        <f>(SUMIFS('Página 02_Retorno'!U$7:U$108,'Página 02_Retorno'!I$7:I$108,'Pag 05_Modalidade_APROVADO'!A11,'Página 02_Retorno'!K$7:K$108,'Pag 08_Legendas'!B$12,'Página 02_Retorno'!B$7:B$108,'Página 01_Cadastro'!B$2))+J108</f>
        <v>0</v>
      </c>
      <c r="K11" s="21">
        <f>(COUNTIFS('Página 02_Retorno'!I$7:I$108,'Pag 05_Modalidade_APROVADO'!A11,'Página 02_Retorno'!K$7:K$108,'Pag 08_Legendas'!B$12,'Página 02_Retorno'!C$7:C$108,"S",'Página 02_Retorno'!B$7:B$108,'Página 01_Cadastro'!B$2))+K108</f>
        <v>0</v>
      </c>
    </row>
    <row r="12" spans="1:11" x14ac:dyDescent="0.2">
      <c r="A12" s="89" t="s">
        <v>3</v>
      </c>
      <c r="B12" s="21">
        <f>(COUNTIFS('Página 02_Retorno'!I$7:I$108,'Pag 05_Modalidade_APROVADO'!A12,'Página 02_Retorno'!K$7:K$108,'Pag 08_Legendas'!B$12,'Página 02_Retorno'!C$7:C$108,"S"))+B109</f>
        <v>0</v>
      </c>
      <c r="C12" s="22">
        <f>(SUMIFS('Página 02_Retorno'!O$7:O$108,'Página 02_Retorno'!I$7:I$108,'Pag 05_Modalidade_APROVADO'!A12,'Página 02_Retorno'!K$7:K$108,'Pag 08_Legendas'!B$12))+C109</f>
        <v>0</v>
      </c>
      <c r="D12" s="22">
        <f>(SUMIFS('Página 02_Retorno'!P$7:P$108,'Página 02_Retorno'!I$7:I$108,'Pag 05_Modalidade_APROVADO'!A12,'Página 02_Retorno'!K$7:K$108,'Pag 08_Legendas'!B$12))+D109</f>
        <v>0</v>
      </c>
      <c r="E12" s="22">
        <f>(SUMIFS('Página 02_Retorno'!Q$7:Q$108,'Página 02_Retorno'!I$7:I$108,'Pag 05_Modalidade_APROVADO'!A12,'Página 02_Retorno'!K$7:K$108,'Pag 08_Legendas'!B$12))+E109</f>
        <v>0</v>
      </c>
      <c r="F12" s="22">
        <f>(SUMIFS('Página 02_Retorno'!R$7:R$108,'Página 02_Retorno'!I$7:I$108,'Pag 05_Modalidade_APROVADO'!A12,'Página 02_Retorno'!K$7:K$108,'Pag 08_Legendas'!B$12))+F109</f>
        <v>0</v>
      </c>
      <c r="G12" s="22">
        <f>(SUMIFS('Página 02_Retorno'!S$7:S$108,'Página 02_Retorno'!I$7:I$108,'Pag 05_Modalidade_APROVADO'!A12,'Página 02_Retorno'!K$7:K$108,'Pag 08_Legendas'!B$12))+G109</f>
        <v>0</v>
      </c>
      <c r="H12" s="22">
        <f>(SUMIFS('Página 02_Retorno'!T$7:T$108,'Página 02_Retorno'!I$7:I$108,'Pag 05_Modalidade_APROVADO'!A12,'Página 02_Retorno'!K$7:K$108,'Pag 08_Legendas'!B$12))+H109</f>
        <v>0</v>
      </c>
      <c r="I12" s="22">
        <f t="shared" si="0"/>
        <v>0</v>
      </c>
      <c r="J12" s="86">
        <f>(SUMIFS('Página 02_Retorno'!U$7:U$108,'Página 02_Retorno'!I$7:I$108,'Pag 05_Modalidade_APROVADO'!A12,'Página 02_Retorno'!K$7:K$108,'Pag 08_Legendas'!B$12,'Página 02_Retorno'!B$7:B$108,'Página 01_Cadastro'!B$2))+J109</f>
        <v>0</v>
      </c>
      <c r="K12" s="21">
        <f>(COUNTIFS('Página 02_Retorno'!I$7:I$108,'Pag 05_Modalidade_APROVADO'!A12,'Página 02_Retorno'!K$7:K$108,'Pag 08_Legendas'!B$12,'Página 02_Retorno'!C$7:C$108,"S",'Página 02_Retorno'!B$7:B$108,'Página 01_Cadastro'!B$2))+K109</f>
        <v>0</v>
      </c>
    </row>
    <row r="13" spans="1:11" x14ac:dyDescent="0.2">
      <c r="A13" s="43" t="s">
        <v>6</v>
      </c>
      <c r="B13" s="69">
        <f>SUM(B6:B12)</f>
        <v>0</v>
      </c>
      <c r="C13" s="34">
        <f t="shared" ref="C13:H13" si="1">SUM(C6:C12)</f>
        <v>0</v>
      </c>
      <c r="D13" s="34">
        <f t="shared" si="1"/>
        <v>0</v>
      </c>
      <c r="E13" s="34">
        <f t="shared" si="1"/>
        <v>0</v>
      </c>
      <c r="F13" s="34">
        <f t="shared" si="1"/>
        <v>0</v>
      </c>
      <c r="G13" s="34">
        <f t="shared" si="1"/>
        <v>0</v>
      </c>
      <c r="H13" s="34">
        <f t="shared" si="1"/>
        <v>0</v>
      </c>
      <c r="I13" s="34">
        <f>SUM(C13:H13)</f>
        <v>0</v>
      </c>
      <c r="J13" s="34">
        <f>SUM(J6:J12)</f>
        <v>0</v>
      </c>
      <c r="K13" s="69">
        <f>SUM(K6:K12)</f>
        <v>0</v>
      </c>
    </row>
    <row r="16" spans="1:11" x14ac:dyDescent="0.2">
      <c r="A16" s="174" t="s">
        <v>86</v>
      </c>
      <c r="B16" s="174"/>
      <c r="C16" s="174"/>
      <c r="D16" s="174"/>
      <c r="E16" s="174"/>
      <c r="F16" s="174"/>
      <c r="G16" s="174"/>
      <c r="H16" s="174"/>
      <c r="I16" s="174"/>
    </row>
    <row r="18" spans="1:11" ht="35.25" x14ac:dyDescent="0.2">
      <c r="A18" s="35" t="s">
        <v>25</v>
      </c>
      <c r="B18" s="36" t="s">
        <v>27</v>
      </c>
      <c r="C18" s="36" t="s">
        <v>16</v>
      </c>
      <c r="D18" s="37" t="s">
        <v>17</v>
      </c>
      <c r="E18" s="37" t="s">
        <v>18</v>
      </c>
      <c r="F18" s="37" t="s">
        <v>19</v>
      </c>
      <c r="G18" s="37" t="s">
        <v>20</v>
      </c>
      <c r="H18" s="37" t="s">
        <v>21</v>
      </c>
      <c r="I18" s="37" t="s">
        <v>28</v>
      </c>
      <c r="J18" s="37" t="s">
        <v>126</v>
      </c>
      <c r="K18" s="37" t="s">
        <v>127</v>
      </c>
    </row>
    <row r="19" spans="1:11" x14ac:dyDescent="0.2">
      <c r="A19" s="89" t="s">
        <v>0</v>
      </c>
      <c r="B19" s="21">
        <f>COUNTIFS('Página 02_Retorno'!I$7:I$108,'Pag 05_Modalidade_APROVADO'!A19,'Página 02_Retorno'!K$7:K$108,'Pag 08_Legendas'!B$11,'Página 02_Retorno'!C$7:C$108,"S")</f>
        <v>0</v>
      </c>
      <c r="C19" s="22">
        <f>SUMIFS('Página 02_Retorno'!O$7:O$108,'Página 02_Retorno'!I$7:I$108,'Pag 05_Modalidade_APROVADO'!A19,'Página 02_Retorno'!K$7:K$108,'Pag 08_Legendas'!B$11)</f>
        <v>0</v>
      </c>
      <c r="D19" s="22">
        <f>SUMIFS('Página 02_Retorno'!P$7:P$108,'Página 02_Retorno'!I$7:I$108,'Pag 05_Modalidade_APROVADO'!A19,'Página 02_Retorno'!K$7:K$108,'Pag 08_Legendas'!B$11)</f>
        <v>0</v>
      </c>
      <c r="E19" s="22">
        <f>SUMIFS('Página 02_Retorno'!Q$7:Q$108,'Página 02_Retorno'!I$7:I$108,'Pag 05_Modalidade_APROVADO'!A19,'Página 02_Retorno'!K$7:K$108,'Pag 08_Legendas'!B$11)</f>
        <v>0</v>
      </c>
      <c r="F19" s="22">
        <f>SUMIFS('Página 02_Retorno'!R$7:R$108,'Página 02_Retorno'!I$7:I$108,'Pag 05_Modalidade_APROVADO'!A19,'Página 02_Retorno'!K$7:K$108,'Pag 08_Legendas'!B$11)</f>
        <v>0</v>
      </c>
      <c r="G19" s="22">
        <f>SUMIFS('Página 02_Retorno'!S$7:S$108,'Página 02_Retorno'!I$7:I$108,'Pag 05_Modalidade_APROVADO'!A19,'Página 02_Retorno'!K$7:K$108,'Pag 08_Legendas'!B$11)</f>
        <v>0</v>
      </c>
      <c r="H19" s="22">
        <f>SUMIFS('Página 02_Retorno'!T$7:T$108,'Página 02_Retorno'!I$7:I$108,'Pag 05_Modalidade_APROVADO'!A19,'Página 02_Retorno'!K$7:K$108,'Pag 08_Legendas'!B$11)</f>
        <v>0</v>
      </c>
      <c r="I19" s="22">
        <f>SUM(C19:H19)</f>
        <v>0</v>
      </c>
      <c r="J19" s="86">
        <f>SUMIFS('Página 02_Retorno'!U$7:U$108,'Página 02_Retorno'!I$7:I$108,'Pag 05_Modalidade_APROVADO'!A19,'Página 02_Retorno'!K$7:K$108,'Pag 08_Legendas'!B$11,'Página 02_Retorno'!B$7:B$108,'Página 01_Cadastro'!B$2)</f>
        <v>0</v>
      </c>
      <c r="K19" s="21">
        <f>COUNTIFS('Página 02_Retorno'!I$7:I$108,'Pag 05_Modalidade_APROVADO'!A19,'Página 02_Retorno'!K$7:K$108,'Pag 08_Legendas'!B$11,'Página 02_Retorno'!C$7:C$108,"S",'Página 02_Retorno'!B$7:B$108,'Página 01_Cadastro'!B$2)</f>
        <v>0</v>
      </c>
    </row>
    <row r="20" spans="1:11" x14ac:dyDescent="0.2">
      <c r="A20" s="89" t="s">
        <v>5</v>
      </c>
      <c r="B20" s="21">
        <f>COUNTIFS('Página 02_Retorno'!I$7:I$108,'Pag 05_Modalidade_APROVADO'!A20,'Página 02_Retorno'!K$7:K$108,'Pag 08_Legendas'!B$11,'Página 02_Retorno'!C$7:C$108,"S")</f>
        <v>0</v>
      </c>
      <c r="C20" s="22">
        <f>SUMIFS('Página 02_Retorno'!O$7:O$108,'Página 02_Retorno'!I$7:I$108,'Pag 05_Modalidade_APROVADO'!A20,'Página 02_Retorno'!K$7:K$108,'Pag 08_Legendas'!B$11)</f>
        <v>0</v>
      </c>
      <c r="D20" s="22">
        <f>SUMIFS('Página 02_Retorno'!P$7:P$108,'Página 02_Retorno'!I$7:I$108,'Pag 05_Modalidade_APROVADO'!A20,'Página 02_Retorno'!K$7:K$108,'Pag 08_Legendas'!B$11)</f>
        <v>0</v>
      </c>
      <c r="E20" s="22">
        <f>SUMIFS('Página 02_Retorno'!Q$7:Q$108,'Página 02_Retorno'!I$7:I$108,'Pag 05_Modalidade_APROVADO'!A20,'Página 02_Retorno'!K$7:K$108,'Pag 08_Legendas'!B$11)</f>
        <v>0</v>
      </c>
      <c r="F20" s="22">
        <f>SUMIFS('Página 02_Retorno'!R$7:R$108,'Página 02_Retorno'!I$7:I$108,'Pag 05_Modalidade_APROVADO'!A20,'Página 02_Retorno'!K$7:K$108,'Pag 08_Legendas'!B$11)</f>
        <v>0</v>
      </c>
      <c r="G20" s="22">
        <f>SUMIFS('Página 02_Retorno'!S$7:S$108,'Página 02_Retorno'!I$7:I$108,'Pag 05_Modalidade_APROVADO'!A20,'Página 02_Retorno'!K$7:K$108,'Pag 08_Legendas'!B$11)</f>
        <v>0</v>
      </c>
      <c r="H20" s="22">
        <f>SUMIFS('Página 02_Retorno'!T$7:T$108,'Página 02_Retorno'!I$7:I$108,'Pag 05_Modalidade_APROVADO'!A20,'Página 02_Retorno'!K$7:K$108,'Pag 08_Legendas'!B$11)</f>
        <v>0</v>
      </c>
      <c r="I20" s="22">
        <f t="shared" ref="I20:I26" si="2">SUM(C20:H20)</f>
        <v>0</v>
      </c>
      <c r="J20" s="86">
        <f>SUMIFS('Página 02_Retorno'!U$7:U$108,'Página 02_Retorno'!I$7:I$108,'Pag 05_Modalidade_APROVADO'!A20,'Página 02_Retorno'!K$7:K$108,'Pag 08_Legendas'!B$11,'Página 02_Retorno'!B$7:B$108,'Página 01_Cadastro'!B$2)</f>
        <v>0</v>
      </c>
      <c r="K20" s="21">
        <f>COUNTIFS('Página 02_Retorno'!I$7:I$108,'Pag 05_Modalidade_APROVADO'!A20,'Página 02_Retorno'!K$7:K$108,'Pag 08_Legendas'!B$11,'Página 02_Retorno'!C$7:C$108,"S",'Página 02_Retorno'!B$7:B$108,'Página 01_Cadastro'!B$2)</f>
        <v>0</v>
      </c>
    </row>
    <row r="21" spans="1:11" x14ac:dyDescent="0.2">
      <c r="A21" s="89" t="s">
        <v>1</v>
      </c>
      <c r="B21" s="21">
        <f>COUNTIFS('Página 02_Retorno'!I$7:I$108,'Pag 05_Modalidade_APROVADO'!A21,'Página 02_Retorno'!K$7:K$108,'Pag 08_Legendas'!B$11,'Página 02_Retorno'!C$7:C$108,"S")</f>
        <v>0</v>
      </c>
      <c r="C21" s="22">
        <f>SUMIFS('Página 02_Retorno'!O$7:O$108,'Página 02_Retorno'!I$7:I$108,'Pag 05_Modalidade_APROVADO'!A21,'Página 02_Retorno'!K$7:K$108,'Pag 08_Legendas'!B$11)</f>
        <v>0</v>
      </c>
      <c r="D21" s="22">
        <f>SUMIFS('Página 02_Retorno'!P$7:P$108,'Página 02_Retorno'!I$7:I$108,'Pag 05_Modalidade_APROVADO'!A21,'Página 02_Retorno'!K$7:K$108,'Pag 08_Legendas'!B$11)</f>
        <v>0</v>
      </c>
      <c r="E21" s="22">
        <f>SUMIFS('Página 02_Retorno'!Q$7:Q$108,'Página 02_Retorno'!I$7:I$108,'Pag 05_Modalidade_APROVADO'!A21,'Página 02_Retorno'!K$7:K$108,'Pag 08_Legendas'!B$11)</f>
        <v>0</v>
      </c>
      <c r="F21" s="22">
        <f>SUMIFS('Página 02_Retorno'!R$7:R$108,'Página 02_Retorno'!I$7:I$108,'Pag 05_Modalidade_APROVADO'!A21,'Página 02_Retorno'!K$7:K$108,'Pag 08_Legendas'!B$11)</f>
        <v>0</v>
      </c>
      <c r="G21" s="22">
        <f>SUMIFS('Página 02_Retorno'!S$7:S$108,'Página 02_Retorno'!I$7:I$108,'Pag 05_Modalidade_APROVADO'!A21,'Página 02_Retorno'!K$7:K$108,'Pag 08_Legendas'!B$11)</f>
        <v>0</v>
      </c>
      <c r="H21" s="22">
        <f>SUMIFS('Página 02_Retorno'!T$7:T$108,'Página 02_Retorno'!I$7:I$108,'Pag 05_Modalidade_APROVADO'!A21,'Página 02_Retorno'!K$7:K$108,'Pag 08_Legendas'!B$11)</f>
        <v>0</v>
      </c>
      <c r="I21" s="22">
        <f t="shared" si="2"/>
        <v>0</v>
      </c>
      <c r="J21" s="86">
        <f>SUMIFS('Página 02_Retorno'!U$7:U$108,'Página 02_Retorno'!I$7:I$108,'Pag 05_Modalidade_APROVADO'!A21,'Página 02_Retorno'!K$7:K$108,'Pag 08_Legendas'!B$11,'Página 02_Retorno'!B$7:B$108,'Página 01_Cadastro'!B$2)</f>
        <v>0</v>
      </c>
      <c r="K21" s="21">
        <f>COUNTIFS('Página 02_Retorno'!I$7:I$108,'Pag 05_Modalidade_APROVADO'!A21,'Página 02_Retorno'!K$7:K$108,'Pag 08_Legendas'!B$11,'Página 02_Retorno'!C$7:C$108,"S",'Página 02_Retorno'!B$7:B$108,'Página 01_Cadastro'!B$2)</f>
        <v>0</v>
      </c>
    </row>
    <row r="22" spans="1:11" x14ac:dyDescent="0.2">
      <c r="A22" s="89" t="s">
        <v>26</v>
      </c>
      <c r="B22" s="21">
        <f>COUNTIFS('Página 02_Retorno'!I$7:I$108,'Pag 05_Modalidade_APROVADO'!A22,'Página 02_Retorno'!K$7:K$108,'Pag 08_Legendas'!B$11,'Página 02_Retorno'!C$7:C$108,"S")</f>
        <v>0</v>
      </c>
      <c r="C22" s="22">
        <f>SUMIFS('Página 02_Retorno'!O$7:O$108,'Página 02_Retorno'!I$7:I$108,'Pag 05_Modalidade_APROVADO'!A22,'Página 02_Retorno'!K$7:K$108,'Pag 08_Legendas'!B$11)</f>
        <v>0</v>
      </c>
      <c r="D22" s="22">
        <f>SUMIFS('Página 02_Retorno'!P$7:P$108,'Página 02_Retorno'!I$7:I$108,'Pag 05_Modalidade_APROVADO'!A22,'Página 02_Retorno'!K$7:K$108,'Pag 08_Legendas'!B$11)</f>
        <v>0</v>
      </c>
      <c r="E22" s="22">
        <f>SUMIFS('Página 02_Retorno'!Q$7:Q$108,'Página 02_Retorno'!I$7:I$108,'Pag 05_Modalidade_APROVADO'!A22,'Página 02_Retorno'!K$7:K$108,'Pag 08_Legendas'!B$11)</f>
        <v>0</v>
      </c>
      <c r="F22" s="22">
        <f>SUMIFS('Página 02_Retorno'!R$7:R$108,'Página 02_Retorno'!I$7:I$108,'Pag 05_Modalidade_APROVADO'!A22,'Página 02_Retorno'!K$7:K$108,'Pag 08_Legendas'!B$11)</f>
        <v>0</v>
      </c>
      <c r="G22" s="22">
        <f>SUMIFS('Página 02_Retorno'!S$7:S$108,'Página 02_Retorno'!I$7:I$108,'Pag 05_Modalidade_APROVADO'!A22,'Página 02_Retorno'!K$7:K$108,'Pag 08_Legendas'!B$11)</f>
        <v>0</v>
      </c>
      <c r="H22" s="22">
        <f>SUMIFS('Página 02_Retorno'!T$7:T$108,'Página 02_Retorno'!I$7:I$108,'Pag 05_Modalidade_APROVADO'!A22,'Página 02_Retorno'!K$7:K$108,'Pag 08_Legendas'!B$11)</f>
        <v>0</v>
      </c>
      <c r="I22" s="22">
        <f t="shared" si="2"/>
        <v>0</v>
      </c>
      <c r="J22" s="86">
        <f>SUMIFS('Página 02_Retorno'!U$7:U$108,'Página 02_Retorno'!I$7:I$108,'Pag 05_Modalidade_APROVADO'!A22,'Página 02_Retorno'!K$7:K$108,'Pag 08_Legendas'!B$11,'Página 02_Retorno'!B$7:B$108,'Página 01_Cadastro'!B$2)</f>
        <v>0</v>
      </c>
      <c r="K22" s="21">
        <f>COUNTIFS('Página 02_Retorno'!I$7:I$108,'Pag 05_Modalidade_APROVADO'!A22,'Página 02_Retorno'!K$7:K$108,'Pag 08_Legendas'!B$11,'Página 02_Retorno'!C$7:C$108,"S",'Página 02_Retorno'!B$7:B$108,'Página 01_Cadastro'!B$2)</f>
        <v>0</v>
      </c>
    </row>
    <row r="23" spans="1:11" x14ac:dyDescent="0.2">
      <c r="A23" s="89" t="s">
        <v>2</v>
      </c>
      <c r="B23" s="21">
        <f>COUNTIFS('Página 02_Retorno'!I$7:I$108,'Pag 05_Modalidade_APROVADO'!A23,'Página 02_Retorno'!K$7:K$108,'Pag 08_Legendas'!B$11,'Página 02_Retorno'!C$7:C$108,"S")</f>
        <v>0</v>
      </c>
      <c r="C23" s="22">
        <f>SUMIFS('Página 02_Retorno'!O$7:O$108,'Página 02_Retorno'!I$7:I$108,'Pag 05_Modalidade_APROVADO'!A23,'Página 02_Retorno'!K$7:K$108,'Pag 08_Legendas'!B$11)</f>
        <v>0</v>
      </c>
      <c r="D23" s="22">
        <f>SUMIFS('Página 02_Retorno'!P$7:P$108,'Página 02_Retorno'!I$7:I$108,'Pag 05_Modalidade_APROVADO'!A23,'Página 02_Retorno'!K$7:K$108,'Pag 08_Legendas'!B$11)</f>
        <v>0</v>
      </c>
      <c r="E23" s="22">
        <f>SUMIFS('Página 02_Retorno'!Q$7:Q$108,'Página 02_Retorno'!I$7:I$108,'Pag 05_Modalidade_APROVADO'!A23,'Página 02_Retorno'!K$7:K$108,'Pag 08_Legendas'!B$11)</f>
        <v>0</v>
      </c>
      <c r="F23" s="22">
        <f>SUMIFS('Página 02_Retorno'!R$7:R$108,'Página 02_Retorno'!I$7:I$108,'Pag 05_Modalidade_APROVADO'!A23,'Página 02_Retorno'!K$7:K$108,'Pag 08_Legendas'!B$11)</f>
        <v>0</v>
      </c>
      <c r="G23" s="22">
        <f>SUMIFS('Página 02_Retorno'!S$7:S$108,'Página 02_Retorno'!I$7:I$108,'Pag 05_Modalidade_APROVADO'!A23,'Página 02_Retorno'!K$7:K$108,'Pag 08_Legendas'!B$11)</f>
        <v>0</v>
      </c>
      <c r="H23" s="22">
        <f>SUMIFS('Página 02_Retorno'!T$7:T$108,'Página 02_Retorno'!I$7:I$108,'Pag 05_Modalidade_APROVADO'!A23,'Página 02_Retorno'!K$7:K$108,'Pag 08_Legendas'!B$11)</f>
        <v>0</v>
      </c>
      <c r="I23" s="22">
        <f t="shared" si="2"/>
        <v>0</v>
      </c>
      <c r="J23" s="86">
        <f>SUMIFS('Página 02_Retorno'!U$7:U$108,'Página 02_Retorno'!I$7:I$108,'Pag 05_Modalidade_APROVADO'!A23,'Página 02_Retorno'!K$7:K$108,'Pag 08_Legendas'!B$11,'Página 02_Retorno'!B$7:B$108,'Página 01_Cadastro'!B$2)</f>
        <v>0</v>
      </c>
      <c r="K23" s="21">
        <f>COUNTIFS('Página 02_Retorno'!I$7:I$108,'Pag 05_Modalidade_APROVADO'!A23,'Página 02_Retorno'!K$7:K$108,'Pag 08_Legendas'!B$11,'Página 02_Retorno'!C$7:C$108,"S",'Página 02_Retorno'!B$7:B$108,'Página 01_Cadastro'!B$2)</f>
        <v>0</v>
      </c>
    </row>
    <row r="24" spans="1:11" x14ac:dyDescent="0.2">
      <c r="A24" s="89" t="s">
        <v>4</v>
      </c>
      <c r="B24" s="21">
        <f>COUNTIFS('Página 02_Retorno'!I$7:I$108,'Pag 05_Modalidade_APROVADO'!A24,'Página 02_Retorno'!K$7:K$108,'Pag 08_Legendas'!B$11,'Página 02_Retorno'!C$7:C$108,"S")</f>
        <v>0</v>
      </c>
      <c r="C24" s="22">
        <f>SUMIFS('Página 02_Retorno'!O$7:O$108,'Página 02_Retorno'!I$7:I$108,'Pag 05_Modalidade_APROVADO'!A24,'Página 02_Retorno'!K$7:K$108,'Pag 08_Legendas'!B$11)</f>
        <v>0</v>
      </c>
      <c r="D24" s="22">
        <f>SUMIFS('Página 02_Retorno'!P$7:P$108,'Página 02_Retorno'!I$7:I$108,'Pag 05_Modalidade_APROVADO'!A24,'Página 02_Retorno'!K$7:K$108,'Pag 08_Legendas'!B$11)</f>
        <v>0</v>
      </c>
      <c r="E24" s="22">
        <f>SUMIFS('Página 02_Retorno'!Q$7:Q$108,'Página 02_Retorno'!I$7:I$108,'Pag 05_Modalidade_APROVADO'!A24,'Página 02_Retorno'!K$7:K$108,'Pag 08_Legendas'!B$11)</f>
        <v>0</v>
      </c>
      <c r="F24" s="22">
        <f>SUMIFS('Página 02_Retorno'!R$7:R$108,'Página 02_Retorno'!I$7:I$108,'Pag 05_Modalidade_APROVADO'!A24,'Página 02_Retorno'!K$7:K$108,'Pag 08_Legendas'!B$11)</f>
        <v>0</v>
      </c>
      <c r="G24" s="22">
        <f>SUMIFS('Página 02_Retorno'!S$7:S$108,'Página 02_Retorno'!I$7:I$108,'Pag 05_Modalidade_APROVADO'!A24,'Página 02_Retorno'!K$7:K$108,'Pag 08_Legendas'!B$11)</f>
        <v>0</v>
      </c>
      <c r="H24" s="22">
        <f>SUMIFS('Página 02_Retorno'!T$7:T$108,'Página 02_Retorno'!I$7:I$108,'Pag 05_Modalidade_APROVADO'!A24,'Página 02_Retorno'!K$7:K$108,'Pag 08_Legendas'!B$11)</f>
        <v>0</v>
      </c>
      <c r="I24" s="22">
        <f t="shared" si="2"/>
        <v>0</v>
      </c>
      <c r="J24" s="86">
        <f>SUMIFS('Página 02_Retorno'!U$7:U$108,'Página 02_Retorno'!I$7:I$108,'Pag 05_Modalidade_APROVADO'!A24,'Página 02_Retorno'!K$7:K$108,'Pag 08_Legendas'!B$11,'Página 02_Retorno'!B$7:B$108,'Página 01_Cadastro'!B$2)</f>
        <v>0</v>
      </c>
      <c r="K24" s="21">
        <f>COUNTIFS('Página 02_Retorno'!I$7:I$108,'Pag 05_Modalidade_APROVADO'!A24,'Página 02_Retorno'!K$7:K$108,'Pag 08_Legendas'!B$11,'Página 02_Retorno'!C$7:C$108,"S",'Página 02_Retorno'!B$7:B$108,'Página 01_Cadastro'!B$2)</f>
        <v>0</v>
      </c>
    </row>
    <row r="25" spans="1:11" x14ac:dyDescent="0.2">
      <c r="A25" s="89" t="s">
        <v>3</v>
      </c>
      <c r="B25" s="21">
        <f>COUNTIFS('Página 02_Retorno'!I$7:I$108,'Pag 05_Modalidade_APROVADO'!A25,'Página 02_Retorno'!K$7:K$108,'Pag 08_Legendas'!B$11,'Página 02_Retorno'!C$7:C$108,"S")</f>
        <v>0</v>
      </c>
      <c r="C25" s="22">
        <f>SUMIFS('Página 02_Retorno'!O$7:O$108,'Página 02_Retorno'!I$7:I$108,'Pag 05_Modalidade_APROVADO'!A25,'Página 02_Retorno'!K$7:K$108,'Pag 08_Legendas'!B$11)</f>
        <v>0</v>
      </c>
      <c r="D25" s="22">
        <f>SUMIFS('Página 02_Retorno'!P$7:P$108,'Página 02_Retorno'!I$7:I$108,'Pag 05_Modalidade_APROVADO'!A25,'Página 02_Retorno'!K$7:K$108,'Pag 08_Legendas'!B$11)</f>
        <v>0</v>
      </c>
      <c r="E25" s="22">
        <f>SUMIFS('Página 02_Retorno'!Q$7:Q$108,'Página 02_Retorno'!I$7:I$108,'Pag 05_Modalidade_APROVADO'!A25,'Página 02_Retorno'!K$7:K$108,'Pag 08_Legendas'!B$11)</f>
        <v>0</v>
      </c>
      <c r="F25" s="22">
        <f>SUMIFS('Página 02_Retorno'!R$7:R$108,'Página 02_Retorno'!I$7:I$108,'Pag 05_Modalidade_APROVADO'!A25,'Página 02_Retorno'!K$7:K$108,'Pag 08_Legendas'!B$11)</f>
        <v>0</v>
      </c>
      <c r="G25" s="22">
        <f>SUMIFS('Página 02_Retorno'!S$7:S$108,'Página 02_Retorno'!I$7:I$108,'Pag 05_Modalidade_APROVADO'!A25,'Página 02_Retorno'!K$7:K$108,'Pag 08_Legendas'!B$11)</f>
        <v>0</v>
      </c>
      <c r="H25" s="22">
        <f>SUMIFS('Página 02_Retorno'!T$7:T$108,'Página 02_Retorno'!I$7:I$108,'Pag 05_Modalidade_APROVADO'!A25,'Página 02_Retorno'!K$7:K$108,'Pag 08_Legendas'!B$11)</f>
        <v>0</v>
      </c>
      <c r="I25" s="22">
        <f t="shared" si="2"/>
        <v>0</v>
      </c>
      <c r="J25" s="86">
        <f>SUMIFS('Página 02_Retorno'!U$7:U$108,'Página 02_Retorno'!I$7:I$108,'Pag 05_Modalidade_APROVADO'!A25,'Página 02_Retorno'!K$7:K$108,'Pag 08_Legendas'!B$11,'Página 02_Retorno'!B$7:B$108,'Página 01_Cadastro'!B$2)</f>
        <v>0</v>
      </c>
      <c r="K25" s="21">
        <f>COUNTIFS('Página 02_Retorno'!I$7:I$108,'Pag 05_Modalidade_APROVADO'!A25,'Página 02_Retorno'!K$7:K$108,'Pag 08_Legendas'!B$11,'Página 02_Retorno'!C$7:C$108,"S",'Página 02_Retorno'!B$7:B$108,'Página 01_Cadastro'!B$2)</f>
        <v>0</v>
      </c>
    </row>
    <row r="26" spans="1:11" x14ac:dyDescent="0.2">
      <c r="A26" s="43" t="s">
        <v>6</v>
      </c>
      <c r="B26" s="69">
        <f>SUM(B19:B25)</f>
        <v>0</v>
      </c>
      <c r="C26" s="34">
        <f t="shared" ref="C26:H26" si="3">SUM(C19:C25)</f>
        <v>0</v>
      </c>
      <c r="D26" s="34">
        <f t="shared" si="3"/>
        <v>0</v>
      </c>
      <c r="E26" s="34">
        <f t="shared" si="3"/>
        <v>0</v>
      </c>
      <c r="F26" s="34">
        <f t="shared" si="3"/>
        <v>0</v>
      </c>
      <c r="G26" s="34">
        <f t="shared" si="3"/>
        <v>0</v>
      </c>
      <c r="H26" s="34">
        <f t="shared" si="3"/>
        <v>0</v>
      </c>
      <c r="I26" s="34">
        <f t="shared" si="2"/>
        <v>0</v>
      </c>
      <c r="J26" s="34">
        <f>SUM(J19:J25)</f>
        <v>0</v>
      </c>
      <c r="K26" s="69">
        <f>SUM(K19:K25)</f>
        <v>0</v>
      </c>
    </row>
    <row r="28" spans="1:11" x14ac:dyDescent="0.2">
      <c r="A28" s="174" t="s">
        <v>87</v>
      </c>
      <c r="B28" s="174"/>
      <c r="C28" s="174"/>
      <c r="D28" s="174"/>
      <c r="E28" s="174"/>
      <c r="F28" s="174"/>
      <c r="G28" s="174"/>
      <c r="H28" s="174"/>
      <c r="I28" s="174"/>
    </row>
    <row r="30" spans="1:11" ht="35.25" x14ac:dyDescent="0.2">
      <c r="A30" s="35" t="s">
        <v>25</v>
      </c>
      <c r="B30" s="36" t="s">
        <v>27</v>
      </c>
      <c r="C30" s="36" t="s">
        <v>16</v>
      </c>
      <c r="D30" s="37" t="s">
        <v>17</v>
      </c>
      <c r="E30" s="37" t="s">
        <v>18</v>
      </c>
      <c r="F30" s="37" t="s">
        <v>19</v>
      </c>
      <c r="G30" s="37" t="s">
        <v>20</v>
      </c>
      <c r="H30" s="37" t="s">
        <v>21</v>
      </c>
      <c r="I30" s="37" t="s">
        <v>28</v>
      </c>
      <c r="J30" s="37" t="s">
        <v>126</v>
      </c>
      <c r="K30" s="37" t="s">
        <v>127</v>
      </c>
    </row>
    <row r="31" spans="1:11" x14ac:dyDescent="0.2">
      <c r="A31" s="89" t="s">
        <v>0</v>
      </c>
      <c r="B31" s="21">
        <f>COUNTIFS('Página 02_Retorno'!I$7:I$108,'Pag 05_Modalidade_APROVADO'!A31,'Página 02_Retorno'!K$7:K$108,'Pag 08_Legendas'!B$7,'Página 02_Retorno'!C$7:C$108,"S")</f>
        <v>0</v>
      </c>
      <c r="C31" s="22">
        <f>SUMIFS('Página 02_Retorno'!O$7:O$108,'Página 02_Retorno'!I$7:I$108,'Pag 05_Modalidade_APROVADO'!A31,'Página 02_Retorno'!K$7:K$108,'Pag 08_Legendas'!B$7)</f>
        <v>0</v>
      </c>
      <c r="D31" s="22">
        <f>SUMIFS('Página 02_Retorno'!P$7:P$108,'Página 02_Retorno'!I$7:I$108,'Pag 05_Modalidade_APROVADO'!A31,'Página 02_Retorno'!K$7:K$108,'Pag 08_Legendas'!B$7)</f>
        <v>0</v>
      </c>
      <c r="E31" s="22">
        <f>SUMIFS('Página 02_Retorno'!Q$7:Q$108,'Página 02_Retorno'!I$7:I$108,'Pag 05_Modalidade_APROVADO'!A31,'Página 02_Retorno'!K$7:K$108,'Pag 08_Legendas'!B$7)</f>
        <v>0</v>
      </c>
      <c r="F31" s="22">
        <f>SUMIFS('Página 02_Retorno'!R$7:R$108,'Página 02_Retorno'!I$7:I$108,'Pag 05_Modalidade_APROVADO'!A31,'Página 02_Retorno'!K$7:K$108,'Pag 08_Legendas'!B$7)</f>
        <v>0</v>
      </c>
      <c r="G31" s="22">
        <f>SUMIFS('Página 02_Retorno'!S$7:S$108,'Página 02_Retorno'!I$7:I$108,'Pag 05_Modalidade_APROVADO'!A31,'Página 02_Retorno'!K$7:K$108,'Pag 08_Legendas'!B$7)</f>
        <v>0</v>
      </c>
      <c r="H31" s="22">
        <f>SUMIFS('Página 02_Retorno'!T$7:T$108,'Página 02_Retorno'!I$7:I$108,'Pag 05_Modalidade_APROVADO'!A31,'Página 02_Retorno'!K$7:K$108,'Pag 08_Legendas'!B$7)</f>
        <v>0</v>
      </c>
      <c r="I31" s="22">
        <f>SUM(C31:H31)</f>
        <v>0</v>
      </c>
      <c r="J31" s="86">
        <f>SUMIFS('Página 02_Retorno'!U$7:U$108,'Página 02_Retorno'!I$7:I$108,'Pag 05_Modalidade_APROVADO'!A31,'Página 02_Retorno'!K$7:K$108,'Pag 08_Legendas'!B$7,'Página 02_Retorno'!B$7:B$108,'Página 01_Cadastro'!B$2)</f>
        <v>0</v>
      </c>
      <c r="K31" s="21">
        <f>COUNTIFS('Página 02_Retorno'!I$7:I$108,'Pag 05_Modalidade_APROVADO'!A31,'Página 02_Retorno'!K$7:K$108,'Pag 08_Legendas'!B$7,'Página 02_Retorno'!C$7:C$108,"S",'Página 02_Retorno'!B$7:B$108,'Página 01_Cadastro'!B$2)</f>
        <v>0</v>
      </c>
    </row>
    <row r="32" spans="1:11" x14ac:dyDescent="0.2">
      <c r="A32" s="89" t="s">
        <v>5</v>
      </c>
      <c r="B32" s="21">
        <f>COUNTIFS('Página 02_Retorno'!I$7:I$108,'Pag 05_Modalidade_APROVADO'!A32,'Página 02_Retorno'!K$7:K$108,'Pag 08_Legendas'!B$7,'Página 02_Retorno'!C$7:C$108,"S")</f>
        <v>0</v>
      </c>
      <c r="C32" s="22">
        <f>SUMIFS('Página 02_Retorno'!O$7:O$108,'Página 02_Retorno'!I$7:I$108,'Pag 05_Modalidade_APROVADO'!A32,'Página 02_Retorno'!K$7:K$108,'Pag 08_Legendas'!B$7)</f>
        <v>0</v>
      </c>
      <c r="D32" s="22">
        <f>SUMIFS('Página 02_Retorno'!P$7:P$108,'Página 02_Retorno'!I$7:I$108,'Pag 05_Modalidade_APROVADO'!A32,'Página 02_Retorno'!K$7:K$108,'Pag 08_Legendas'!B$7)</f>
        <v>0</v>
      </c>
      <c r="E32" s="22">
        <f>SUMIFS('Página 02_Retorno'!Q$7:Q$108,'Página 02_Retorno'!I$7:I$108,'Pag 05_Modalidade_APROVADO'!A32,'Página 02_Retorno'!K$7:K$108,'Pag 08_Legendas'!B$7)</f>
        <v>0</v>
      </c>
      <c r="F32" s="22">
        <f>SUMIFS('Página 02_Retorno'!R$7:R$108,'Página 02_Retorno'!I$7:I$108,'Pag 05_Modalidade_APROVADO'!A32,'Página 02_Retorno'!K$7:K$108,'Pag 08_Legendas'!B$7)</f>
        <v>0</v>
      </c>
      <c r="G32" s="22">
        <f>SUMIFS('Página 02_Retorno'!S$7:S$108,'Página 02_Retorno'!I$7:I$108,'Pag 05_Modalidade_APROVADO'!A32,'Página 02_Retorno'!K$7:K$108,'Pag 08_Legendas'!B$7)</f>
        <v>0</v>
      </c>
      <c r="H32" s="22">
        <f>SUMIFS('Página 02_Retorno'!T$7:T$108,'Página 02_Retorno'!I$7:I$108,'Pag 05_Modalidade_APROVADO'!A32,'Página 02_Retorno'!K$7:K$108,'Pag 08_Legendas'!B$7)</f>
        <v>0</v>
      </c>
      <c r="I32" s="22">
        <f t="shared" ref="I32:I38" si="4">SUM(C32:H32)</f>
        <v>0</v>
      </c>
      <c r="J32" s="86">
        <f>SUMIFS('Página 02_Retorno'!U$7:U$108,'Página 02_Retorno'!I$7:I$108,'Pag 05_Modalidade_APROVADO'!A32,'Página 02_Retorno'!K$7:K$108,'Pag 08_Legendas'!B$7,'Página 02_Retorno'!B$7:B$108,'Página 01_Cadastro'!B$2)</f>
        <v>0</v>
      </c>
      <c r="K32" s="21">
        <f>COUNTIFS('Página 02_Retorno'!I$7:I$108,'Pag 05_Modalidade_APROVADO'!A32,'Página 02_Retorno'!K$7:K$108,'Pag 08_Legendas'!B$7,'Página 02_Retorno'!C$7:C$108,"S",'Página 02_Retorno'!B$7:B$108,'Página 01_Cadastro'!B$2)</f>
        <v>0</v>
      </c>
    </row>
    <row r="33" spans="1:11" x14ac:dyDescent="0.2">
      <c r="A33" s="89" t="s">
        <v>1</v>
      </c>
      <c r="B33" s="21">
        <f>COUNTIFS('Página 02_Retorno'!I$7:I$108,'Pag 05_Modalidade_APROVADO'!A33,'Página 02_Retorno'!K$7:K$108,'Pag 08_Legendas'!B$7,'Página 02_Retorno'!C$7:C$108,"S")</f>
        <v>0</v>
      </c>
      <c r="C33" s="22">
        <f>SUMIFS('Página 02_Retorno'!O$7:O$108,'Página 02_Retorno'!I$7:I$108,'Pag 05_Modalidade_APROVADO'!A33,'Página 02_Retorno'!K$7:K$108,'Pag 08_Legendas'!B$7)</f>
        <v>0</v>
      </c>
      <c r="D33" s="22">
        <f>SUMIFS('Página 02_Retorno'!P$7:P$108,'Página 02_Retorno'!I$7:I$108,'Pag 05_Modalidade_APROVADO'!A33,'Página 02_Retorno'!K$7:K$108,'Pag 08_Legendas'!B$7)</f>
        <v>0</v>
      </c>
      <c r="E33" s="22">
        <f>SUMIFS('Página 02_Retorno'!Q$7:Q$108,'Página 02_Retorno'!I$7:I$108,'Pag 05_Modalidade_APROVADO'!A33,'Página 02_Retorno'!K$7:K$108,'Pag 08_Legendas'!B$7)</f>
        <v>0</v>
      </c>
      <c r="F33" s="22">
        <f>SUMIFS('Página 02_Retorno'!R$7:R$108,'Página 02_Retorno'!I$7:I$108,'Pag 05_Modalidade_APROVADO'!A33,'Página 02_Retorno'!K$7:K$108,'Pag 08_Legendas'!B$7)</f>
        <v>0</v>
      </c>
      <c r="G33" s="22">
        <f>SUMIFS('Página 02_Retorno'!S$7:S$108,'Página 02_Retorno'!I$7:I$108,'Pag 05_Modalidade_APROVADO'!A33,'Página 02_Retorno'!K$7:K$108,'Pag 08_Legendas'!B$7)</f>
        <v>0</v>
      </c>
      <c r="H33" s="22">
        <f>SUMIFS('Página 02_Retorno'!T$7:T$108,'Página 02_Retorno'!I$7:I$108,'Pag 05_Modalidade_APROVADO'!A33,'Página 02_Retorno'!K$7:K$108,'Pag 08_Legendas'!B$7)</f>
        <v>0</v>
      </c>
      <c r="I33" s="22">
        <f t="shared" si="4"/>
        <v>0</v>
      </c>
      <c r="J33" s="86">
        <f>SUMIFS('Página 02_Retorno'!U$7:U$108,'Página 02_Retorno'!I$7:I$108,'Pag 05_Modalidade_APROVADO'!A33,'Página 02_Retorno'!K$7:K$108,'Pag 08_Legendas'!B$7,'Página 02_Retorno'!B$7:B$108,'Página 01_Cadastro'!B$2)</f>
        <v>0</v>
      </c>
      <c r="K33" s="21">
        <f>COUNTIFS('Página 02_Retorno'!I$7:I$108,'Pag 05_Modalidade_APROVADO'!A33,'Página 02_Retorno'!K$7:K$108,'Pag 08_Legendas'!B$7,'Página 02_Retorno'!C$7:C$108,"S",'Página 02_Retorno'!B$7:B$108,'Página 01_Cadastro'!B$2)</f>
        <v>0</v>
      </c>
    </row>
    <row r="34" spans="1:11" x14ac:dyDescent="0.2">
      <c r="A34" s="89" t="s">
        <v>26</v>
      </c>
      <c r="B34" s="21">
        <f>COUNTIFS('Página 02_Retorno'!I$7:I$108,'Pag 05_Modalidade_APROVADO'!A34,'Página 02_Retorno'!K$7:K$108,'Pag 08_Legendas'!B$7,'Página 02_Retorno'!C$7:C$108,"S")</f>
        <v>0</v>
      </c>
      <c r="C34" s="22">
        <f>SUMIFS('Página 02_Retorno'!O$7:O$108,'Página 02_Retorno'!I$7:I$108,'Pag 05_Modalidade_APROVADO'!A34,'Página 02_Retorno'!K$7:K$108,'Pag 08_Legendas'!B$7)</f>
        <v>0</v>
      </c>
      <c r="D34" s="22">
        <f>SUMIFS('Página 02_Retorno'!P$7:P$108,'Página 02_Retorno'!I$7:I$108,'Pag 05_Modalidade_APROVADO'!A34,'Página 02_Retorno'!K$7:K$108,'Pag 08_Legendas'!B$7)</f>
        <v>0</v>
      </c>
      <c r="E34" s="22">
        <f>SUMIFS('Página 02_Retorno'!Q$7:Q$108,'Página 02_Retorno'!I$7:I$108,'Pag 05_Modalidade_APROVADO'!A34,'Página 02_Retorno'!K$7:K$108,'Pag 08_Legendas'!B$7)</f>
        <v>0</v>
      </c>
      <c r="F34" s="22">
        <f>SUMIFS('Página 02_Retorno'!R$7:R$108,'Página 02_Retorno'!I$7:I$108,'Pag 05_Modalidade_APROVADO'!A34,'Página 02_Retorno'!K$7:K$108,'Pag 08_Legendas'!B$7)</f>
        <v>0</v>
      </c>
      <c r="G34" s="22">
        <f>SUMIFS('Página 02_Retorno'!S$7:S$108,'Página 02_Retorno'!I$7:I$108,'Pag 05_Modalidade_APROVADO'!A34,'Página 02_Retorno'!K$7:K$108,'Pag 08_Legendas'!B$7)</f>
        <v>0</v>
      </c>
      <c r="H34" s="22">
        <f>SUMIFS('Página 02_Retorno'!T$7:T$108,'Página 02_Retorno'!I$7:I$108,'Pag 05_Modalidade_APROVADO'!A34,'Página 02_Retorno'!K$7:K$108,'Pag 08_Legendas'!B$7)</f>
        <v>0</v>
      </c>
      <c r="I34" s="22">
        <f t="shared" si="4"/>
        <v>0</v>
      </c>
      <c r="J34" s="86">
        <f>SUMIFS('Página 02_Retorno'!U$7:U$108,'Página 02_Retorno'!I$7:I$108,'Pag 05_Modalidade_APROVADO'!A34,'Página 02_Retorno'!K$7:K$108,'Pag 08_Legendas'!B$7,'Página 02_Retorno'!B$7:B$108,'Página 01_Cadastro'!B$2)</f>
        <v>0</v>
      </c>
      <c r="K34" s="21">
        <f>COUNTIFS('Página 02_Retorno'!I$7:I$108,'Pag 05_Modalidade_APROVADO'!A34,'Página 02_Retorno'!K$7:K$108,'Pag 08_Legendas'!B$7,'Página 02_Retorno'!C$7:C$108,"S",'Página 02_Retorno'!B$7:B$108,'Página 01_Cadastro'!B$2)</f>
        <v>0</v>
      </c>
    </row>
    <row r="35" spans="1:11" x14ac:dyDescent="0.2">
      <c r="A35" s="89" t="s">
        <v>2</v>
      </c>
      <c r="B35" s="21">
        <f>COUNTIFS('Página 02_Retorno'!I$7:I$108,'Pag 05_Modalidade_APROVADO'!A35,'Página 02_Retorno'!K$7:K$108,'Pag 08_Legendas'!B$7,'Página 02_Retorno'!C$7:C$108,"S")</f>
        <v>0</v>
      </c>
      <c r="C35" s="22">
        <f>SUMIFS('Página 02_Retorno'!O$7:O$108,'Página 02_Retorno'!I$7:I$108,'Pag 05_Modalidade_APROVADO'!A35,'Página 02_Retorno'!K$7:K$108,'Pag 08_Legendas'!B$7)</f>
        <v>0</v>
      </c>
      <c r="D35" s="22">
        <f>SUMIFS('Página 02_Retorno'!P$7:P$108,'Página 02_Retorno'!I$7:I$108,'Pag 05_Modalidade_APROVADO'!A35,'Página 02_Retorno'!K$7:K$108,'Pag 08_Legendas'!B$7)</f>
        <v>0</v>
      </c>
      <c r="E35" s="22">
        <f>SUMIFS('Página 02_Retorno'!Q$7:Q$108,'Página 02_Retorno'!I$7:I$108,'Pag 05_Modalidade_APROVADO'!A35,'Página 02_Retorno'!K$7:K$108,'Pag 08_Legendas'!B$7)</f>
        <v>0</v>
      </c>
      <c r="F35" s="22">
        <f>SUMIFS('Página 02_Retorno'!R$7:R$108,'Página 02_Retorno'!I$7:I$108,'Pag 05_Modalidade_APROVADO'!A35,'Página 02_Retorno'!K$7:K$108,'Pag 08_Legendas'!B$7)</f>
        <v>0</v>
      </c>
      <c r="G35" s="22">
        <f>SUMIFS('Página 02_Retorno'!S$7:S$108,'Página 02_Retorno'!I$7:I$108,'Pag 05_Modalidade_APROVADO'!A35,'Página 02_Retorno'!K$7:K$108,'Pag 08_Legendas'!B$7)</f>
        <v>0</v>
      </c>
      <c r="H35" s="22">
        <f>SUMIFS('Página 02_Retorno'!T$7:T$108,'Página 02_Retorno'!I$7:I$108,'Pag 05_Modalidade_APROVADO'!A35,'Página 02_Retorno'!K$7:K$108,'Pag 08_Legendas'!B$7)</f>
        <v>0</v>
      </c>
      <c r="I35" s="22">
        <f t="shared" si="4"/>
        <v>0</v>
      </c>
      <c r="J35" s="86">
        <f>SUMIFS('Página 02_Retorno'!U$7:U$108,'Página 02_Retorno'!I$7:I$108,'Pag 05_Modalidade_APROVADO'!A35,'Página 02_Retorno'!K$7:K$108,'Pag 08_Legendas'!B$7,'Página 02_Retorno'!B$7:B$108,'Página 01_Cadastro'!B$2)</f>
        <v>0</v>
      </c>
      <c r="K35" s="21">
        <f>COUNTIFS('Página 02_Retorno'!I$7:I$108,'Pag 05_Modalidade_APROVADO'!A35,'Página 02_Retorno'!K$7:K$108,'Pag 08_Legendas'!B$7,'Página 02_Retorno'!C$7:C$108,"S",'Página 02_Retorno'!B$7:B$108,'Página 01_Cadastro'!B$2)</f>
        <v>0</v>
      </c>
    </row>
    <row r="36" spans="1:11" x14ac:dyDescent="0.2">
      <c r="A36" s="89" t="s">
        <v>4</v>
      </c>
      <c r="B36" s="21">
        <f>COUNTIFS('Página 02_Retorno'!I$7:I$108,'Pag 05_Modalidade_APROVADO'!A36,'Página 02_Retorno'!K$7:K$108,'Pag 08_Legendas'!B$7,'Página 02_Retorno'!C$7:C$108,"S")</f>
        <v>0</v>
      </c>
      <c r="C36" s="22">
        <f>SUMIFS('Página 02_Retorno'!O$7:O$108,'Página 02_Retorno'!I$7:I$108,'Pag 05_Modalidade_APROVADO'!A36,'Página 02_Retorno'!K$7:K$108,'Pag 08_Legendas'!B$7)</f>
        <v>0</v>
      </c>
      <c r="D36" s="22">
        <f>SUMIFS('Página 02_Retorno'!P$7:P$108,'Página 02_Retorno'!I$7:I$108,'Pag 05_Modalidade_APROVADO'!A36,'Página 02_Retorno'!K$7:K$108,'Pag 08_Legendas'!B$7)</f>
        <v>0</v>
      </c>
      <c r="E36" s="22">
        <f>SUMIFS('Página 02_Retorno'!Q$7:Q$108,'Página 02_Retorno'!I$7:I$108,'Pag 05_Modalidade_APROVADO'!A36,'Página 02_Retorno'!K$7:K$108,'Pag 08_Legendas'!B$7)</f>
        <v>0</v>
      </c>
      <c r="F36" s="22">
        <f>SUMIFS('Página 02_Retorno'!R$7:R$108,'Página 02_Retorno'!I$7:I$108,'Pag 05_Modalidade_APROVADO'!A36,'Página 02_Retorno'!K$7:K$108,'Pag 08_Legendas'!B$7)</f>
        <v>0</v>
      </c>
      <c r="G36" s="22">
        <f>SUMIFS('Página 02_Retorno'!S$7:S$108,'Página 02_Retorno'!I$7:I$108,'Pag 05_Modalidade_APROVADO'!A36,'Página 02_Retorno'!K$7:K$108,'Pag 08_Legendas'!B$7)</f>
        <v>0</v>
      </c>
      <c r="H36" s="22">
        <f>SUMIFS('Página 02_Retorno'!T$7:T$108,'Página 02_Retorno'!I$7:I$108,'Pag 05_Modalidade_APROVADO'!A36,'Página 02_Retorno'!K$7:K$108,'Pag 08_Legendas'!B$7)</f>
        <v>0</v>
      </c>
      <c r="I36" s="22">
        <f t="shared" si="4"/>
        <v>0</v>
      </c>
      <c r="J36" s="86">
        <f>SUMIFS('Página 02_Retorno'!U$7:U$108,'Página 02_Retorno'!I$7:I$108,'Pag 05_Modalidade_APROVADO'!A36,'Página 02_Retorno'!K$7:K$108,'Pag 08_Legendas'!B$7,'Página 02_Retorno'!B$7:B$108,'Página 01_Cadastro'!B$2)</f>
        <v>0</v>
      </c>
      <c r="K36" s="21">
        <f>COUNTIFS('Página 02_Retorno'!I$7:I$108,'Pag 05_Modalidade_APROVADO'!A36,'Página 02_Retorno'!K$7:K$108,'Pag 08_Legendas'!B$7,'Página 02_Retorno'!C$7:C$108,"S",'Página 02_Retorno'!B$7:B$108,'Página 01_Cadastro'!B$2)</f>
        <v>0</v>
      </c>
    </row>
    <row r="37" spans="1:11" x14ac:dyDescent="0.2">
      <c r="A37" s="89" t="s">
        <v>3</v>
      </c>
      <c r="B37" s="21">
        <f>COUNTIFS('Página 02_Retorno'!I$7:I$108,'Pag 05_Modalidade_APROVADO'!A37,'Página 02_Retorno'!K$7:K$108,'Pag 08_Legendas'!B$7,'Página 02_Retorno'!C$7:C$108,"S")</f>
        <v>0</v>
      </c>
      <c r="C37" s="22">
        <f>SUMIFS('Página 02_Retorno'!O$7:O$108,'Página 02_Retorno'!I$7:I$108,'Pag 05_Modalidade_APROVADO'!A37,'Página 02_Retorno'!K$7:K$108,'Pag 08_Legendas'!B$7)</f>
        <v>0</v>
      </c>
      <c r="D37" s="22">
        <f>SUMIFS('Página 02_Retorno'!P$7:P$108,'Página 02_Retorno'!I$7:I$108,'Pag 05_Modalidade_APROVADO'!A37,'Página 02_Retorno'!K$7:K$108,'Pag 08_Legendas'!B$7)</f>
        <v>0</v>
      </c>
      <c r="E37" s="22">
        <f>SUMIFS('Página 02_Retorno'!Q$7:Q$108,'Página 02_Retorno'!I$7:I$108,'Pag 05_Modalidade_APROVADO'!A37,'Página 02_Retorno'!K$7:K$108,'Pag 08_Legendas'!B$7)</f>
        <v>0</v>
      </c>
      <c r="F37" s="22">
        <f>SUMIFS('Página 02_Retorno'!R$7:R$108,'Página 02_Retorno'!I$7:I$108,'Pag 05_Modalidade_APROVADO'!A37,'Página 02_Retorno'!K$7:K$108,'Pag 08_Legendas'!B$7)</f>
        <v>0</v>
      </c>
      <c r="G37" s="22">
        <f>SUMIFS('Página 02_Retorno'!S$7:S$108,'Página 02_Retorno'!I$7:I$108,'Pag 05_Modalidade_APROVADO'!A37,'Página 02_Retorno'!K$7:K$108,'Pag 08_Legendas'!B$7)</f>
        <v>0</v>
      </c>
      <c r="H37" s="22">
        <f>SUMIFS('Página 02_Retorno'!T$7:T$108,'Página 02_Retorno'!I$7:I$108,'Pag 05_Modalidade_APROVADO'!A37,'Página 02_Retorno'!K$7:K$108,'Pag 08_Legendas'!B$7)</f>
        <v>0</v>
      </c>
      <c r="I37" s="22">
        <f t="shared" si="4"/>
        <v>0</v>
      </c>
      <c r="J37" s="86">
        <f>SUMIFS('Página 02_Retorno'!U$7:U$108,'Página 02_Retorno'!I$7:I$108,'Pag 05_Modalidade_APROVADO'!A37,'Página 02_Retorno'!K$7:K$108,'Pag 08_Legendas'!B$7,'Página 02_Retorno'!B$7:B$108,'Página 01_Cadastro'!B$2)</f>
        <v>0</v>
      </c>
      <c r="K37" s="21">
        <f>COUNTIFS('Página 02_Retorno'!I$7:I$108,'Pag 05_Modalidade_APROVADO'!A37,'Página 02_Retorno'!K$7:K$108,'Pag 08_Legendas'!B$7,'Página 02_Retorno'!C$7:C$108,"S",'Página 02_Retorno'!B$7:B$108,'Página 01_Cadastro'!B$2)</f>
        <v>0</v>
      </c>
    </row>
    <row r="38" spans="1:11" x14ac:dyDescent="0.2">
      <c r="A38" s="43" t="s">
        <v>6</v>
      </c>
      <c r="B38" s="69">
        <f>SUM(B31:B37)</f>
        <v>0</v>
      </c>
      <c r="C38" s="34">
        <f t="shared" ref="C38:H38" si="5">SUM(C31:C37)</f>
        <v>0</v>
      </c>
      <c r="D38" s="34">
        <f t="shared" si="5"/>
        <v>0</v>
      </c>
      <c r="E38" s="34">
        <f t="shared" si="5"/>
        <v>0</v>
      </c>
      <c r="F38" s="34">
        <f t="shared" si="5"/>
        <v>0</v>
      </c>
      <c r="G38" s="34">
        <f t="shared" si="5"/>
        <v>0</v>
      </c>
      <c r="H38" s="34">
        <f t="shared" si="5"/>
        <v>0</v>
      </c>
      <c r="I38" s="34">
        <f t="shared" si="4"/>
        <v>0</v>
      </c>
      <c r="J38" s="34">
        <f>SUM(J31:J37)</f>
        <v>0</v>
      </c>
      <c r="K38" s="69">
        <f>SUM(K31:K37)</f>
        <v>0</v>
      </c>
    </row>
    <row r="40" spans="1:11" x14ac:dyDescent="0.2">
      <c r="A40" s="174" t="s">
        <v>88</v>
      </c>
      <c r="B40" s="174"/>
      <c r="C40" s="174"/>
      <c r="D40" s="174"/>
      <c r="E40" s="174"/>
      <c r="F40" s="174"/>
      <c r="G40" s="174"/>
      <c r="H40" s="174"/>
      <c r="I40" s="174"/>
    </row>
    <row r="42" spans="1:11" ht="35.25" x14ac:dyDescent="0.2">
      <c r="A42" s="35" t="s">
        <v>25</v>
      </c>
      <c r="B42" s="36" t="s">
        <v>27</v>
      </c>
      <c r="C42" s="36" t="s">
        <v>16</v>
      </c>
      <c r="D42" s="37" t="s">
        <v>17</v>
      </c>
      <c r="E42" s="37" t="s">
        <v>18</v>
      </c>
      <c r="F42" s="37" t="s">
        <v>19</v>
      </c>
      <c r="G42" s="37" t="s">
        <v>20</v>
      </c>
      <c r="H42" s="37" t="s">
        <v>21</v>
      </c>
      <c r="I42" s="37" t="s">
        <v>28</v>
      </c>
      <c r="J42" s="37" t="s">
        <v>126</v>
      </c>
      <c r="K42" s="37" t="s">
        <v>127</v>
      </c>
    </row>
    <row r="43" spans="1:11" x14ac:dyDescent="0.2">
      <c r="A43" s="89" t="s">
        <v>0</v>
      </c>
      <c r="B43" s="21">
        <f>COUNTIFS('Página 02_Retorno'!I$7:I$108,'Pag 05_Modalidade_APROVADO'!A43,'Página 02_Retorno'!K$7:K$108,'Pag 08_Legendas'!B$13,'Página 02_Retorno'!C$7:C$108,"S")</f>
        <v>0</v>
      </c>
      <c r="C43" s="22">
        <f>SUMIFS('Página 02_Retorno'!O$7:O$108,'Página 02_Retorno'!I$7:I$108,'Pag 05_Modalidade_APROVADO'!A43,'Página 02_Retorno'!K$7:K$108,'Pag 08_Legendas'!B$13)</f>
        <v>0</v>
      </c>
      <c r="D43" s="22">
        <f>SUMIFS('Página 02_Retorno'!P$7:P$108,'Página 02_Retorno'!I$7:I$108,'Pag 05_Modalidade_APROVADO'!A43,'Página 02_Retorno'!K$7:K$108,'Pag 08_Legendas'!B$13)</f>
        <v>0</v>
      </c>
      <c r="E43" s="22">
        <f>SUMIFS('Página 02_Retorno'!Q$7:Q$108,'Página 02_Retorno'!I$7:I$108,'Pag 05_Modalidade_APROVADO'!A43,'Página 02_Retorno'!K$7:K$108,'Pag 08_Legendas'!B$13)</f>
        <v>0</v>
      </c>
      <c r="F43" s="22">
        <f>SUMIFS('Página 02_Retorno'!R$7:R$108,'Página 02_Retorno'!I$7:I$108,'Pag 05_Modalidade_APROVADO'!A43,'Página 02_Retorno'!K$7:K$108,'Pag 08_Legendas'!B$13)</f>
        <v>0</v>
      </c>
      <c r="G43" s="22">
        <f>SUMIFS('Página 02_Retorno'!S$7:S$108,'Página 02_Retorno'!I$7:I$108,'Pag 05_Modalidade_APROVADO'!A43,'Página 02_Retorno'!K$7:K$108,'Pag 08_Legendas'!B$13)</f>
        <v>0</v>
      </c>
      <c r="H43" s="22">
        <f>SUMIFS('Página 02_Retorno'!T$7:T$108,'Página 02_Retorno'!I$7:I$108,'Pag 05_Modalidade_APROVADO'!A43,'Página 02_Retorno'!K$7:K$108,'Pag 08_Legendas'!B$13)</f>
        <v>0</v>
      </c>
      <c r="I43" s="22">
        <f>SUM(C43:H43)</f>
        <v>0</v>
      </c>
      <c r="J43" s="86">
        <f>SUMIFS('Página 02_Retorno'!U$7:U$108,'Página 02_Retorno'!I$7:I$108,'Pag 05_Modalidade_APROVADO'!A43,'Página 02_Retorno'!K$7:K$108,'Pag 08_Legendas'!B$13,'Página 02_Retorno'!B$7:B$108,'Página 01_Cadastro'!B$2)</f>
        <v>0</v>
      </c>
      <c r="K43" s="21">
        <f>COUNTIFS('Página 02_Retorno'!I$7:I$108,'Pag 05_Modalidade_APROVADO'!A43,'Página 02_Retorno'!K$7:K$108,'Pag 08_Legendas'!B$13,'Página 02_Retorno'!C$7:C$108,"S",'Página 02_Retorno'!B$7:B$108,'Página 01_Cadastro'!B$2)</f>
        <v>0</v>
      </c>
    </row>
    <row r="44" spans="1:11" x14ac:dyDescent="0.2">
      <c r="A44" s="89" t="s">
        <v>5</v>
      </c>
      <c r="B44" s="21">
        <f>COUNTIFS('Página 02_Retorno'!I$7:I$108,'Pag 05_Modalidade_APROVADO'!A44,'Página 02_Retorno'!K$7:K$108,'Pag 08_Legendas'!B$13,'Página 02_Retorno'!C$7:C$108,"S")</f>
        <v>0</v>
      </c>
      <c r="C44" s="22">
        <f>SUMIFS('Página 02_Retorno'!O$7:O$108,'Página 02_Retorno'!I$7:I$108,'Pag 05_Modalidade_APROVADO'!A44,'Página 02_Retorno'!K$7:K$108,'Pag 08_Legendas'!B$13)</f>
        <v>0</v>
      </c>
      <c r="D44" s="22">
        <f>SUMIFS('Página 02_Retorno'!P$7:P$108,'Página 02_Retorno'!I$7:I$108,'Pag 05_Modalidade_APROVADO'!A44,'Página 02_Retorno'!K$7:K$108,'Pag 08_Legendas'!B$13)</f>
        <v>0</v>
      </c>
      <c r="E44" s="22">
        <f>SUMIFS('Página 02_Retorno'!Q$7:Q$108,'Página 02_Retorno'!I$7:I$108,'Pag 05_Modalidade_APROVADO'!A44,'Página 02_Retorno'!K$7:K$108,'Pag 08_Legendas'!B$13)</f>
        <v>0</v>
      </c>
      <c r="F44" s="22">
        <f>SUMIFS('Página 02_Retorno'!R$7:R$108,'Página 02_Retorno'!I$7:I$108,'Pag 05_Modalidade_APROVADO'!A44,'Página 02_Retorno'!K$7:K$108,'Pag 08_Legendas'!B$13)</f>
        <v>0</v>
      </c>
      <c r="G44" s="22">
        <f>SUMIFS('Página 02_Retorno'!S$7:S$108,'Página 02_Retorno'!I$7:I$108,'Pag 05_Modalidade_APROVADO'!A44,'Página 02_Retorno'!K$7:K$108,'Pag 08_Legendas'!B$13)</f>
        <v>0</v>
      </c>
      <c r="H44" s="22">
        <f>SUMIFS('Página 02_Retorno'!T$7:T$108,'Página 02_Retorno'!I$7:I$108,'Pag 05_Modalidade_APROVADO'!A44,'Página 02_Retorno'!K$7:K$108,'Pag 08_Legendas'!B$13)</f>
        <v>0</v>
      </c>
      <c r="I44" s="22">
        <f t="shared" ref="I44:I50" si="6">SUM(C44:H44)</f>
        <v>0</v>
      </c>
      <c r="J44" s="86">
        <f>SUMIFS('Página 02_Retorno'!U$7:U$108,'Página 02_Retorno'!I$7:I$108,'Pag 05_Modalidade_APROVADO'!A44,'Página 02_Retorno'!K$7:K$108,'Pag 08_Legendas'!B$13,'Página 02_Retorno'!B$7:B$108,'Página 01_Cadastro'!B$2)</f>
        <v>0</v>
      </c>
      <c r="K44" s="21">
        <f>COUNTIFS('Página 02_Retorno'!I$7:I$108,'Pag 05_Modalidade_APROVADO'!A44,'Página 02_Retorno'!K$7:K$108,'Pag 08_Legendas'!B$13,'Página 02_Retorno'!C$7:C$108,"S",'Página 02_Retorno'!B$7:B$108,'Página 01_Cadastro'!B$2)</f>
        <v>0</v>
      </c>
    </row>
    <row r="45" spans="1:11" x14ac:dyDescent="0.2">
      <c r="A45" s="89" t="s">
        <v>1</v>
      </c>
      <c r="B45" s="21">
        <f>COUNTIFS('Página 02_Retorno'!I$7:I$108,'Pag 05_Modalidade_APROVADO'!A45,'Página 02_Retorno'!K$7:K$108,'Pag 08_Legendas'!B$13,'Página 02_Retorno'!C$7:C$108,"S")</f>
        <v>0</v>
      </c>
      <c r="C45" s="22">
        <f>SUMIFS('Página 02_Retorno'!O$7:O$108,'Página 02_Retorno'!I$7:I$108,'Pag 05_Modalidade_APROVADO'!A45,'Página 02_Retorno'!K$7:K$108,'Pag 08_Legendas'!B$13)</f>
        <v>0</v>
      </c>
      <c r="D45" s="22">
        <f>SUMIFS('Página 02_Retorno'!P$7:P$108,'Página 02_Retorno'!I$7:I$108,'Pag 05_Modalidade_APROVADO'!A45,'Página 02_Retorno'!K$7:K$108,'Pag 08_Legendas'!B$13)</f>
        <v>0</v>
      </c>
      <c r="E45" s="22">
        <f>SUMIFS('Página 02_Retorno'!Q$7:Q$108,'Página 02_Retorno'!I$7:I$108,'Pag 05_Modalidade_APROVADO'!A45,'Página 02_Retorno'!K$7:K$108,'Pag 08_Legendas'!B$13)</f>
        <v>0</v>
      </c>
      <c r="F45" s="22">
        <f>SUMIFS('Página 02_Retorno'!R$7:R$108,'Página 02_Retorno'!I$7:I$108,'Pag 05_Modalidade_APROVADO'!A45,'Página 02_Retorno'!K$7:K$108,'Pag 08_Legendas'!B$13)</f>
        <v>0</v>
      </c>
      <c r="G45" s="22">
        <f>SUMIFS('Página 02_Retorno'!S$7:S$108,'Página 02_Retorno'!I$7:I$108,'Pag 05_Modalidade_APROVADO'!A45,'Página 02_Retorno'!K$7:K$108,'Pag 08_Legendas'!B$13)</f>
        <v>0</v>
      </c>
      <c r="H45" s="22">
        <f>SUMIFS('Página 02_Retorno'!T$7:T$108,'Página 02_Retorno'!I$7:I$108,'Pag 05_Modalidade_APROVADO'!A45,'Página 02_Retorno'!K$7:K$108,'Pag 08_Legendas'!B$13)</f>
        <v>0</v>
      </c>
      <c r="I45" s="22">
        <f t="shared" si="6"/>
        <v>0</v>
      </c>
      <c r="J45" s="86">
        <f>SUMIFS('Página 02_Retorno'!U$7:U$108,'Página 02_Retorno'!I$7:I$108,'Pag 05_Modalidade_APROVADO'!A45,'Página 02_Retorno'!K$7:K$108,'Pag 08_Legendas'!B$13,'Página 02_Retorno'!B$7:B$108,'Página 01_Cadastro'!B$2)</f>
        <v>0</v>
      </c>
      <c r="K45" s="21">
        <f>COUNTIFS('Página 02_Retorno'!I$7:I$108,'Pag 05_Modalidade_APROVADO'!A45,'Página 02_Retorno'!K$7:K$108,'Pag 08_Legendas'!B$13,'Página 02_Retorno'!C$7:C$108,"S",'Página 02_Retorno'!B$7:B$108,'Página 01_Cadastro'!B$2)</f>
        <v>0</v>
      </c>
    </row>
    <row r="46" spans="1:11" x14ac:dyDescent="0.2">
      <c r="A46" s="89" t="s">
        <v>26</v>
      </c>
      <c r="B46" s="21">
        <f>COUNTIFS('Página 02_Retorno'!I$7:I$108,'Pag 05_Modalidade_APROVADO'!A46,'Página 02_Retorno'!K$7:K$108,'Pag 08_Legendas'!B$13,'Página 02_Retorno'!C$7:C$108,"S")</f>
        <v>0</v>
      </c>
      <c r="C46" s="22">
        <f>SUMIFS('Página 02_Retorno'!O$7:O$108,'Página 02_Retorno'!I$7:I$108,'Pag 05_Modalidade_APROVADO'!A46,'Página 02_Retorno'!K$7:K$108,'Pag 08_Legendas'!B$13)</f>
        <v>0</v>
      </c>
      <c r="D46" s="22">
        <f>SUMIFS('Página 02_Retorno'!P$7:P$108,'Página 02_Retorno'!I$7:I$108,'Pag 05_Modalidade_APROVADO'!A46,'Página 02_Retorno'!K$7:K$108,'Pag 08_Legendas'!B$13)</f>
        <v>0</v>
      </c>
      <c r="E46" s="22">
        <f>SUMIFS('Página 02_Retorno'!Q$7:Q$108,'Página 02_Retorno'!I$7:I$108,'Pag 05_Modalidade_APROVADO'!A46,'Página 02_Retorno'!K$7:K$108,'Pag 08_Legendas'!B$13)</f>
        <v>0</v>
      </c>
      <c r="F46" s="22">
        <f>SUMIFS('Página 02_Retorno'!R$7:R$108,'Página 02_Retorno'!I$7:I$108,'Pag 05_Modalidade_APROVADO'!A46,'Página 02_Retorno'!K$7:K$108,'Pag 08_Legendas'!B$13)</f>
        <v>0</v>
      </c>
      <c r="G46" s="22">
        <f>SUMIFS('Página 02_Retorno'!S$7:S$108,'Página 02_Retorno'!I$7:I$108,'Pag 05_Modalidade_APROVADO'!A46,'Página 02_Retorno'!K$7:K$108,'Pag 08_Legendas'!B$13)</f>
        <v>0</v>
      </c>
      <c r="H46" s="22">
        <f>SUMIFS('Página 02_Retorno'!T$7:T$108,'Página 02_Retorno'!I$7:I$108,'Pag 05_Modalidade_APROVADO'!A46,'Página 02_Retorno'!K$7:K$108,'Pag 08_Legendas'!B$13)</f>
        <v>0</v>
      </c>
      <c r="I46" s="22">
        <f t="shared" si="6"/>
        <v>0</v>
      </c>
      <c r="J46" s="86">
        <f>SUMIFS('Página 02_Retorno'!U$7:U$108,'Página 02_Retorno'!I$7:I$108,'Pag 05_Modalidade_APROVADO'!A46,'Página 02_Retorno'!K$7:K$108,'Pag 08_Legendas'!B$13,'Página 02_Retorno'!B$7:B$108,'Página 01_Cadastro'!B$2)</f>
        <v>0</v>
      </c>
      <c r="K46" s="21">
        <f>COUNTIFS('Página 02_Retorno'!I$7:I$108,'Pag 05_Modalidade_APROVADO'!A46,'Página 02_Retorno'!K$7:K$108,'Pag 08_Legendas'!B$13,'Página 02_Retorno'!C$7:C$108,"S",'Página 02_Retorno'!B$7:B$108,'Página 01_Cadastro'!B$2)</f>
        <v>0</v>
      </c>
    </row>
    <row r="47" spans="1:11" x14ac:dyDescent="0.2">
      <c r="A47" s="89" t="s">
        <v>2</v>
      </c>
      <c r="B47" s="21">
        <f>COUNTIFS('Página 02_Retorno'!I$7:I$108,'Pag 05_Modalidade_APROVADO'!A47,'Página 02_Retorno'!K$7:K$108,'Pag 08_Legendas'!B$13,'Página 02_Retorno'!C$7:C$108,"S")</f>
        <v>0</v>
      </c>
      <c r="C47" s="22">
        <f>SUMIFS('Página 02_Retorno'!O$7:O$108,'Página 02_Retorno'!I$7:I$108,'Pag 05_Modalidade_APROVADO'!A47,'Página 02_Retorno'!K$7:K$108,'Pag 08_Legendas'!B$13)</f>
        <v>0</v>
      </c>
      <c r="D47" s="22">
        <f>SUMIFS('Página 02_Retorno'!P$7:P$108,'Página 02_Retorno'!I$7:I$108,'Pag 05_Modalidade_APROVADO'!A47,'Página 02_Retorno'!K$7:K$108,'Pag 08_Legendas'!B$13)</f>
        <v>0</v>
      </c>
      <c r="E47" s="22">
        <f>SUMIFS('Página 02_Retorno'!Q$7:Q$108,'Página 02_Retorno'!I$7:I$108,'Pag 05_Modalidade_APROVADO'!A47,'Página 02_Retorno'!K$7:K$108,'Pag 08_Legendas'!B$13)</f>
        <v>0</v>
      </c>
      <c r="F47" s="22">
        <f>SUMIFS('Página 02_Retorno'!R$7:R$108,'Página 02_Retorno'!I$7:I$108,'Pag 05_Modalidade_APROVADO'!A47,'Página 02_Retorno'!K$7:K$108,'Pag 08_Legendas'!B$13)</f>
        <v>0</v>
      </c>
      <c r="G47" s="22">
        <f>SUMIFS('Página 02_Retorno'!S$7:S$108,'Página 02_Retorno'!I$7:I$108,'Pag 05_Modalidade_APROVADO'!A47,'Página 02_Retorno'!K$7:K$108,'Pag 08_Legendas'!B$13)</f>
        <v>0</v>
      </c>
      <c r="H47" s="22">
        <f>SUMIFS('Página 02_Retorno'!T$7:T$108,'Página 02_Retorno'!I$7:I$108,'Pag 05_Modalidade_APROVADO'!A47,'Página 02_Retorno'!K$7:K$108,'Pag 08_Legendas'!B$13)</f>
        <v>0</v>
      </c>
      <c r="I47" s="22">
        <f t="shared" si="6"/>
        <v>0</v>
      </c>
      <c r="J47" s="86">
        <f>SUMIFS('Página 02_Retorno'!U$7:U$108,'Página 02_Retorno'!I$7:I$108,'Pag 05_Modalidade_APROVADO'!A47,'Página 02_Retorno'!K$7:K$108,'Pag 08_Legendas'!B$13,'Página 02_Retorno'!B$7:B$108,'Página 01_Cadastro'!B$2)</f>
        <v>0</v>
      </c>
      <c r="K47" s="21">
        <f>COUNTIFS('Página 02_Retorno'!I$7:I$108,'Pag 05_Modalidade_APROVADO'!A47,'Página 02_Retorno'!K$7:K$108,'Pag 08_Legendas'!B$13,'Página 02_Retorno'!C$7:C$108,"S",'Página 02_Retorno'!B$7:B$108,'Página 01_Cadastro'!B$2)</f>
        <v>0</v>
      </c>
    </row>
    <row r="48" spans="1:11" x14ac:dyDescent="0.2">
      <c r="A48" s="89" t="s">
        <v>4</v>
      </c>
      <c r="B48" s="21">
        <f>COUNTIFS('Página 02_Retorno'!I$7:I$108,'Pag 05_Modalidade_APROVADO'!A48,'Página 02_Retorno'!K$7:K$108,'Pag 08_Legendas'!B$13,'Página 02_Retorno'!C$7:C$108,"S")</f>
        <v>0</v>
      </c>
      <c r="C48" s="22">
        <f>SUMIFS('Página 02_Retorno'!O$7:O$108,'Página 02_Retorno'!I$7:I$108,'Pag 05_Modalidade_APROVADO'!A48,'Página 02_Retorno'!K$7:K$108,'Pag 08_Legendas'!B$13)</f>
        <v>0</v>
      </c>
      <c r="D48" s="22">
        <f>SUMIFS('Página 02_Retorno'!P$7:P$108,'Página 02_Retorno'!I$7:I$108,'Pag 05_Modalidade_APROVADO'!A48,'Página 02_Retorno'!K$7:K$108,'Pag 08_Legendas'!B$13)</f>
        <v>0</v>
      </c>
      <c r="E48" s="22">
        <f>SUMIFS('Página 02_Retorno'!Q$7:Q$108,'Página 02_Retorno'!I$7:I$108,'Pag 05_Modalidade_APROVADO'!A48,'Página 02_Retorno'!K$7:K$108,'Pag 08_Legendas'!B$13)</f>
        <v>0</v>
      </c>
      <c r="F48" s="22">
        <f>SUMIFS('Página 02_Retorno'!R$7:R$108,'Página 02_Retorno'!I$7:I$108,'Pag 05_Modalidade_APROVADO'!A48,'Página 02_Retorno'!K$7:K$108,'Pag 08_Legendas'!B$13)</f>
        <v>0</v>
      </c>
      <c r="G48" s="22">
        <f>SUMIFS('Página 02_Retorno'!S$7:S$108,'Página 02_Retorno'!I$7:I$108,'Pag 05_Modalidade_APROVADO'!A48,'Página 02_Retorno'!K$7:K$108,'Pag 08_Legendas'!B$13)</f>
        <v>0</v>
      </c>
      <c r="H48" s="22">
        <f>SUMIFS('Página 02_Retorno'!T$7:T$108,'Página 02_Retorno'!I$7:I$108,'Pag 05_Modalidade_APROVADO'!A48,'Página 02_Retorno'!K$7:K$108,'Pag 08_Legendas'!B$13)</f>
        <v>0</v>
      </c>
      <c r="I48" s="22">
        <f t="shared" si="6"/>
        <v>0</v>
      </c>
      <c r="J48" s="86">
        <f>SUMIFS('Página 02_Retorno'!U$7:U$108,'Página 02_Retorno'!I$7:I$108,'Pag 05_Modalidade_APROVADO'!A48,'Página 02_Retorno'!K$7:K$108,'Pag 08_Legendas'!B$13,'Página 02_Retorno'!B$7:B$108,'Página 01_Cadastro'!B$2)</f>
        <v>0</v>
      </c>
      <c r="K48" s="21">
        <f>COUNTIFS('Página 02_Retorno'!I$7:I$108,'Pag 05_Modalidade_APROVADO'!A48,'Página 02_Retorno'!K$7:K$108,'Pag 08_Legendas'!B$13,'Página 02_Retorno'!C$7:C$108,"S",'Página 02_Retorno'!B$7:B$108,'Página 01_Cadastro'!B$2)</f>
        <v>0</v>
      </c>
    </row>
    <row r="49" spans="1:11" x14ac:dyDescent="0.2">
      <c r="A49" s="89" t="s">
        <v>3</v>
      </c>
      <c r="B49" s="21">
        <f>COUNTIFS('Página 02_Retorno'!I$7:I$108,'Pag 05_Modalidade_APROVADO'!A49,'Página 02_Retorno'!K$7:K$108,'Pag 08_Legendas'!B$13,'Página 02_Retorno'!C$7:C$108,"S")</f>
        <v>0</v>
      </c>
      <c r="C49" s="22">
        <f>SUMIFS('Página 02_Retorno'!O$7:O$108,'Página 02_Retorno'!I$7:I$108,'Pag 05_Modalidade_APROVADO'!A49,'Página 02_Retorno'!K$7:K$108,'Pag 08_Legendas'!B$13)</f>
        <v>0</v>
      </c>
      <c r="D49" s="22">
        <f>SUMIFS('Página 02_Retorno'!P$7:P$108,'Página 02_Retorno'!I$7:I$108,'Pag 05_Modalidade_APROVADO'!A49,'Página 02_Retorno'!K$7:K$108,'Pag 08_Legendas'!B$13)</f>
        <v>0</v>
      </c>
      <c r="E49" s="22">
        <f>SUMIFS('Página 02_Retorno'!Q$7:Q$108,'Página 02_Retorno'!I$7:I$108,'Pag 05_Modalidade_APROVADO'!A49,'Página 02_Retorno'!K$7:K$108,'Pag 08_Legendas'!B$13)</f>
        <v>0</v>
      </c>
      <c r="F49" s="22">
        <f>SUMIFS('Página 02_Retorno'!R$7:R$108,'Página 02_Retorno'!I$7:I$108,'Pag 05_Modalidade_APROVADO'!A49,'Página 02_Retorno'!K$7:K$108,'Pag 08_Legendas'!B$13)</f>
        <v>0</v>
      </c>
      <c r="G49" s="22">
        <f>SUMIFS('Página 02_Retorno'!S$7:S$108,'Página 02_Retorno'!I$7:I$108,'Pag 05_Modalidade_APROVADO'!A49,'Página 02_Retorno'!K$7:K$108,'Pag 08_Legendas'!B$13)</f>
        <v>0</v>
      </c>
      <c r="H49" s="22">
        <f>SUMIFS('Página 02_Retorno'!T$7:T$108,'Página 02_Retorno'!I$7:I$108,'Pag 05_Modalidade_APROVADO'!A49,'Página 02_Retorno'!K$7:K$108,'Pag 08_Legendas'!B$13)</f>
        <v>0</v>
      </c>
      <c r="I49" s="22">
        <f t="shared" si="6"/>
        <v>0</v>
      </c>
      <c r="J49" s="86">
        <f>SUMIFS('Página 02_Retorno'!U$7:U$108,'Página 02_Retorno'!I$7:I$108,'Pag 05_Modalidade_APROVADO'!A49,'Página 02_Retorno'!K$7:K$108,'Pag 08_Legendas'!B$13,'Página 02_Retorno'!B$7:B$108,'Página 01_Cadastro'!B$2)</f>
        <v>0</v>
      </c>
      <c r="K49" s="21">
        <f>COUNTIFS('Página 02_Retorno'!I$7:I$108,'Pag 05_Modalidade_APROVADO'!A49,'Página 02_Retorno'!K$7:K$108,'Pag 08_Legendas'!B$13,'Página 02_Retorno'!C$7:C$108,"S",'Página 02_Retorno'!B$7:B$108,'Página 01_Cadastro'!B$2)</f>
        <v>0</v>
      </c>
    </row>
    <row r="50" spans="1:11" x14ac:dyDescent="0.2">
      <c r="A50" s="43" t="s">
        <v>6</v>
      </c>
      <c r="B50" s="69">
        <f>SUM(B43:B49)</f>
        <v>0</v>
      </c>
      <c r="C50" s="34">
        <f t="shared" ref="C50:H50" si="7">SUM(C43:C49)</f>
        <v>0</v>
      </c>
      <c r="D50" s="34">
        <f t="shared" si="7"/>
        <v>0</v>
      </c>
      <c r="E50" s="34">
        <f t="shared" si="7"/>
        <v>0</v>
      </c>
      <c r="F50" s="34">
        <f t="shared" si="7"/>
        <v>0</v>
      </c>
      <c r="G50" s="34">
        <f t="shared" si="7"/>
        <v>0</v>
      </c>
      <c r="H50" s="34">
        <f t="shared" si="7"/>
        <v>0</v>
      </c>
      <c r="I50" s="34">
        <f t="shared" si="6"/>
        <v>0</v>
      </c>
      <c r="J50" s="34">
        <f>SUM(J43:J49)</f>
        <v>0</v>
      </c>
      <c r="K50" s="69">
        <f>SUM(K43:K49)</f>
        <v>0</v>
      </c>
    </row>
    <row r="52" spans="1:11" x14ac:dyDescent="0.2">
      <c r="A52" s="174" t="s">
        <v>89</v>
      </c>
      <c r="B52" s="174"/>
      <c r="C52" s="174"/>
      <c r="D52" s="174"/>
      <c r="E52" s="174"/>
      <c r="F52" s="174"/>
      <c r="G52" s="174"/>
      <c r="H52" s="174"/>
      <c r="I52" s="174"/>
    </row>
    <row r="54" spans="1:11" ht="35.25" x14ac:dyDescent="0.2">
      <c r="A54" s="35" t="s">
        <v>25</v>
      </c>
      <c r="B54" s="36" t="s">
        <v>27</v>
      </c>
      <c r="C54" s="36" t="s">
        <v>16</v>
      </c>
      <c r="D54" s="37" t="s">
        <v>17</v>
      </c>
      <c r="E54" s="37" t="s">
        <v>18</v>
      </c>
      <c r="F54" s="37" t="s">
        <v>19</v>
      </c>
      <c r="G54" s="37" t="s">
        <v>20</v>
      </c>
      <c r="H54" s="37" t="s">
        <v>21</v>
      </c>
      <c r="I54" s="37" t="s">
        <v>28</v>
      </c>
      <c r="J54" s="37" t="s">
        <v>126</v>
      </c>
      <c r="K54" s="37" t="s">
        <v>127</v>
      </c>
    </row>
    <row r="55" spans="1:11" x14ac:dyDescent="0.2">
      <c r="A55" s="89" t="s">
        <v>0</v>
      </c>
      <c r="B55" s="21">
        <f>COUNTIFS('Página 02_Retorno'!I$7:I$108,'Pag 05_Modalidade_APROVADO'!A55,'Página 02_Retorno'!K$7:K$108,'Pag 08_Legendas'!B$6,'Página 02_Retorno'!C$7:C$108,"S")</f>
        <v>0</v>
      </c>
      <c r="C55" s="22">
        <f>SUMIFS('Página 02_Retorno'!O$7:O$108,'Página 02_Retorno'!I$7:I$108,'Pag 05_Modalidade_APROVADO'!A55,'Página 02_Retorno'!K$7:K$108,'Pag 08_Legendas'!B$6)</f>
        <v>0</v>
      </c>
      <c r="D55" s="22">
        <f>SUMIFS('Página 02_Retorno'!P$7:P$108,'Página 02_Retorno'!I$7:I$108,'Pag 05_Modalidade_APROVADO'!A55,'Página 02_Retorno'!K$7:K$108,'Pag 08_Legendas'!B$6)</f>
        <v>0</v>
      </c>
      <c r="E55" s="22">
        <f>SUMIFS('Página 02_Retorno'!Q$7:Q$108,'Página 02_Retorno'!I$7:I$108,'Pag 05_Modalidade_APROVADO'!A55,'Página 02_Retorno'!K$7:K$108,'Pag 08_Legendas'!B$6)</f>
        <v>0</v>
      </c>
      <c r="F55" s="22">
        <f>SUMIFS('Página 02_Retorno'!R$7:R$108,'Página 02_Retorno'!I$7:I$108,'Pag 05_Modalidade_APROVADO'!A55,'Página 02_Retorno'!K$7:K$108,'Pag 08_Legendas'!B$6)</f>
        <v>0</v>
      </c>
      <c r="G55" s="22">
        <f>SUMIFS('Página 02_Retorno'!S$7:S$108,'Página 02_Retorno'!I$7:I$108,'Pag 05_Modalidade_APROVADO'!A55,'Página 02_Retorno'!K$7:K$108,'Pag 08_Legendas'!B$6)</f>
        <v>0</v>
      </c>
      <c r="H55" s="22">
        <f>SUMIFS('Página 02_Retorno'!T$7:T$108,'Página 02_Retorno'!I$7:I$108,'Pag 05_Modalidade_APROVADO'!A55,'Página 02_Retorno'!K$7:K$108,'Pag 08_Legendas'!B$6)</f>
        <v>0</v>
      </c>
      <c r="I55" s="22">
        <f>SUM(C55:H55)</f>
        <v>0</v>
      </c>
      <c r="J55" s="86">
        <f>SUMIFS('Página 02_Retorno'!U$7:U$108,'Página 02_Retorno'!I$7:I$108,'Pag 05_Modalidade_APROVADO'!A55,'Página 02_Retorno'!K$7:K$108,'Pag 08_Legendas'!B$6,'Página 02_Retorno'!B$7:B$108,'Página 01_Cadastro'!B$2)</f>
        <v>0</v>
      </c>
      <c r="K55" s="21">
        <f>COUNTIFS('Página 02_Retorno'!I$7:I$108,'Pag 05_Modalidade_APROVADO'!A55,'Página 02_Retorno'!K$7:K$108,'Pag 08_Legendas'!B$6,'Página 02_Retorno'!C$7:C$108,"S",'Página 02_Retorno'!B$7:B$108,'Página 01_Cadastro'!B$2)</f>
        <v>0</v>
      </c>
    </row>
    <row r="56" spans="1:11" x14ac:dyDescent="0.2">
      <c r="A56" s="89" t="s">
        <v>5</v>
      </c>
      <c r="B56" s="21">
        <f>COUNTIFS('Página 02_Retorno'!I$7:I$108,'Pag 05_Modalidade_APROVADO'!A56,'Página 02_Retorno'!K$7:K$108,'Pag 08_Legendas'!B$6,'Página 02_Retorno'!C$7:C$108,"S")</f>
        <v>0</v>
      </c>
      <c r="C56" s="22">
        <f>SUMIFS('Página 02_Retorno'!O$7:O$108,'Página 02_Retorno'!I$7:I$108,'Pag 05_Modalidade_APROVADO'!A56,'Página 02_Retorno'!K$7:K$108,'Pag 08_Legendas'!B$6)</f>
        <v>0</v>
      </c>
      <c r="D56" s="22">
        <f>SUMIFS('Página 02_Retorno'!P$7:P$108,'Página 02_Retorno'!I$7:I$108,'Pag 05_Modalidade_APROVADO'!A56,'Página 02_Retorno'!K$7:K$108,'Pag 08_Legendas'!B$6)</f>
        <v>0</v>
      </c>
      <c r="E56" s="22">
        <f>SUMIFS('Página 02_Retorno'!Q$7:Q$108,'Página 02_Retorno'!I$7:I$108,'Pag 05_Modalidade_APROVADO'!A56,'Página 02_Retorno'!K$7:K$108,'Pag 08_Legendas'!B$6)</f>
        <v>0</v>
      </c>
      <c r="F56" s="22">
        <f>SUMIFS('Página 02_Retorno'!R$7:R$108,'Página 02_Retorno'!I$7:I$108,'Pag 05_Modalidade_APROVADO'!A56,'Página 02_Retorno'!K$7:K$108,'Pag 08_Legendas'!B$6)</f>
        <v>0</v>
      </c>
      <c r="G56" s="22">
        <f>SUMIFS('Página 02_Retorno'!S$7:S$108,'Página 02_Retorno'!I$7:I$108,'Pag 05_Modalidade_APROVADO'!A56,'Página 02_Retorno'!K$7:K$108,'Pag 08_Legendas'!B$6)</f>
        <v>0</v>
      </c>
      <c r="H56" s="22">
        <f>SUMIFS('Página 02_Retorno'!T$7:T$108,'Página 02_Retorno'!I$7:I$108,'Pag 05_Modalidade_APROVADO'!A56,'Página 02_Retorno'!K$7:K$108,'Pag 08_Legendas'!B$6)</f>
        <v>0</v>
      </c>
      <c r="I56" s="22">
        <f t="shared" ref="I56:I62" si="8">SUM(C56:H56)</f>
        <v>0</v>
      </c>
      <c r="J56" s="86">
        <f>SUMIFS('Página 02_Retorno'!U$7:U$108,'Página 02_Retorno'!I$7:I$108,'Pag 05_Modalidade_APROVADO'!A56,'Página 02_Retorno'!K$7:K$108,'Pag 08_Legendas'!B$6,'Página 02_Retorno'!B$7:B$108,'Página 01_Cadastro'!B$2)</f>
        <v>0</v>
      </c>
      <c r="K56" s="21">
        <f>COUNTIFS('Página 02_Retorno'!I$7:I$108,'Pag 05_Modalidade_APROVADO'!A56,'Página 02_Retorno'!K$7:K$108,'Pag 08_Legendas'!B$6,'Página 02_Retorno'!C$7:C$108,"S",'Página 02_Retorno'!B$7:B$108,'Página 01_Cadastro'!B$2)</f>
        <v>0</v>
      </c>
    </row>
    <row r="57" spans="1:11" x14ac:dyDescent="0.2">
      <c r="A57" s="89" t="s">
        <v>1</v>
      </c>
      <c r="B57" s="21">
        <f>COUNTIFS('Página 02_Retorno'!I$7:I$108,'Pag 05_Modalidade_APROVADO'!A57,'Página 02_Retorno'!K$7:K$108,'Pag 08_Legendas'!B$6,'Página 02_Retorno'!C$7:C$108,"S")</f>
        <v>0</v>
      </c>
      <c r="C57" s="22">
        <f>SUMIFS('Página 02_Retorno'!O$7:O$108,'Página 02_Retorno'!I$7:I$108,'Pag 05_Modalidade_APROVADO'!A57,'Página 02_Retorno'!K$7:K$108,'Pag 08_Legendas'!B$6)</f>
        <v>0</v>
      </c>
      <c r="D57" s="22">
        <f>SUMIFS('Página 02_Retorno'!P$7:P$108,'Página 02_Retorno'!I$7:I$108,'Pag 05_Modalidade_APROVADO'!A57,'Página 02_Retorno'!K$7:K$108,'Pag 08_Legendas'!B$6)</f>
        <v>0</v>
      </c>
      <c r="E57" s="22">
        <f>SUMIFS('Página 02_Retorno'!Q$7:Q$108,'Página 02_Retorno'!I$7:I$108,'Pag 05_Modalidade_APROVADO'!A57,'Página 02_Retorno'!K$7:K$108,'Pag 08_Legendas'!B$6)</f>
        <v>0</v>
      </c>
      <c r="F57" s="22">
        <f>SUMIFS('Página 02_Retorno'!R$7:R$108,'Página 02_Retorno'!I$7:I$108,'Pag 05_Modalidade_APROVADO'!A57,'Página 02_Retorno'!K$7:K$108,'Pag 08_Legendas'!B$6)</f>
        <v>0</v>
      </c>
      <c r="G57" s="22">
        <f>SUMIFS('Página 02_Retorno'!S$7:S$108,'Página 02_Retorno'!I$7:I$108,'Pag 05_Modalidade_APROVADO'!A57,'Página 02_Retorno'!K$7:K$108,'Pag 08_Legendas'!B$6)</f>
        <v>0</v>
      </c>
      <c r="H57" s="22">
        <f>SUMIFS('Página 02_Retorno'!T$7:T$108,'Página 02_Retorno'!I$7:I$108,'Pag 05_Modalidade_APROVADO'!A57,'Página 02_Retorno'!K$7:K$108,'Pag 08_Legendas'!B$6)</f>
        <v>0</v>
      </c>
      <c r="I57" s="22">
        <f t="shared" si="8"/>
        <v>0</v>
      </c>
      <c r="J57" s="86">
        <f>SUMIFS('Página 02_Retorno'!U$7:U$108,'Página 02_Retorno'!I$7:I$108,'Pag 05_Modalidade_APROVADO'!A57,'Página 02_Retorno'!K$7:K$108,'Pag 08_Legendas'!B$6,'Página 02_Retorno'!B$7:B$108,'Página 01_Cadastro'!B$2)</f>
        <v>0</v>
      </c>
      <c r="K57" s="21">
        <f>COUNTIFS('Página 02_Retorno'!I$7:I$108,'Pag 05_Modalidade_APROVADO'!A57,'Página 02_Retorno'!K$7:K$108,'Pag 08_Legendas'!B$6,'Página 02_Retorno'!C$7:C$108,"S",'Página 02_Retorno'!B$7:B$108,'Página 01_Cadastro'!B$2)</f>
        <v>0</v>
      </c>
    </row>
    <row r="58" spans="1:11" x14ac:dyDescent="0.2">
      <c r="A58" s="89" t="s">
        <v>26</v>
      </c>
      <c r="B58" s="21">
        <f>COUNTIFS('Página 02_Retorno'!I$7:I$108,'Pag 05_Modalidade_APROVADO'!A58,'Página 02_Retorno'!K$7:K$108,'Pag 08_Legendas'!B$6,'Página 02_Retorno'!C$7:C$108,"S")</f>
        <v>0</v>
      </c>
      <c r="C58" s="22">
        <f>SUMIFS('Página 02_Retorno'!O$7:O$108,'Página 02_Retorno'!I$7:I$108,'Pag 05_Modalidade_APROVADO'!A58,'Página 02_Retorno'!K$7:K$108,'Pag 08_Legendas'!B$6)</f>
        <v>0</v>
      </c>
      <c r="D58" s="22">
        <f>SUMIFS('Página 02_Retorno'!P$7:P$108,'Página 02_Retorno'!I$7:I$108,'Pag 05_Modalidade_APROVADO'!A58,'Página 02_Retorno'!K$7:K$108,'Pag 08_Legendas'!B$6)</f>
        <v>0</v>
      </c>
      <c r="E58" s="22">
        <f>SUMIFS('Página 02_Retorno'!Q$7:Q$108,'Página 02_Retorno'!I$7:I$108,'Pag 05_Modalidade_APROVADO'!A58,'Página 02_Retorno'!K$7:K$108,'Pag 08_Legendas'!B$6)</f>
        <v>0</v>
      </c>
      <c r="F58" s="22">
        <f>SUMIFS('Página 02_Retorno'!R$7:R$108,'Página 02_Retorno'!I$7:I$108,'Pag 05_Modalidade_APROVADO'!A58,'Página 02_Retorno'!K$7:K$108,'Pag 08_Legendas'!B$6)</f>
        <v>0</v>
      </c>
      <c r="G58" s="22">
        <f>SUMIFS('Página 02_Retorno'!S$7:S$108,'Página 02_Retorno'!I$7:I$108,'Pag 05_Modalidade_APROVADO'!A58,'Página 02_Retorno'!K$7:K$108,'Pag 08_Legendas'!B$6)</f>
        <v>0</v>
      </c>
      <c r="H58" s="22">
        <f>SUMIFS('Página 02_Retorno'!T$7:T$108,'Página 02_Retorno'!I$7:I$108,'Pag 05_Modalidade_APROVADO'!A58,'Página 02_Retorno'!K$7:K$108,'Pag 08_Legendas'!B$6)</f>
        <v>0</v>
      </c>
      <c r="I58" s="22">
        <f t="shared" si="8"/>
        <v>0</v>
      </c>
      <c r="J58" s="86">
        <f>SUMIFS('Página 02_Retorno'!U$7:U$108,'Página 02_Retorno'!I$7:I$108,'Pag 05_Modalidade_APROVADO'!A58,'Página 02_Retorno'!K$7:K$108,'Pag 08_Legendas'!B$6,'Página 02_Retorno'!B$7:B$108,'Página 01_Cadastro'!B$2)</f>
        <v>0</v>
      </c>
      <c r="K58" s="21">
        <f>COUNTIFS('Página 02_Retorno'!I$7:I$108,'Pag 05_Modalidade_APROVADO'!A58,'Página 02_Retorno'!K$7:K$108,'Pag 08_Legendas'!B$6,'Página 02_Retorno'!C$7:C$108,"S",'Página 02_Retorno'!B$7:B$108,'Página 01_Cadastro'!B$2)</f>
        <v>0</v>
      </c>
    </row>
    <row r="59" spans="1:11" x14ac:dyDescent="0.2">
      <c r="A59" s="89" t="s">
        <v>2</v>
      </c>
      <c r="B59" s="21">
        <f>COUNTIFS('Página 02_Retorno'!I$7:I$108,'Pag 05_Modalidade_APROVADO'!A59,'Página 02_Retorno'!K$7:K$108,'Pag 08_Legendas'!B$6,'Página 02_Retorno'!C$7:C$108,"S")</f>
        <v>0</v>
      </c>
      <c r="C59" s="22">
        <f>SUMIFS('Página 02_Retorno'!O$7:O$108,'Página 02_Retorno'!I$7:I$108,'Pag 05_Modalidade_APROVADO'!A59,'Página 02_Retorno'!K$7:K$108,'Pag 08_Legendas'!B$6)</f>
        <v>0</v>
      </c>
      <c r="D59" s="22">
        <f>SUMIFS('Página 02_Retorno'!P$7:P$108,'Página 02_Retorno'!I$7:I$108,'Pag 05_Modalidade_APROVADO'!A59,'Página 02_Retorno'!K$7:K$108,'Pag 08_Legendas'!B$6)</f>
        <v>0</v>
      </c>
      <c r="E59" s="22">
        <f>SUMIFS('Página 02_Retorno'!Q$7:Q$108,'Página 02_Retorno'!I$7:I$108,'Pag 05_Modalidade_APROVADO'!A59,'Página 02_Retorno'!K$7:K$108,'Pag 08_Legendas'!B$6)</f>
        <v>0</v>
      </c>
      <c r="F59" s="22">
        <f>SUMIFS('Página 02_Retorno'!R$7:R$108,'Página 02_Retorno'!I$7:I$108,'Pag 05_Modalidade_APROVADO'!A59,'Página 02_Retorno'!K$7:K$108,'Pag 08_Legendas'!B$6)</f>
        <v>0</v>
      </c>
      <c r="G59" s="22">
        <f>SUMIFS('Página 02_Retorno'!S$7:S$108,'Página 02_Retorno'!I$7:I$108,'Pag 05_Modalidade_APROVADO'!A59,'Página 02_Retorno'!K$7:K$108,'Pag 08_Legendas'!B$6)</f>
        <v>0</v>
      </c>
      <c r="H59" s="22">
        <f>SUMIFS('Página 02_Retorno'!T$7:T$108,'Página 02_Retorno'!I$7:I$108,'Pag 05_Modalidade_APROVADO'!A59,'Página 02_Retorno'!K$7:K$108,'Pag 08_Legendas'!B$6)</f>
        <v>0</v>
      </c>
      <c r="I59" s="22">
        <f t="shared" si="8"/>
        <v>0</v>
      </c>
      <c r="J59" s="86">
        <f>SUMIFS('Página 02_Retorno'!U$7:U$108,'Página 02_Retorno'!I$7:I$108,'Pag 05_Modalidade_APROVADO'!A59,'Página 02_Retorno'!K$7:K$108,'Pag 08_Legendas'!B$6,'Página 02_Retorno'!B$7:B$108,'Página 01_Cadastro'!B$2)</f>
        <v>0</v>
      </c>
      <c r="K59" s="21">
        <f>COUNTIFS('Página 02_Retorno'!I$7:I$108,'Pag 05_Modalidade_APROVADO'!A59,'Página 02_Retorno'!K$7:K$108,'Pag 08_Legendas'!B$6,'Página 02_Retorno'!C$7:C$108,"S",'Página 02_Retorno'!B$7:B$108,'Página 01_Cadastro'!B$2)</f>
        <v>0</v>
      </c>
    </row>
    <row r="60" spans="1:11" x14ac:dyDescent="0.2">
      <c r="A60" s="89" t="s">
        <v>4</v>
      </c>
      <c r="B60" s="21">
        <f>COUNTIFS('Página 02_Retorno'!I$7:I$108,'Pag 05_Modalidade_APROVADO'!A60,'Página 02_Retorno'!K$7:K$108,'Pag 08_Legendas'!B$6,'Página 02_Retorno'!C$7:C$108,"S")</f>
        <v>0</v>
      </c>
      <c r="C60" s="22">
        <f>SUMIFS('Página 02_Retorno'!O$7:O$108,'Página 02_Retorno'!I$7:I$108,'Pag 05_Modalidade_APROVADO'!A60,'Página 02_Retorno'!K$7:K$108,'Pag 08_Legendas'!B$6)</f>
        <v>0</v>
      </c>
      <c r="D60" s="22">
        <f>SUMIFS('Página 02_Retorno'!P$7:P$108,'Página 02_Retorno'!I$7:I$108,'Pag 05_Modalidade_APROVADO'!A60,'Página 02_Retorno'!K$7:K$108,'Pag 08_Legendas'!B$6)</f>
        <v>0</v>
      </c>
      <c r="E60" s="22">
        <f>SUMIFS('Página 02_Retorno'!Q$7:Q$108,'Página 02_Retorno'!I$7:I$108,'Pag 05_Modalidade_APROVADO'!A60,'Página 02_Retorno'!K$7:K$108,'Pag 08_Legendas'!B$6)</f>
        <v>0</v>
      </c>
      <c r="F60" s="22">
        <f>SUMIFS('Página 02_Retorno'!R$7:R$108,'Página 02_Retorno'!I$7:I$108,'Pag 05_Modalidade_APROVADO'!A60,'Página 02_Retorno'!K$7:K$108,'Pag 08_Legendas'!B$6)</f>
        <v>0</v>
      </c>
      <c r="G60" s="22">
        <f>SUMIFS('Página 02_Retorno'!S$7:S$108,'Página 02_Retorno'!I$7:I$108,'Pag 05_Modalidade_APROVADO'!A60,'Página 02_Retorno'!K$7:K$108,'Pag 08_Legendas'!B$6)</f>
        <v>0</v>
      </c>
      <c r="H60" s="22">
        <f>SUMIFS('Página 02_Retorno'!T$7:T$108,'Página 02_Retorno'!I$7:I$108,'Pag 05_Modalidade_APROVADO'!A60,'Página 02_Retorno'!K$7:K$108,'Pag 08_Legendas'!B$6)</f>
        <v>0</v>
      </c>
      <c r="I60" s="22">
        <f t="shared" si="8"/>
        <v>0</v>
      </c>
      <c r="J60" s="86">
        <f>SUMIFS('Página 02_Retorno'!U$7:U$108,'Página 02_Retorno'!I$7:I$108,'Pag 05_Modalidade_APROVADO'!A60,'Página 02_Retorno'!K$7:K$108,'Pag 08_Legendas'!B$6,'Página 02_Retorno'!B$7:B$108,'Página 01_Cadastro'!B$2)</f>
        <v>0</v>
      </c>
      <c r="K60" s="21">
        <f>COUNTIFS('Página 02_Retorno'!I$7:I$108,'Pag 05_Modalidade_APROVADO'!A60,'Página 02_Retorno'!K$7:K$108,'Pag 08_Legendas'!B$6,'Página 02_Retorno'!C$7:C$108,"S",'Página 02_Retorno'!B$7:B$108,'Página 01_Cadastro'!B$2)</f>
        <v>0</v>
      </c>
    </row>
    <row r="61" spans="1:11" x14ac:dyDescent="0.2">
      <c r="A61" s="89" t="s">
        <v>3</v>
      </c>
      <c r="B61" s="21">
        <f>COUNTIFS('Página 02_Retorno'!I$7:I$108,'Pag 05_Modalidade_APROVADO'!A61,'Página 02_Retorno'!K$7:K$108,'Pag 08_Legendas'!B$6,'Página 02_Retorno'!C$7:C$108,"S")</f>
        <v>0</v>
      </c>
      <c r="C61" s="22">
        <f>SUMIFS('Página 02_Retorno'!O$7:O$108,'Página 02_Retorno'!I$7:I$108,'Pag 05_Modalidade_APROVADO'!A61,'Página 02_Retorno'!K$7:K$108,'Pag 08_Legendas'!B$6)</f>
        <v>0</v>
      </c>
      <c r="D61" s="22">
        <f>SUMIFS('Página 02_Retorno'!P$7:P$108,'Página 02_Retorno'!I$7:I$108,'Pag 05_Modalidade_APROVADO'!A61,'Página 02_Retorno'!K$7:K$108,'Pag 08_Legendas'!B$6)</f>
        <v>0</v>
      </c>
      <c r="E61" s="22">
        <f>SUMIFS('Página 02_Retorno'!Q$7:Q$108,'Página 02_Retorno'!I$7:I$108,'Pag 05_Modalidade_APROVADO'!A61,'Página 02_Retorno'!K$7:K$108,'Pag 08_Legendas'!B$6)</f>
        <v>0</v>
      </c>
      <c r="F61" s="22">
        <f>SUMIFS('Página 02_Retorno'!R$7:R$108,'Página 02_Retorno'!I$7:I$108,'Pag 05_Modalidade_APROVADO'!A61,'Página 02_Retorno'!K$7:K$108,'Pag 08_Legendas'!B$6)</f>
        <v>0</v>
      </c>
      <c r="G61" s="22">
        <f>SUMIFS('Página 02_Retorno'!S$7:S$108,'Página 02_Retorno'!I$7:I$108,'Pag 05_Modalidade_APROVADO'!A61,'Página 02_Retorno'!K$7:K$108,'Pag 08_Legendas'!B$6)</f>
        <v>0</v>
      </c>
      <c r="H61" s="22">
        <f>SUMIFS('Página 02_Retorno'!T$7:T$108,'Página 02_Retorno'!I$7:I$108,'Pag 05_Modalidade_APROVADO'!A61,'Página 02_Retorno'!K$7:K$108,'Pag 08_Legendas'!B$6)</f>
        <v>0</v>
      </c>
      <c r="I61" s="22">
        <f t="shared" si="8"/>
        <v>0</v>
      </c>
      <c r="J61" s="86">
        <f>SUMIFS('Página 02_Retorno'!U$7:U$108,'Página 02_Retorno'!I$7:I$108,'Pag 05_Modalidade_APROVADO'!A61,'Página 02_Retorno'!K$7:K$108,'Pag 08_Legendas'!B$6,'Página 02_Retorno'!B$7:B$108,'Página 01_Cadastro'!B$2)</f>
        <v>0</v>
      </c>
      <c r="K61" s="21">
        <f>COUNTIFS('Página 02_Retorno'!I$7:I$108,'Pag 05_Modalidade_APROVADO'!A61,'Página 02_Retorno'!K$7:K$108,'Pag 08_Legendas'!B$6,'Página 02_Retorno'!C$7:C$108,"S",'Página 02_Retorno'!B$7:B$108,'Página 01_Cadastro'!B$2)</f>
        <v>0</v>
      </c>
    </row>
    <row r="62" spans="1:11" x14ac:dyDescent="0.2">
      <c r="A62" s="43" t="s">
        <v>6</v>
      </c>
      <c r="B62" s="31">
        <f>SUM(B55:B61)</f>
        <v>0</v>
      </c>
      <c r="C62" s="33">
        <f t="shared" ref="C62:H62" si="9">SUM(C55:C61)</f>
        <v>0</v>
      </c>
      <c r="D62" s="33">
        <f t="shared" si="9"/>
        <v>0</v>
      </c>
      <c r="E62" s="33">
        <f t="shared" si="9"/>
        <v>0</v>
      </c>
      <c r="F62" s="33">
        <f t="shared" si="9"/>
        <v>0</v>
      </c>
      <c r="G62" s="33">
        <f t="shared" si="9"/>
        <v>0</v>
      </c>
      <c r="H62" s="33">
        <f t="shared" si="9"/>
        <v>0</v>
      </c>
      <c r="I62" s="33">
        <f t="shared" si="8"/>
        <v>0</v>
      </c>
      <c r="J62" s="34">
        <f>SUM(J55:J61)</f>
        <v>0</v>
      </c>
      <c r="K62" s="31">
        <f>SUM(K55:K61)</f>
        <v>0</v>
      </c>
    </row>
    <row r="64" spans="1:11" x14ac:dyDescent="0.2">
      <c r="A64" s="174" t="s">
        <v>90</v>
      </c>
      <c r="B64" s="174"/>
      <c r="C64" s="174"/>
      <c r="D64" s="174"/>
      <c r="E64" s="174"/>
      <c r="F64" s="174"/>
      <c r="G64" s="174"/>
      <c r="H64" s="174"/>
      <c r="I64" s="174"/>
    </row>
    <row r="66" spans="1:11" ht="35.25" x14ac:dyDescent="0.2">
      <c r="A66" s="35" t="s">
        <v>25</v>
      </c>
      <c r="B66" s="36" t="s">
        <v>27</v>
      </c>
      <c r="C66" s="36" t="s">
        <v>16</v>
      </c>
      <c r="D66" s="37" t="s">
        <v>17</v>
      </c>
      <c r="E66" s="37" t="s">
        <v>18</v>
      </c>
      <c r="F66" s="37" t="s">
        <v>19</v>
      </c>
      <c r="G66" s="37" t="s">
        <v>20</v>
      </c>
      <c r="H66" s="37" t="s">
        <v>21</v>
      </c>
      <c r="I66" s="37" t="s">
        <v>28</v>
      </c>
      <c r="J66" s="37" t="s">
        <v>126</v>
      </c>
      <c r="K66" s="37" t="s">
        <v>127</v>
      </c>
    </row>
    <row r="67" spans="1:11" x14ac:dyDescent="0.2">
      <c r="A67" s="89" t="s">
        <v>0</v>
      </c>
      <c r="B67" s="21">
        <f>COUNTIFS('Página 02_Retorno'!I$7:I$108,'Pag 05_Modalidade_APROVADO'!A67,'Página 02_Retorno'!K$7:K$108,'Pag 08_Legendas'!B$8,'Página 02_Retorno'!C$7:C$108,"S")</f>
        <v>0</v>
      </c>
      <c r="C67" s="22">
        <f>SUMIFS('Página 02_Retorno'!O$7:O$108,'Página 02_Retorno'!I$7:I$108,'Pag 05_Modalidade_APROVADO'!A67,'Página 02_Retorno'!K$7:K$108,'Pag 08_Legendas'!B$8)</f>
        <v>0</v>
      </c>
      <c r="D67" s="22">
        <f>SUMIFS('Página 02_Retorno'!P$7:P$108,'Página 02_Retorno'!I$7:I$108,'Pag 05_Modalidade_APROVADO'!A67,'Página 02_Retorno'!K$7:K$108,'Pag 08_Legendas'!B$8)</f>
        <v>0</v>
      </c>
      <c r="E67" s="22">
        <f>SUMIFS('Página 02_Retorno'!Q$7:Q$108,'Página 02_Retorno'!I$7:I$108,'Pag 05_Modalidade_APROVADO'!A67,'Página 02_Retorno'!K$7:K$108,'Pag 08_Legendas'!B$8)</f>
        <v>0</v>
      </c>
      <c r="F67" s="22">
        <f>SUMIFS('Página 02_Retorno'!R$7:R$108,'Página 02_Retorno'!I$7:I$108,'Pag 05_Modalidade_APROVADO'!A67,'Página 02_Retorno'!K$7:K$108,'Pag 08_Legendas'!B$8)</f>
        <v>0</v>
      </c>
      <c r="G67" s="22">
        <f>SUMIFS('Página 02_Retorno'!S$7:S$108,'Página 02_Retorno'!I$7:I$108,'Pag 05_Modalidade_APROVADO'!A67,'Página 02_Retorno'!K$7:K$108,'Pag 08_Legendas'!B$8)</f>
        <v>0</v>
      </c>
      <c r="H67" s="22">
        <f>SUMIFS('Página 02_Retorno'!T$7:T$108,'Página 02_Retorno'!I$7:I$108,'Pag 05_Modalidade_APROVADO'!A67,'Página 02_Retorno'!K$7:K$108,'Pag 08_Legendas'!B$8)</f>
        <v>0</v>
      </c>
      <c r="I67" s="22">
        <f>SUM(C67:H67)</f>
        <v>0</v>
      </c>
      <c r="J67" s="86">
        <f>SUMIFS('Página 02_Retorno'!U$7:U$108,'Página 02_Retorno'!I$7:I$108,'Pag 05_Modalidade_APROVADO'!A67,'Página 02_Retorno'!K$7:K$108,'Pag 08_Legendas'!B$8,'Página 02_Retorno'!B$7:B$108,'Página 01_Cadastro'!B$2)</f>
        <v>0</v>
      </c>
      <c r="K67" s="21">
        <f>COUNTIFS('Página 02_Retorno'!I$7:I$108,'Pag 05_Modalidade_APROVADO'!A67,'Página 02_Retorno'!K$7:K$108,'Pag 08_Legendas'!B$8,'Página 02_Retorno'!C$7:C$108,"S",'Página 02_Retorno'!B$7:B$108,'Página 01_Cadastro'!B$2)</f>
        <v>0</v>
      </c>
    </row>
    <row r="68" spans="1:11" x14ac:dyDescent="0.2">
      <c r="A68" s="89" t="s">
        <v>5</v>
      </c>
      <c r="B68" s="21">
        <f>COUNTIFS('Página 02_Retorno'!I$7:I$108,'Pag 05_Modalidade_APROVADO'!A68,'Página 02_Retorno'!K$7:K$108,'Pag 08_Legendas'!B$8,'Página 02_Retorno'!C$7:C$108,"S")</f>
        <v>0</v>
      </c>
      <c r="C68" s="22">
        <f>SUMIFS('Página 02_Retorno'!O$7:O$108,'Página 02_Retorno'!I$7:I$108,'Pag 05_Modalidade_APROVADO'!A68,'Página 02_Retorno'!K$7:K$108,'Pag 08_Legendas'!B$8)</f>
        <v>0</v>
      </c>
      <c r="D68" s="22">
        <f>SUMIFS('Página 02_Retorno'!P$7:P$108,'Página 02_Retorno'!I$7:I$108,'Pag 05_Modalidade_APROVADO'!A68,'Página 02_Retorno'!K$7:K$108,'Pag 08_Legendas'!B$8)</f>
        <v>0</v>
      </c>
      <c r="E68" s="22">
        <f>SUMIFS('Página 02_Retorno'!Q$7:Q$108,'Página 02_Retorno'!I$7:I$108,'Pag 05_Modalidade_APROVADO'!A68,'Página 02_Retorno'!K$7:K$108,'Pag 08_Legendas'!B$8)</f>
        <v>0</v>
      </c>
      <c r="F68" s="22">
        <f>SUMIFS('Página 02_Retorno'!R$7:R$108,'Página 02_Retorno'!I$7:I$108,'Pag 05_Modalidade_APROVADO'!A68,'Página 02_Retorno'!K$7:K$108,'Pag 08_Legendas'!B$8)</f>
        <v>0</v>
      </c>
      <c r="G68" s="22">
        <f>SUMIFS('Página 02_Retorno'!S$7:S$108,'Página 02_Retorno'!I$7:I$108,'Pag 05_Modalidade_APROVADO'!A68,'Página 02_Retorno'!K$7:K$108,'Pag 08_Legendas'!B$8)</f>
        <v>0</v>
      </c>
      <c r="H68" s="22">
        <f>SUMIFS('Página 02_Retorno'!T$7:T$108,'Página 02_Retorno'!I$7:I$108,'Pag 05_Modalidade_APROVADO'!A68,'Página 02_Retorno'!K$7:K$108,'Pag 08_Legendas'!B$8)</f>
        <v>0</v>
      </c>
      <c r="I68" s="22">
        <f t="shared" ref="I68:I74" si="10">SUM(C68:H68)</f>
        <v>0</v>
      </c>
      <c r="J68" s="86">
        <f>SUMIFS('Página 02_Retorno'!U$7:U$108,'Página 02_Retorno'!I$7:I$108,'Pag 05_Modalidade_APROVADO'!A68,'Página 02_Retorno'!K$7:K$108,'Pag 08_Legendas'!B$8,'Página 02_Retorno'!B$7:B$108,'Página 01_Cadastro'!B$2)</f>
        <v>0</v>
      </c>
      <c r="K68" s="21">
        <f>COUNTIFS('Página 02_Retorno'!I$7:I$108,'Pag 05_Modalidade_APROVADO'!A68,'Página 02_Retorno'!K$7:K$108,'Pag 08_Legendas'!B$8,'Página 02_Retorno'!C$7:C$108,"S",'Página 02_Retorno'!B$7:B$108,'Página 01_Cadastro'!B$2)</f>
        <v>0</v>
      </c>
    </row>
    <row r="69" spans="1:11" x14ac:dyDescent="0.2">
      <c r="A69" s="89" t="s">
        <v>1</v>
      </c>
      <c r="B69" s="21">
        <f>COUNTIFS('Página 02_Retorno'!I$7:I$108,'Pag 05_Modalidade_APROVADO'!A69,'Página 02_Retorno'!K$7:K$108,'Pag 08_Legendas'!B$8,'Página 02_Retorno'!C$7:C$108,"S")</f>
        <v>0</v>
      </c>
      <c r="C69" s="22">
        <f>SUMIFS('Página 02_Retorno'!O$7:O$108,'Página 02_Retorno'!I$7:I$108,'Pag 05_Modalidade_APROVADO'!A69,'Página 02_Retorno'!K$7:K$108,'Pag 08_Legendas'!B$8)</f>
        <v>0</v>
      </c>
      <c r="D69" s="22">
        <f>SUMIFS('Página 02_Retorno'!P$7:P$108,'Página 02_Retorno'!I$7:I$108,'Pag 05_Modalidade_APROVADO'!A69,'Página 02_Retorno'!K$7:K$108,'Pag 08_Legendas'!B$8)</f>
        <v>0</v>
      </c>
      <c r="E69" s="22">
        <f>SUMIFS('Página 02_Retorno'!Q$7:Q$108,'Página 02_Retorno'!I$7:I$108,'Pag 05_Modalidade_APROVADO'!A69,'Página 02_Retorno'!K$7:K$108,'Pag 08_Legendas'!B$8)</f>
        <v>0</v>
      </c>
      <c r="F69" s="22">
        <f>SUMIFS('Página 02_Retorno'!R$7:R$108,'Página 02_Retorno'!I$7:I$108,'Pag 05_Modalidade_APROVADO'!A69,'Página 02_Retorno'!K$7:K$108,'Pag 08_Legendas'!B$8)</f>
        <v>0</v>
      </c>
      <c r="G69" s="22">
        <f>SUMIFS('Página 02_Retorno'!S$7:S$108,'Página 02_Retorno'!I$7:I$108,'Pag 05_Modalidade_APROVADO'!A69,'Página 02_Retorno'!K$7:K$108,'Pag 08_Legendas'!B$8)</f>
        <v>0</v>
      </c>
      <c r="H69" s="22">
        <f>SUMIFS('Página 02_Retorno'!T$7:T$108,'Página 02_Retorno'!I$7:I$108,'Pag 05_Modalidade_APROVADO'!A69,'Página 02_Retorno'!K$7:K$108,'Pag 08_Legendas'!B$8)</f>
        <v>0</v>
      </c>
      <c r="I69" s="22">
        <f t="shared" si="10"/>
        <v>0</v>
      </c>
      <c r="J69" s="86">
        <f>SUMIFS('Página 02_Retorno'!U$7:U$108,'Página 02_Retorno'!I$7:I$108,'Pag 05_Modalidade_APROVADO'!A69,'Página 02_Retorno'!K$7:K$108,'Pag 08_Legendas'!B$8,'Página 02_Retorno'!B$7:B$108,'Página 01_Cadastro'!B$2)</f>
        <v>0</v>
      </c>
      <c r="K69" s="21">
        <f>COUNTIFS('Página 02_Retorno'!I$7:I$108,'Pag 05_Modalidade_APROVADO'!A69,'Página 02_Retorno'!K$7:K$108,'Pag 08_Legendas'!B$8,'Página 02_Retorno'!C$7:C$108,"S",'Página 02_Retorno'!B$7:B$108,'Página 01_Cadastro'!B$2)</f>
        <v>0</v>
      </c>
    </row>
    <row r="70" spans="1:11" x14ac:dyDescent="0.2">
      <c r="A70" s="89" t="s">
        <v>26</v>
      </c>
      <c r="B70" s="21">
        <f>COUNTIFS('Página 02_Retorno'!I$7:I$108,'Pag 05_Modalidade_APROVADO'!A70,'Página 02_Retorno'!K$7:K$108,'Pag 08_Legendas'!B$8,'Página 02_Retorno'!C$7:C$108,"S")</f>
        <v>0</v>
      </c>
      <c r="C70" s="22">
        <f>SUMIFS('Página 02_Retorno'!O$7:O$108,'Página 02_Retorno'!I$7:I$108,'Pag 05_Modalidade_APROVADO'!A70,'Página 02_Retorno'!K$7:K$108,'Pag 08_Legendas'!B$8)</f>
        <v>0</v>
      </c>
      <c r="D70" s="22">
        <f>SUMIFS('Página 02_Retorno'!P$7:P$108,'Página 02_Retorno'!I$7:I$108,'Pag 05_Modalidade_APROVADO'!A70,'Página 02_Retorno'!K$7:K$108,'Pag 08_Legendas'!B$8)</f>
        <v>0</v>
      </c>
      <c r="E70" s="22">
        <f>SUMIFS('Página 02_Retorno'!Q$7:Q$108,'Página 02_Retorno'!I$7:I$108,'Pag 05_Modalidade_APROVADO'!A70,'Página 02_Retorno'!K$7:K$108,'Pag 08_Legendas'!B$8)</f>
        <v>0</v>
      </c>
      <c r="F70" s="22">
        <f>SUMIFS('Página 02_Retorno'!R$7:R$108,'Página 02_Retorno'!I$7:I$108,'Pag 05_Modalidade_APROVADO'!A70,'Página 02_Retorno'!K$7:K$108,'Pag 08_Legendas'!B$8)</f>
        <v>0</v>
      </c>
      <c r="G70" s="22">
        <f>SUMIFS('Página 02_Retorno'!S$7:S$108,'Página 02_Retorno'!I$7:I$108,'Pag 05_Modalidade_APROVADO'!A70,'Página 02_Retorno'!K$7:K$108,'Pag 08_Legendas'!B$8)</f>
        <v>0</v>
      </c>
      <c r="H70" s="22">
        <f>SUMIFS('Página 02_Retorno'!T$7:T$108,'Página 02_Retorno'!I$7:I$108,'Pag 05_Modalidade_APROVADO'!A70,'Página 02_Retorno'!K$7:K$108,'Pag 08_Legendas'!B$8)</f>
        <v>0</v>
      </c>
      <c r="I70" s="22">
        <f t="shared" si="10"/>
        <v>0</v>
      </c>
      <c r="J70" s="86">
        <f>SUMIFS('Página 02_Retorno'!U$7:U$108,'Página 02_Retorno'!I$7:I$108,'Pag 05_Modalidade_APROVADO'!A70,'Página 02_Retorno'!K$7:K$108,'Pag 08_Legendas'!B$8,'Página 02_Retorno'!B$7:B$108,'Página 01_Cadastro'!B$2)</f>
        <v>0</v>
      </c>
      <c r="K70" s="21">
        <f>COUNTIFS('Página 02_Retorno'!I$7:I$108,'Pag 05_Modalidade_APROVADO'!A70,'Página 02_Retorno'!K$7:K$108,'Pag 08_Legendas'!B$8,'Página 02_Retorno'!C$7:C$108,"S",'Página 02_Retorno'!B$7:B$108,'Página 01_Cadastro'!B$2)</f>
        <v>0</v>
      </c>
    </row>
    <row r="71" spans="1:11" x14ac:dyDescent="0.2">
      <c r="A71" s="89" t="s">
        <v>2</v>
      </c>
      <c r="B71" s="21">
        <f>COUNTIFS('Página 02_Retorno'!I$7:I$108,'Pag 05_Modalidade_APROVADO'!A71,'Página 02_Retorno'!K$7:K$108,'Pag 08_Legendas'!B$8,'Página 02_Retorno'!C$7:C$108,"S")</f>
        <v>0</v>
      </c>
      <c r="C71" s="22">
        <f>SUMIFS('Página 02_Retorno'!O$7:O$108,'Página 02_Retorno'!I$7:I$108,'Pag 05_Modalidade_APROVADO'!A71,'Página 02_Retorno'!K$7:K$108,'Pag 08_Legendas'!B$8)</f>
        <v>0</v>
      </c>
      <c r="D71" s="22">
        <f>SUMIFS('Página 02_Retorno'!P$7:P$108,'Página 02_Retorno'!I$7:I$108,'Pag 05_Modalidade_APROVADO'!A71,'Página 02_Retorno'!K$7:K$108,'Pag 08_Legendas'!B$8)</f>
        <v>0</v>
      </c>
      <c r="E71" s="22">
        <f>SUMIFS('Página 02_Retorno'!Q$7:Q$108,'Página 02_Retorno'!I$7:I$108,'Pag 05_Modalidade_APROVADO'!A71,'Página 02_Retorno'!K$7:K$108,'Pag 08_Legendas'!B$8)</f>
        <v>0</v>
      </c>
      <c r="F71" s="22">
        <f>SUMIFS('Página 02_Retorno'!R$7:R$108,'Página 02_Retorno'!I$7:I$108,'Pag 05_Modalidade_APROVADO'!A71,'Página 02_Retorno'!K$7:K$108,'Pag 08_Legendas'!B$8)</f>
        <v>0</v>
      </c>
      <c r="G71" s="22">
        <f>SUMIFS('Página 02_Retorno'!S$7:S$108,'Página 02_Retorno'!I$7:I$108,'Pag 05_Modalidade_APROVADO'!A71,'Página 02_Retorno'!K$7:K$108,'Pag 08_Legendas'!B$8)</f>
        <v>0</v>
      </c>
      <c r="H71" s="22">
        <f>SUMIFS('Página 02_Retorno'!T$7:T$108,'Página 02_Retorno'!I$7:I$108,'Pag 05_Modalidade_APROVADO'!A71,'Página 02_Retorno'!K$7:K$108,'Pag 08_Legendas'!B$8)</f>
        <v>0</v>
      </c>
      <c r="I71" s="22">
        <f t="shared" si="10"/>
        <v>0</v>
      </c>
      <c r="J71" s="86">
        <f>SUMIFS('Página 02_Retorno'!U$7:U$108,'Página 02_Retorno'!I$7:I$108,'Pag 05_Modalidade_APROVADO'!A71,'Página 02_Retorno'!K$7:K$108,'Pag 08_Legendas'!B$8,'Página 02_Retorno'!B$7:B$108,'Página 01_Cadastro'!B$2)</f>
        <v>0</v>
      </c>
      <c r="K71" s="21">
        <f>COUNTIFS('Página 02_Retorno'!I$7:I$108,'Pag 05_Modalidade_APROVADO'!A71,'Página 02_Retorno'!K$7:K$108,'Pag 08_Legendas'!B$8,'Página 02_Retorno'!C$7:C$108,"S",'Página 02_Retorno'!B$7:B$108,'Página 01_Cadastro'!B$2)</f>
        <v>0</v>
      </c>
    </row>
    <row r="72" spans="1:11" x14ac:dyDescent="0.2">
      <c r="A72" s="89" t="s">
        <v>4</v>
      </c>
      <c r="B72" s="21">
        <f>COUNTIFS('Página 02_Retorno'!I$7:I$108,'Pag 05_Modalidade_APROVADO'!A72,'Página 02_Retorno'!K$7:K$108,'Pag 08_Legendas'!B$8,'Página 02_Retorno'!C$7:C$108,"S")</f>
        <v>0</v>
      </c>
      <c r="C72" s="22">
        <f>SUMIFS('Página 02_Retorno'!O$7:O$108,'Página 02_Retorno'!I$7:I$108,'Pag 05_Modalidade_APROVADO'!A72,'Página 02_Retorno'!K$7:K$108,'Pag 08_Legendas'!B$8)</f>
        <v>0</v>
      </c>
      <c r="D72" s="22">
        <f>SUMIFS('Página 02_Retorno'!P$7:P$108,'Página 02_Retorno'!I$7:I$108,'Pag 05_Modalidade_APROVADO'!A72,'Página 02_Retorno'!K$7:K$108,'Pag 08_Legendas'!B$8)</f>
        <v>0</v>
      </c>
      <c r="E72" s="22">
        <f>SUMIFS('Página 02_Retorno'!Q$7:Q$108,'Página 02_Retorno'!I$7:I$108,'Pag 05_Modalidade_APROVADO'!A72,'Página 02_Retorno'!K$7:K$108,'Pag 08_Legendas'!B$8)</f>
        <v>0</v>
      </c>
      <c r="F72" s="22">
        <f>SUMIFS('Página 02_Retorno'!R$7:R$108,'Página 02_Retorno'!I$7:I$108,'Pag 05_Modalidade_APROVADO'!A72,'Página 02_Retorno'!K$7:K$108,'Pag 08_Legendas'!B$8)</f>
        <v>0</v>
      </c>
      <c r="G72" s="22">
        <f>SUMIFS('Página 02_Retorno'!S$7:S$108,'Página 02_Retorno'!I$7:I$108,'Pag 05_Modalidade_APROVADO'!A72,'Página 02_Retorno'!K$7:K$108,'Pag 08_Legendas'!B$8)</f>
        <v>0</v>
      </c>
      <c r="H72" s="22">
        <f>SUMIFS('Página 02_Retorno'!T$7:T$108,'Página 02_Retorno'!I$7:I$108,'Pag 05_Modalidade_APROVADO'!A72,'Página 02_Retorno'!K$7:K$108,'Pag 08_Legendas'!B$8)</f>
        <v>0</v>
      </c>
      <c r="I72" s="22">
        <f t="shared" si="10"/>
        <v>0</v>
      </c>
      <c r="J72" s="86">
        <f>SUMIFS('Página 02_Retorno'!U$7:U$108,'Página 02_Retorno'!I$7:I$108,'Pag 05_Modalidade_APROVADO'!A72,'Página 02_Retorno'!K$7:K$108,'Pag 08_Legendas'!B$8,'Página 02_Retorno'!B$7:B$108,'Página 01_Cadastro'!B$2)</f>
        <v>0</v>
      </c>
      <c r="K72" s="21">
        <f>COUNTIFS('Página 02_Retorno'!I$7:I$108,'Pag 05_Modalidade_APROVADO'!A72,'Página 02_Retorno'!K$7:K$108,'Pag 08_Legendas'!B$8,'Página 02_Retorno'!C$7:C$108,"S",'Página 02_Retorno'!B$7:B$108,'Página 01_Cadastro'!B$2)</f>
        <v>0</v>
      </c>
    </row>
    <row r="73" spans="1:11" x14ac:dyDescent="0.2">
      <c r="A73" s="89" t="s">
        <v>3</v>
      </c>
      <c r="B73" s="21">
        <f>COUNTIFS('Página 02_Retorno'!I$7:I$108,'Pag 05_Modalidade_APROVADO'!A73,'Página 02_Retorno'!K$7:K$108,'Pag 08_Legendas'!B$8,'Página 02_Retorno'!C$7:C$108,"S")</f>
        <v>0</v>
      </c>
      <c r="C73" s="22">
        <f>SUMIFS('Página 02_Retorno'!O$7:O$108,'Página 02_Retorno'!I$7:I$108,'Pag 05_Modalidade_APROVADO'!A73,'Página 02_Retorno'!K$7:K$108,'Pag 08_Legendas'!B$8)</f>
        <v>0</v>
      </c>
      <c r="D73" s="22">
        <f>SUMIFS('Página 02_Retorno'!P$7:P$108,'Página 02_Retorno'!I$7:I$108,'Pag 05_Modalidade_APROVADO'!A73,'Página 02_Retorno'!K$7:K$108,'Pag 08_Legendas'!B$8)</f>
        <v>0</v>
      </c>
      <c r="E73" s="22">
        <f>SUMIFS('Página 02_Retorno'!Q$7:Q$108,'Página 02_Retorno'!I$7:I$108,'Pag 05_Modalidade_APROVADO'!A73,'Página 02_Retorno'!K$7:K$108,'Pag 08_Legendas'!B$8)</f>
        <v>0</v>
      </c>
      <c r="F73" s="22">
        <f>SUMIFS('Página 02_Retorno'!R$7:R$108,'Página 02_Retorno'!I$7:I$108,'Pag 05_Modalidade_APROVADO'!A73,'Página 02_Retorno'!K$7:K$108,'Pag 08_Legendas'!B$8)</f>
        <v>0</v>
      </c>
      <c r="G73" s="22">
        <f>SUMIFS('Página 02_Retorno'!S$7:S$108,'Página 02_Retorno'!I$7:I$108,'Pag 05_Modalidade_APROVADO'!A73,'Página 02_Retorno'!K$7:K$108,'Pag 08_Legendas'!B$8)</f>
        <v>0</v>
      </c>
      <c r="H73" s="22">
        <f>SUMIFS('Página 02_Retorno'!T$7:T$108,'Página 02_Retorno'!I$7:I$108,'Pag 05_Modalidade_APROVADO'!A73,'Página 02_Retorno'!K$7:K$108,'Pag 08_Legendas'!B$8)</f>
        <v>0</v>
      </c>
      <c r="I73" s="22">
        <f t="shared" si="10"/>
        <v>0</v>
      </c>
      <c r="J73" s="86">
        <f>SUMIFS('Página 02_Retorno'!U$7:U$108,'Página 02_Retorno'!I$7:I$108,'Pag 05_Modalidade_APROVADO'!A73,'Página 02_Retorno'!K$7:K$108,'Pag 08_Legendas'!B$8,'Página 02_Retorno'!B$7:B$108,'Página 01_Cadastro'!B$2)</f>
        <v>0</v>
      </c>
      <c r="K73" s="21">
        <f>COUNTIFS('Página 02_Retorno'!I$7:I$108,'Pag 05_Modalidade_APROVADO'!A73,'Página 02_Retorno'!K$7:K$108,'Pag 08_Legendas'!B$8,'Página 02_Retorno'!C$7:C$108,"S",'Página 02_Retorno'!B$7:B$108,'Página 01_Cadastro'!B$2)</f>
        <v>0</v>
      </c>
    </row>
    <row r="74" spans="1:11" x14ac:dyDescent="0.2">
      <c r="A74" s="43" t="s">
        <v>6</v>
      </c>
      <c r="B74" s="31">
        <f>SUM(B67:B73)</f>
        <v>0</v>
      </c>
      <c r="C74" s="33">
        <f t="shared" ref="C74:H74" si="11">SUM(C67:C73)</f>
        <v>0</v>
      </c>
      <c r="D74" s="33">
        <f t="shared" si="11"/>
        <v>0</v>
      </c>
      <c r="E74" s="33">
        <f t="shared" si="11"/>
        <v>0</v>
      </c>
      <c r="F74" s="33">
        <f t="shared" si="11"/>
        <v>0</v>
      </c>
      <c r="G74" s="33">
        <f t="shared" si="11"/>
        <v>0</v>
      </c>
      <c r="H74" s="33">
        <f t="shared" si="11"/>
        <v>0</v>
      </c>
      <c r="I74" s="33">
        <f t="shared" si="10"/>
        <v>0</v>
      </c>
      <c r="J74" s="34">
        <f>SUM(J67:J73)</f>
        <v>0</v>
      </c>
      <c r="K74" s="31">
        <f>SUM(K67:K73)</f>
        <v>0</v>
      </c>
    </row>
    <row r="76" spans="1:11" x14ac:dyDescent="0.2">
      <c r="A76" s="174" t="s">
        <v>91</v>
      </c>
      <c r="B76" s="174"/>
      <c r="C76" s="174"/>
      <c r="D76" s="174"/>
      <c r="E76" s="174"/>
      <c r="F76" s="174"/>
      <c r="G76" s="174"/>
      <c r="H76" s="174"/>
      <c r="I76" s="174"/>
    </row>
    <row r="78" spans="1:11" ht="35.25" x14ac:dyDescent="0.2">
      <c r="A78" s="35" t="s">
        <v>25</v>
      </c>
      <c r="B78" s="36" t="s">
        <v>27</v>
      </c>
      <c r="C78" s="36" t="s">
        <v>16</v>
      </c>
      <c r="D78" s="37" t="s">
        <v>17</v>
      </c>
      <c r="E78" s="37" t="s">
        <v>18</v>
      </c>
      <c r="F78" s="37" t="s">
        <v>19</v>
      </c>
      <c r="G78" s="37" t="s">
        <v>20</v>
      </c>
      <c r="H78" s="37" t="s">
        <v>21</v>
      </c>
      <c r="I78" s="37" t="s">
        <v>28</v>
      </c>
      <c r="J78" s="37" t="s">
        <v>126</v>
      </c>
      <c r="K78" s="37" t="s">
        <v>127</v>
      </c>
    </row>
    <row r="79" spans="1:11" x14ac:dyDescent="0.2">
      <c r="A79" s="89" t="s">
        <v>0</v>
      </c>
      <c r="B79" s="21">
        <f>COUNTIFS('Página 02_Retorno'!I$7:I$108,'Pag 05_Modalidade_APROVADO'!A79,'Página 02_Retorno'!K$7:K$108,'Pag 08_Legendas'!B$3,'Página 02_Retorno'!C$7:C$108,"S")</f>
        <v>0</v>
      </c>
      <c r="C79" s="22">
        <f>SUMIFS('Página 02_Retorno'!O$7:O$108,'Página 02_Retorno'!I$7:I$108,'Pag 05_Modalidade_APROVADO'!A79,'Página 02_Retorno'!K$7:K$108,'Pag 08_Legendas'!B$3)</f>
        <v>0</v>
      </c>
      <c r="D79" s="22">
        <f>SUMIFS('Página 02_Retorno'!P$7:P$108,'Página 02_Retorno'!I$7:I$108,'Pag 05_Modalidade_APROVADO'!A79,'Página 02_Retorno'!K$7:K$108,'Pag 08_Legendas'!B$3)</f>
        <v>0</v>
      </c>
      <c r="E79" s="22">
        <f>SUMIFS('Página 02_Retorno'!Q$7:Q$108,'Página 02_Retorno'!I$7:I$108,'Pag 05_Modalidade_APROVADO'!A79,'Página 02_Retorno'!K$7:K$108,'Pag 08_Legendas'!B$3)</f>
        <v>0</v>
      </c>
      <c r="F79" s="22">
        <f>SUMIFS('Página 02_Retorno'!R$7:R$108,'Página 02_Retorno'!I$7:I$108,'Pag 05_Modalidade_APROVADO'!A79,'Página 02_Retorno'!K$7:K$108,'Pag 08_Legendas'!B$3)</f>
        <v>0</v>
      </c>
      <c r="G79" s="22">
        <f>SUMIFS('Página 02_Retorno'!S$7:S$108,'Página 02_Retorno'!I$7:I$108,'Pag 05_Modalidade_APROVADO'!A79,'Página 02_Retorno'!K$7:K$108,'Pag 08_Legendas'!B$3)</f>
        <v>0</v>
      </c>
      <c r="H79" s="22">
        <f>SUMIFS('Página 02_Retorno'!T$7:T$108,'Página 02_Retorno'!I$7:I$108,'Pag 05_Modalidade_APROVADO'!A79,'Página 02_Retorno'!K$7:K$108,'Pag 08_Legendas'!B$3)</f>
        <v>0</v>
      </c>
      <c r="I79" s="22">
        <f>SUM(C79:H79)</f>
        <v>0</v>
      </c>
      <c r="J79" s="86">
        <f>SUMIFS('Página 02_Retorno'!U$7:U$108,'Página 02_Retorno'!I$7:I$108,'Pag 05_Modalidade_APROVADO'!A79,'Página 02_Retorno'!K$7:K$108,'Pag 08_Legendas'!B$3,'Página 02_Retorno'!B$7:B$108,'Página 01_Cadastro'!B$2)</f>
        <v>0</v>
      </c>
      <c r="K79" s="21">
        <f>COUNTIFS('Página 02_Retorno'!I$7:I$108,'Pag 05_Modalidade_APROVADO'!A79,'Página 02_Retorno'!K$7:K$108,'Pag 08_Legendas'!B$3,'Página 02_Retorno'!C$7:C$108,"S",'Página 02_Retorno'!B$7:B$108,'Página 01_Cadastro'!B$2)</f>
        <v>0</v>
      </c>
    </row>
    <row r="80" spans="1:11" x14ac:dyDescent="0.2">
      <c r="A80" s="89" t="s">
        <v>5</v>
      </c>
      <c r="B80" s="21">
        <f>COUNTIFS('Página 02_Retorno'!I$7:I$108,'Pag 05_Modalidade_APROVADO'!A80,'Página 02_Retorno'!K$7:K$108,'Pag 08_Legendas'!B$3,'Página 02_Retorno'!C$7:C$108,"S")</f>
        <v>0</v>
      </c>
      <c r="C80" s="22">
        <f>SUMIFS('Página 02_Retorno'!O$7:O$108,'Página 02_Retorno'!I$7:I$108,'Pag 05_Modalidade_APROVADO'!A80,'Página 02_Retorno'!K$7:K$108,'Pag 08_Legendas'!B$3)</f>
        <v>0</v>
      </c>
      <c r="D80" s="22">
        <f>SUMIFS('Página 02_Retorno'!P$7:P$108,'Página 02_Retorno'!I$7:I$108,'Pag 05_Modalidade_APROVADO'!A80,'Página 02_Retorno'!K$7:K$108,'Pag 08_Legendas'!B$3)</f>
        <v>0</v>
      </c>
      <c r="E80" s="22">
        <f>SUMIFS('Página 02_Retorno'!Q$7:Q$108,'Página 02_Retorno'!I$7:I$108,'Pag 05_Modalidade_APROVADO'!A80,'Página 02_Retorno'!K$7:K$108,'Pag 08_Legendas'!B$3)</f>
        <v>0</v>
      </c>
      <c r="F80" s="22">
        <f>SUMIFS('Página 02_Retorno'!R$7:R$108,'Página 02_Retorno'!I$7:I$108,'Pag 05_Modalidade_APROVADO'!A80,'Página 02_Retorno'!K$7:K$108,'Pag 08_Legendas'!B$3)</f>
        <v>0</v>
      </c>
      <c r="G80" s="22">
        <f>SUMIFS('Página 02_Retorno'!S$7:S$108,'Página 02_Retorno'!I$7:I$108,'Pag 05_Modalidade_APROVADO'!A80,'Página 02_Retorno'!K$7:K$108,'Pag 08_Legendas'!B$3)</f>
        <v>0</v>
      </c>
      <c r="H80" s="22">
        <f>SUMIFS('Página 02_Retorno'!T$7:T$108,'Página 02_Retorno'!I$7:I$108,'Pag 05_Modalidade_APROVADO'!A80,'Página 02_Retorno'!K$7:K$108,'Pag 08_Legendas'!B$3)</f>
        <v>0</v>
      </c>
      <c r="I80" s="22">
        <f t="shared" ref="I80:I86" si="12">SUM(C80:H80)</f>
        <v>0</v>
      </c>
      <c r="J80" s="86">
        <f>SUMIFS('Página 02_Retorno'!U$7:U$108,'Página 02_Retorno'!I$7:I$108,'Pag 05_Modalidade_APROVADO'!A80,'Página 02_Retorno'!K$7:K$108,'Pag 08_Legendas'!B$3,'Página 02_Retorno'!B$7:B$108,'Página 01_Cadastro'!B$2)</f>
        <v>0</v>
      </c>
      <c r="K80" s="21">
        <f>COUNTIFS('Página 02_Retorno'!I$7:I$108,'Pag 05_Modalidade_APROVADO'!A80,'Página 02_Retorno'!K$7:K$108,'Pag 08_Legendas'!B$3,'Página 02_Retorno'!C$7:C$108,"S",'Página 02_Retorno'!B$7:B$108,'Página 01_Cadastro'!B$2)</f>
        <v>0</v>
      </c>
    </row>
    <row r="81" spans="1:11" x14ac:dyDescent="0.2">
      <c r="A81" s="89" t="s">
        <v>1</v>
      </c>
      <c r="B81" s="21">
        <f>COUNTIFS('Página 02_Retorno'!I$7:I$108,'Pag 05_Modalidade_APROVADO'!A81,'Página 02_Retorno'!K$7:K$108,'Pag 08_Legendas'!B$3,'Página 02_Retorno'!C$7:C$108,"S")</f>
        <v>0</v>
      </c>
      <c r="C81" s="22">
        <f>SUMIFS('Página 02_Retorno'!O$7:O$108,'Página 02_Retorno'!I$7:I$108,'Pag 05_Modalidade_APROVADO'!A81,'Página 02_Retorno'!K$7:K$108,'Pag 08_Legendas'!B$3)</f>
        <v>0</v>
      </c>
      <c r="D81" s="22">
        <f>SUMIFS('Página 02_Retorno'!P$7:P$108,'Página 02_Retorno'!I$7:I$108,'Pag 05_Modalidade_APROVADO'!A81,'Página 02_Retorno'!K$7:K$108,'Pag 08_Legendas'!B$3)</f>
        <v>0</v>
      </c>
      <c r="E81" s="22">
        <f>SUMIFS('Página 02_Retorno'!Q$7:Q$108,'Página 02_Retorno'!I$7:I$108,'Pag 05_Modalidade_APROVADO'!A81,'Página 02_Retorno'!K$7:K$108,'Pag 08_Legendas'!B$3)</f>
        <v>0</v>
      </c>
      <c r="F81" s="22">
        <f>SUMIFS('Página 02_Retorno'!R$7:R$108,'Página 02_Retorno'!I$7:I$108,'Pag 05_Modalidade_APROVADO'!A81,'Página 02_Retorno'!K$7:K$108,'Pag 08_Legendas'!B$3)</f>
        <v>0</v>
      </c>
      <c r="G81" s="22">
        <f>SUMIFS('Página 02_Retorno'!S$7:S$108,'Página 02_Retorno'!I$7:I$108,'Pag 05_Modalidade_APROVADO'!A81,'Página 02_Retorno'!K$7:K$108,'Pag 08_Legendas'!B$3)</f>
        <v>0</v>
      </c>
      <c r="H81" s="22">
        <f>SUMIFS('Página 02_Retorno'!T$7:T$108,'Página 02_Retorno'!I$7:I$108,'Pag 05_Modalidade_APROVADO'!A81,'Página 02_Retorno'!K$7:K$108,'Pag 08_Legendas'!B$3)</f>
        <v>0</v>
      </c>
      <c r="I81" s="22">
        <f t="shared" si="12"/>
        <v>0</v>
      </c>
      <c r="J81" s="86">
        <f>SUMIFS('Página 02_Retorno'!U$7:U$108,'Página 02_Retorno'!I$7:I$108,'Pag 05_Modalidade_APROVADO'!A81,'Página 02_Retorno'!K$7:K$108,'Pag 08_Legendas'!B$3,'Página 02_Retorno'!B$7:B$108,'Página 01_Cadastro'!B$2)</f>
        <v>0</v>
      </c>
      <c r="K81" s="21">
        <f>COUNTIFS('Página 02_Retorno'!I$7:I$108,'Pag 05_Modalidade_APROVADO'!A81,'Página 02_Retorno'!K$7:K$108,'Pag 08_Legendas'!B$3,'Página 02_Retorno'!C$7:C$108,"S",'Página 02_Retorno'!B$7:B$108,'Página 01_Cadastro'!B$2)</f>
        <v>0</v>
      </c>
    </row>
    <row r="82" spans="1:11" x14ac:dyDescent="0.2">
      <c r="A82" s="89" t="s">
        <v>26</v>
      </c>
      <c r="B82" s="21">
        <f>COUNTIFS('Página 02_Retorno'!I$7:I$108,'Pag 05_Modalidade_APROVADO'!A82,'Página 02_Retorno'!K$7:K$108,'Pag 08_Legendas'!B$3,'Página 02_Retorno'!C$7:C$108,"S")</f>
        <v>0</v>
      </c>
      <c r="C82" s="22">
        <f>SUMIFS('Página 02_Retorno'!O$7:O$108,'Página 02_Retorno'!I$7:I$108,'Pag 05_Modalidade_APROVADO'!A82,'Página 02_Retorno'!K$7:K$108,'Pag 08_Legendas'!B$3)</f>
        <v>0</v>
      </c>
      <c r="D82" s="22">
        <f>SUMIFS('Página 02_Retorno'!P$7:P$108,'Página 02_Retorno'!I$7:I$108,'Pag 05_Modalidade_APROVADO'!A82,'Página 02_Retorno'!K$7:K$108,'Pag 08_Legendas'!B$3)</f>
        <v>0</v>
      </c>
      <c r="E82" s="22">
        <f>SUMIFS('Página 02_Retorno'!Q$7:Q$108,'Página 02_Retorno'!I$7:I$108,'Pag 05_Modalidade_APROVADO'!A82,'Página 02_Retorno'!K$7:K$108,'Pag 08_Legendas'!B$3)</f>
        <v>0</v>
      </c>
      <c r="F82" s="22">
        <f>SUMIFS('Página 02_Retorno'!R$7:R$108,'Página 02_Retorno'!I$7:I$108,'Pag 05_Modalidade_APROVADO'!A82,'Página 02_Retorno'!K$7:K$108,'Pag 08_Legendas'!B$3)</f>
        <v>0</v>
      </c>
      <c r="G82" s="22">
        <f>SUMIFS('Página 02_Retorno'!S$7:S$108,'Página 02_Retorno'!I$7:I$108,'Pag 05_Modalidade_APROVADO'!A82,'Página 02_Retorno'!K$7:K$108,'Pag 08_Legendas'!B$3)</f>
        <v>0</v>
      </c>
      <c r="H82" s="22">
        <f>SUMIFS('Página 02_Retorno'!T$7:T$108,'Página 02_Retorno'!I$7:I$108,'Pag 05_Modalidade_APROVADO'!A82,'Página 02_Retorno'!K$7:K$108,'Pag 08_Legendas'!B$3)</f>
        <v>0</v>
      </c>
      <c r="I82" s="22">
        <f t="shared" si="12"/>
        <v>0</v>
      </c>
      <c r="J82" s="86">
        <f>SUMIFS('Página 02_Retorno'!U$7:U$108,'Página 02_Retorno'!I$7:I$108,'Pag 05_Modalidade_APROVADO'!A82,'Página 02_Retorno'!K$7:K$108,'Pag 08_Legendas'!B$3,'Página 02_Retorno'!B$7:B$108,'Página 01_Cadastro'!B$2)</f>
        <v>0</v>
      </c>
      <c r="K82" s="21">
        <f>COUNTIFS('Página 02_Retorno'!I$7:I$108,'Pag 05_Modalidade_APROVADO'!A82,'Página 02_Retorno'!K$7:K$108,'Pag 08_Legendas'!B$3,'Página 02_Retorno'!C$7:C$108,"S",'Página 02_Retorno'!B$7:B$108,'Página 01_Cadastro'!B$2)</f>
        <v>0</v>
      </c>
    </row>
    <row r="83" spans="1:11" x14ac:dyDescent="0.2">
      <c r="A83" s="89" t="s">
        <v>2</v>
      </c>
      <c r="B83" s="21">
        <f>COUNTIFS('Página 02_Retorno'!I$7:I$108,'Pag 05_Modalidade_APROVADO'!A83,'Página 02_Retorno'!K$7:K$108,'Pag 08_Legendas'!B$3,'Página 02_Retorno'!C$7:C$108,"S")</f>
        <v>0</v>
      </c>
      <c r="C83" s="22">
        <f>SUMIFS('Página 02_Retorno'!O$7:O$108,'Página 02_Retorno'!I$7:I$108,'Pag 05_Modalidade_APROVADO'!A83,'Página 02_Retorno'!K$7:K$108,'Pag 08_Legendas'!B$3)</f>
        <v>0</v>
      </c>
      <c r="D83" s="22">
        <f>SUMIFS('Página 02_Retorno'!P$7:P$108,'Página 02_Retorno'!I$7:I$108,'Pag 05_Modalidade_APROVADO'!A83,'Página 02_Retorno'!K$7:K$108,'Pag 08_Legendas'!B$3)</f>
        <v>0</v>
      </c>
      <c r="E83" s="22">
        <f>SUMIFS('Página 02_Retorno'!Q$7:Q$108,'Página 02_Retorno'!I$7:I$108,'Pag 05_Modalidade_APROVADO'!A83,'Página 02_Retorno'!K$7:K$108,'Pag 08_Legendas'!B$3)</f>
        <v>0</v>
      </c>
      <c r="F83" s="22">
        <f>SUMIFS('Página 02_Retorno'!R$7:R$108,'Página 02_Retorno'!I$7:I$108,'Pag 05_Modalidade_APROVADO'!A83,'Página 02_Retorno'!K$7:K$108,'Pag 08_Legendas'!B$3)</f>
        <v>0</v>
      </c>
      <c r="G83" s="22">
        <f>SUMIFS('Página 02_Retorno'!S$7:S$108,'Página 02_Retorno'!I$7:I$108,'Pag 05_Modalidade_APROVADO'!A83,'Página 02_Retorno'!K$7:K$108,'Pag 08_Legendas'!B$3)</f>
        <v>0</v>
      </c>
      <c r="H83" s="22">
        <f>SUMIFS('Página 02_Retorno'!T$7:T$108,'Página 02_Retorno'!I$7:I$108,'Pag 05_Modalidade_APROVADO'!A83,'Página 02_Retorno'!K$7:K$108,'Pag 08_Legendas'!B$3)</f>
        <v>0</v>
      </c>
      <c r="I83" s="22">
        <f t="shared" si="12"/>
        <v>0</v>
      </c>
      <c r="J83" s="86">
        <f>SUMIFS('Página 02_Retorno'!U$7:U$108,'Página 02_Retorno'!I$7:I$108,'Pag 05_Modalidade_APROVADO'!A83,'Página 02_Retorno'!K$7:K$108,'Pag 08_Legendas'!B$3,'Página 02_Retorno'!B$7:B$108,'Página 01_Cadastro'!B$2)</f>
        <v>0</v>
      </c>
      <c r="K83" s="21">
        <f>COUNTIFS('Página 02_Retorno'!I$7:I$108,'Pag 05_Modalidade_APROVADO'!A83,'Página 02_Retorno'!K$7:K$108,'Pag 08_Legendas'!B$3,'Página 02_Retorno'!C$7:C$108,"S",'Página 02_Retorno'!B$7:B$108,'Página 01_Cadastro'!B$2)</f>
        <v>0</v>
      </c>
    </row>
    <row r="84" spans="1:11" x14ac:dyDescent="0.2">
      <c r="A84" s="89" t="s">
        <v>4</v>
      </c>
      <c r="B84" s="21">
        <f>COUNTIFS('Página 02_Retorno'!I$7:I$108,'Pag 05_Modalidade_APROVADO'!A84,'Página 02_Retorno'!K$7:K$108,'Pag 08_Legendas'!B$3,'Página 02_Retorno'!C$7:C$108,"S")</f>
        <v>0</v>
      </c>
      <c r="C84" s="22">
        <f>SUMIFS('Página 02_Retorno'!O$7:O$108,'Página 02_Retorno'!I$7:I$108,'Pag 05_Modalidade_APROVADO'!A84,'Página 02_Retorno'!K$7:K$108,'Pag 08_Legendas'!B$3)</f>
        <v>0</v>
      </c>
      <c r="D84" s="22">
        <f>SUMIFS('Página 02_Retorno'!P$7:P$108,'Página 02_Retorno'!I$7:I$108,'Pag 05_Modalidade_APROVADO'!A84,'Página 02_Retorno'!K$7:K$108,'Pag 08_Legendas'!B$3)</f>
        <v>0</v>
      </c>
      <c r="E84" s="22">
        <f>SUMIFS('Página 02_Retorno'!Q$7:Q$108,'Página 02_Retorno'!I$7:I$108,'Pag 05_Modalidade_APROVADO'!A84,'Página 02_Retorno'!K$7:K$108,'Pag 08_Legendas'!B$3)</f>
        <v>0</v>
      </c>
      <c r="F84" s="22">
        <f>SUMIFS('Página 02_Retorno'!R$7:R$108,'Página 02_Retorno'!I$7:I$108,'Pag 05_Modalidade_APROVADO'!A84,'Página 02_Retorno'!K$7:K$108,'Pag 08_Legendas'!B$3)</f>
        <v>0</v>
      </c>
      <c r="G84" s="22">
        <f>SUMIFS('Página 02_Retorno'!S$7:S$108,'Página 02_Retorno'!I$7:I$108,'Pag 05_Modalidade_APROVADO'!A84,'Página 02_Retorno'!K$7:K$108,'Pag 08_Legendas'!B$3)</f>
        <v>0</v>
      </c>
      <c r="H84" s="22">
        <f>SUMIFS('Página 02_Retorno'!T$7:T$108,'Página 02_Retorno'!I$7:I$108,'Pag 05_Modalidade_APROVADO'!A84,'Página 02_Retorno'!K$7:K$108,'Pag 08_Legendas'!B$3)</f>
        <v>0</v>
      </c>
      <c r="I84" s="22">
        <f t="shared" si="12"/>
        <v>0</v>
      </c>
      <c r="J84" s="86">
        <f>SUMIFS('Página 02_Retorno'!U$7:U$108,'Página 02_Retorno'!I$7:I$108,'Pag 05_Modalidade_APROVADO'!A84,'Página 02_Retorno'!K$7:K$108,'Pag 08_Legendas'!B$3,'Página 02_Retorno'!B$7:B$108,'Página 01_Cadastro'!B$2)</f>
        <v>0</v>
      </c>
      <c r="K84" s="21">
        <f>COUNTIFS('Página 02_Retorno'!I$7:I$108,'Pag 05_Modalidade_APROVADO'!A84,'Página 02_Retorno'!K$7:K$108,'Pag 08_Legendas'!B$3,'Página 02_Retorno'!C$7:C$108,"S",'Página 02_Retorno'!B$7:B$108,'Página 01_Cadastro'!B$2)</f>
        <v>0</v>
      </c>
    </row>
    <row r="85" spans="1:11" x14ac:dyDescent="0.2">
      <c r="A85" s="89" t="s">
        <v>3</v>
      </c>
      <c r="B85" s="21">
        <f>COUNTIFS('Página 02_Retorno'!I$7:I$108,'Pag 05_Modalidade_APROVADO'!A85,'Página 02_Retorno'!K$7:K$108,'Pag 08_Legendas'!B$3,'Página 02_Retorno'!C$7:C$108,"S")</f>
        <v>0</v>
      </c>
      <c r="C85" s="22">
        <f>SUMIFS('Página 02_Retorno'!O$7:O$108,'Página 02_Retorno'!I$7:I$108,'Pag 05_Modalidade_APROVADO'!A85,'Página 02_Retorno'!K$7:K$108,'Pag 08_Legendas'!B$3)</f>
        <v>0</v>
      </c>
      <c r="D85" s="22">
        <f>SUMIFS('Página 02_Retorno'!P$7:P$108,'Página 02_Retorno'!I$7:I$108,'Pag 05_Modalidade_APROVADO'!A85,'Página 02_Retorno'!K$7:K$108,'Pag 08_Legendas'!B$3)</f>
        <v>0</v>
      </c>
      <c r="E85" s="22">
        <f>SUMIFS('Página 02_Retorno'!Q$7:Q$108,'Página 02_Retorno'!I$7:I$108,'Pag 05_Modalidade_APROVADO'!A85,'Página 02_Retorno'!K$7:K$108,'Pag 08_Legendas'!B$3)</f>
        <v>0</v>
      </c>
      <c r="F85" s="22">
        <f>SUMIFS('Página 02_Retorno'!R$7:R$108,'Página 02_Retorno'!I$7:I$108,'Pag 05_Modalidade_APROVADO'!A85,'Página 02_Retorno'!K$7:K$108,'Pag 08_Legendas'!B$3)</f>
        <v>0</v>
      </c>
      <c r="G85" s="22">
        <f>SUMIFS('Página 02_Retorno'!S$7:S$108,'Página 02_Retorno'!I$7:I$108,'Pag 05_Modalidade_APROVADO'!A85,'Página 02_Retorno'!K$7:K$108,'Pag 08_Legendas'!B$3)</f>
        <v>0</v>
      </c>
      <c r="H85" s="22">
        <f>SUMIFS('Página 02_Retorno'!T$7:T$108,'Página 02_Retorno'!I$7:I$108,'Pag 05_Modalidade_APROVADO'!A85,'Página 02_Retorno'!K$7:K$108,'Pag 08_Legendas'!B$3)</f>
        <v>0</v>
      </c>
      <c r="I85" s="22">
        <f t="shared" si="12"/>
        <v>0</v>
      </c>
      <c r="J85" s="86">
        <f>SUMIFS('Página 02_Retorno'!U$7:U$108,'Página 02_Retorno'!I$7:I$108,'Pag 05_Modalidade_APROVADO'!A85,'Página 02_Retorno'!K$7:K$108,'Pag 08_Legendas'!B$3,'Página 02_Retorno'!B$7:B$108,'Página 01_Cadastro'!B$2)</f>
        <v>0</v>
      </c>
      <c r="K85" s="21">
        <f>COUNTIFS('Página 02_Retorno'!I$7:I$108,'Pag 05_Modalidade_APROVADO'!A85,'Página 02_Retorno'!K$7:K$108,'Pag 08_Legendas'!B$3,'Página 02_Retorno'!C$7:C$108,"S",'Página 02_Retorno'!B$7:B$108,'Página 01_Cadastro'!B$2)</f>
        <v>0</v>
      </c>
    </row>
    <row r="86" spans="1:11" x14ac:dyDescent="0.2">
      <c r="A86" s="43" t="s">
        <v>6</v>
      </c>
      <c r="B86" s="31">
        <f>SUM(B79:B85)</f>
        <v>0</v>
      </c>
      <c r="C86" s="33">
        <f t="shared" ref="C86:H86" si="13">SUM(C79:C85)</f>
        <v>0</v>
      </c>
      <c r="D86" s="33">
        <f t="shared" si="13"/>
        <v>0</v>
      </c>
      <c r="E86" s="33">
        <f t="shared" si="13"/>
        <v>0</v>
      </c>
      <c r="F86" s="33">
        <f t="shared" si="13"/>
        <v>0</v>
      </c>
      <c r="G86" s="33">
        <f t="shared" si="13"/>
        <v>0</v>
      </c>
      <c r="H86" s="33">
        <f t="shared" si="13"/>
        <v>0</v>
      </c>
      <c r="I86" s="33">
        <f t="shared" si="12"/>
        <v>0</v>
      </c>
      <c r="J86" s="34">
        <f>SUM(J79:J85)</f>
        <v>0</v>
      </c>
      <c r="K86" s="31">
        <f>SUM(K79:K85)</f>
        <v>0</v>
      </c>
    </row>
    <row r="88" spans="1:11" x14ac:dyDescent="0.2">
      <c r="A88" s="174" t="s">
        <v>92</v>
      </c>
      <c r="B88" s="174"/>
      <c r="C88" s="174"/>
      <c r="D88" s="174"/>
      <c r="E88" s="174"/>
      <c r="F88" s="174"/>
      <c r="G88" s="174"/>
      <c r="H88" s="174"/>
      <c r="I88" s="174"/>
    </row>
    <row r="90" spans="1:11" ht="35.25" x14ac:dyDescent="0.2">
      <c r="A90" s="35" t="s">
        <v>25</v>
      </c>
      <c r="B90" s="36" t="s">
        <v>27</v>
      </c>
      <c r="C90" s="36" t="s">
        <v>16</v>
      </c>
      <c r="D90" s="37" t="s">
        <v>17</v>
      </c>
      <c r="E90" s="37" t="s">
        <v>18</v>
      </c>
      <c r="F90" s="37" t="s">
        <v>19</v>
      </c>
      <c r="G90" s="37" t="s">
        <v>20</v>
      </c>
      <c r="H90" s="37" t="s">
        <v>21</v>
      </c>
      <c r="I90" s="37" t="s">
        <v>28</v>
      </c>
      <c r="J90" s="37" t="s">
        <v>126</v>
      </c>
      <c r="K90" s="37" t="s">
        <v>127</v>
      </c>
    </row>
    <row r="91" spans="1:11" x14ac:dyDescent="0.2">
      <c r="A91" s="89" t="s">
        <v>0</v>
      </c>
      <c r="B91" s="21">
        <f>COUNTIFS('Página 02_Retorno'!I$7:I$108,'Pag 05_Modalidade_APROVADO'!A91,'Página 02_Retorno'!K$7:K$108,'Pag 08_Legendas'!B$9,'Página 02_Retorno'!C$7:C$108,"S")</f>
        <v>0</v>
      </c>
      <c r="C91" s="22">
        <f>SUMIFS('Página 02_Retorno'!O$7:O$108,'Página 02_Retorno'!I$7:I$108,'Pag 05_Modalidade_APROVADO'!A91,'Página 02_Retorno'!K$7:K$108,'Pag 08_Legendas'!B$9)</f>
        <v>0</v>
      </c>
      <c r="D91" s="22">
        <f>SUMIFS('Página 02_Retorno'!P$7:P$108,'Página 02_Retorno'!I$7:I$108,'Pag 05_Modalidade_APROVADO'!A91,'Página 02_Retorno'!K$7:K$108,'Pag 08_Legendas'!B$9)</f>
        <v>0</v>
      </c>
      <c r="E91" s="22">
        <f>SUMIFS('Página 02_Retorno'!Q$7:Q$108,'Página 02_Retorno'!I$7:I$108,'Pag 05_Modalidade_APROVADO'!A91,'Página 02_Retorno'!K$7:K$108,'Pag 08_Legendas'!B$9)</f>
        <v>0</v>
      </c>
      <c r="F91" s="22">
        <f>SUMIFS('Página 02_Retorno'!R$7:R$108,'Página 02_Retorno'!I$7:I$108,'Pag 05_Modalidade_APROVADO'!A91,'Página 02_Retorno'!K$7:K$108,'Pag 08_Legendas'!B$9)</f>
        <v>0</v>
      </c>
      <c r="G91" s="22">
        <f>SUMIFS('Página 02_Retorno'!S$7:S$108,'Página 02_Retorno'!I$7:I$108,'Pag 05_Modalidade_APROVADO'!A91,'Página 02_Retorno'!K$7:K$108,'Pag 08_Legendas'!B$9)</f>
        <v>0</v>
      </c>
      <c r="H91" s="22">
        <f>SUMIFS('Página 02_Retorno'!T$7:T$108,'Página 02_Retorno'!I$7:I$108,'Pag 05_Modalidade_APROVADO'!A91,'Página 02_Retorno'!K$7:K$108,'Pag 08_Legendas'!B$9)</f>
        <v>0</v>
      </c>
      <c r="I91" s="22">
        <f>SUM(C91:H91)</f>
        <v>0</v>
      </c>
      <c r="J91" s="86">
        <f>SUMIFS('Página 02_Retorno'!U$7:U$108,'Página 02_Retorno'!I$7:I$108,'Pag 05_Modalidade_APROVADO'!A91,'Página 02_Retorno'!K$7:K$108,'Pag 08_Legendas'!B$9,'Página 02_Retorno'!B$7:B$108,'Página 01_Cadastro'!B$2)</f>
        <v>0</v>
      </c>
      <c r="K91" s="21">
        <f>COUNTIFS('Página 02_Retorno'!I$7:I$108,'Pag 05_Modalidade_APROVADO'!A91,'Página 02_Retorno'!K$7:K$108,'Pag 08_Legendas'!B$9,'Página 02_Retorno'!C$7:C$108,"S",'Página 02_Retorno'!B$7:B$108,'Página 01_Cadastro'!B$2)</f>
        <v>0</v>
      </c>
    </row>
    <row r="92" spans="1:11" x14ac:dyDescent="0.2">
      <c r="A92" s="89" t="s">
        <v>5</v>
      </c>
      <c r="B92" s="21">
        <f>COUNTIFS('Página 02_Retorno'!I$7:I$108,'Pag 05_Modalidade_APROVADO'!A92,'Página 02_Retorno'!K$7:K$108,'Pag 08_Legendas'!B$9,'Página 02_Retorno'!C$7:C$108,"S")</f>
        <v>0</v>
      </c>
      <c r="C92" s="22">
        <f>SUMIFS('Página 02_Retorno'!O$7:O$108,'Página 02_Retorno'!I$7:I$108,'Pag 05_Modalidade_APROVADO'!A92,'Página 02_Retorno'!K$7:K$108,'Pag 08_Legendas'!B$9)</f>
        <v>0</v>
      </c>
      <c r="D92" s="22">
        <f>SUMIFS('Página 02_Retorno'!P$7:P$108,'Página 02_Retorno'!I$7:I$108,'Pag 05_Modalidade_APROVADO'!A92,'Página 02_Retorno'!K$7:K$108,'Pag 08_Legendas'!B$9)</f>
        <v>0</v>
      </c>
      <c r="E92" s="22">
        <f>SUMIFS('Página 02_Retorno'!Q$7:Q$108,'Página 02_Retorno'!I$7:I$108,'Pag 05_Modalidade_APROVADO'!A92,'Página 02_Retorno'!K$7:K$108,'Pag 08_Legendas'!B$9)</f>
        <v>0</v>
      </c>
      <c r="F92" s="22">
        <f>SUMIFS('Página 02_Retorno'!R$7:R$108,'Página 02_Retorno'!I$7:I$108,'Pag 05_Modalidade_APROVADO'!A92,'Página 02_Retorno'!K$7:K$108,'Pag 08_Legendas'!B$9)</f>
        <v>0</v>
      </c>
      <c r="G92" s="22">
        <f>SUMIFS('Página 02_Retorno'!S$7:S$108,'Página 02_Retorno'!I$7:I$108,'Pag 05_Modalidade_APROVADO'!A92,'Página 02_Retorno'!K$7:K$108,'Pag 08_Legendas'!B$9)</f>
        <v>0</v>
      </c>
      <c r="H92" s="22">
        <f>SUMIFS('Página 02_Retorno'!T$7:T$108,'Página 02_Retorno'!I$7:I$108,'Pag 05_Modalidade_APROVADO'!A92,'Página 02_Retorno'!K$7:K$108,'Pag 08_Legendas'!B$9)</f>
        <v>0</v>
      </c>
      <c r="I92" s="22">
        <f t="shared" ref="I92:I98" si="14">SUM(C92:H92)</f>
        <v>0</v>
      </c>
      <c r="J92" s="86">
        <f>SUMIFS('Página 02_Retorno'!U$7:U$108,'Página 02_Retorno'!I$7:I$108,'Pag 05_Modalidade_APROVADO'!A92,'Página 02_Retorno'!K$7:K$108,'Pag 08_Legendas'!B$9,'Página 02_Retorno'!B$7:B$108,'Página 01_Cadastro'!B$2)</f>
        <v>0</v>
      </c>
      <c r="K92" s="21">
        <f>COUNTIFS('Página 02_Retorno'!I$7:I$108,'Pag 05_Modalidade_APROVADO'!A92,'Página 02_Retorno'!K$7:K$108,'Pag 08_Legendas'!B$9,'Página 02_Retorno'!C$7:C$108,"S",'Página 02_Retorno'!B$7:B$108,'Página 01_Cadastro'!B$2)</f>
        <v>0</v>
      </c>
    </row>
    <row r="93" spans="1:11" x14ac:dyDescent="0.2">
      <c r="A93" s="89" t="s">
        <v>1</v>
      </c>
      <c r="B93" s="21">
        <f>COUNTIFS('Página 02_Retorno'!I$7:I$108,'Pag 05_Modalidade_APROVADO'!A93,'Página 02_Retorno'!K$7:K$108,'Pag 08_Legendas'!B$9,'Página 02_Retorno'!C$7:C$108,"S")</f>
        <v>0</v>
      </c>
      <c r="C93" s="22">
        <f>SUMIFS('Página 02_Retorno'!O$7:O$108,'Página 02_Retorno'!I$7:I$108,'Pag 05_Modalidade_APROVADO'!A93,'Página 02_Retorno'!K$7:K$108,'Pag 08_Legendas'!B$9)</f>
        <v>0</v>
      </c>
      <c r="D93" s="22">
        <f>SUMIFS('Página 02_Retorno'!P$7:P$108,'Página 02_Retorno'!I$7:I$108,'Pag 05_Modalidade_APROVADO'!A93,'Página 02_Retorno'!K$7:K$108,'Pag 08_Legendas'!B$9)</f>
        <v>0</v>
      </c>
      <c r="E93" s="22">
        <f>SUMIFS('Página 02_Retorno'!Q$7:Q$108,'Página 02_Retorno'!I$7:I$108,'Pag 05_Modalidade_APROVADO'!A93,'Página 02_Retorno'!K$7:K$108,'Pag 08_Legendas'!B$9)</f>
        <v>0</v>
      </c>
      <c r="F93" s="22">
        <f>SUMIFS('Página 02_Retorno'!R$7:R$108,'Página 02_Retorno'!I$7:I$108,'Pag 05_Modalidade_APROVADO'!A93,'Página 02_Retorno'!K$7:K$108,'Pag 08_Legendas'!B$9)</f>
        <v>0</v>
      </c>
      <c r="G93" s="22">
        <f>SUMIFS('Página 02_Retorno'!S$7:S$108,'Página 02_Retorno'!I$7:I$108,'Pag 05_Modalidade_APROVADO'!A93,'Página 02_Retorno'!K$7:K$108,'Pag 08_Legendas'!B$9)</f>
        <v>0</v>
      </c>
      <c r="H93" s="22">
        <f>SUMIFS('Página 02_Retorno'!T$7:T$108,'Página 02_Retorno'!I$7:I$108,'Pag 05_Modalidade_APROVADO'!A93,'Página 02_Retorno'!K$7:K$108,'Pag 08_Legendas'!B$9)</f>
        <v>0</v>
      </c>
      <c r="I93" s="22">
        <f t="shared" si="14"/>
        <v>0</v>
      </c>
      <c r="J93" s="86">
        <f>SUMIFS('Página 02_Retorno'!U$7:U$108,'Página 02_Retorno'!I$7:I$108,'Pag 05_Modalidade_APROVADO'!A93,'Página 02_Retorno'!K$7:K$108,'Pag 08_Legendas'!B$9,'Página 02_Retorno'!B$7:B$108,'Página 01_Cadastro'!B$2)</f>
        <v>0</v>
      </c>
      <c r="K93" s="21">
        <f>COUNTIFS('Página 02_Retorno'!I$7:I$108,'Pag 05_Modalidade_APROVADO'!A93,'Página 02_Retorno'!K$7:K$108,'Pag 08_Legendas'!B$9,'Página 02_Retorno'!C$7:C$108,"S",'Página 02_Retorno'!B$7:B$108,'Página 01_Cadastro'!B$2)</f>
        <v>0</v>
      </c>
    </row>
    <row r="94" spans="1:11" x14ac:dyDescent="0.2">
      <c r="A94" s="89" t="s">
        <v>26</v>
      </c>
      <c r="B94" s="21">
        <f>COUNTIFS('Página 02_Retorno'!I$7:I$108,'Pag 05_Modalidade_APROVADO'!A94,'Página 02_Retorno'!K$7:K$108,'Pag 08_Legendas'!B$9,'Página 02_Retorno'!C$7:C$108,"S")</f>
        <v>0</v>
      </c>
      <c r="C94" s="22">
        <f>SUMIFS('Página 02_Retorno'!O$7:O$108,'Página 02_Retorno'!I$7:I$108,'Pag 05_Modalidade_APROVADO'!A94,'Página 02_Retorno'!K$7:K$108,'Pag 08_Legendas'!B$9)</f>
        <v>0</v>
      </c>
      <c r="D94" s="22">
        <f>SUMIFS('Página 02_Retorno'!P$7:P$108,'Página 02_Retorno'!I$7:I$108,'Pag 05_Modalidade_APROVADO'!A94,'Página 02_Retorno'!K$7:K$108,'Pag 08_Legendas'!B$9)</f>
        <v>0</v>
      </c>
      <c r="E94" s="22">
        <f>SUMIFS('Página 02_Retorno'!Q$7:Q$108,'Página 02_Retorno'!I$7:I$108,'Pag 05_Modalidade_APROVADO'!A94,'Página 02_Retorno'!K$7:K$108,'Pag 08_Legendas'!B$9)</f>
        <v>0</v>
      </c>
      <c r="F94" s="22">
        <f>SUMIFS('Página 02_Retorno'!R$7:R$108,'Página 02_Retorno'!I$7:I$108,'Pag 05_Modalidade_APROVADO'!A94,'Página 02_Retorno'!K$7:K$108,'Pag 08_Legendas'!B$9)</f>
        <v>0</v>
      </c>
      <c r="G94" s="22">
        <f>SUMIFS('Página 02_Retorno'!S$7:S$108,'Página 02_Retorno'!I$7:I$108,'Pag 05_Modalidade_APROVADO'!A94,'Página 02_Retorno'!K$7:K$108,'Pag 08_Legendas'!B$9)</f>
        <v>0</v>
      </c>
      <c r="H94" s="22">
        <f>SUMIFS('Página 02_Retorno'!T$7:T$108,'Página 02_Retorno'!I$7:I$108,'Pag 05_Modalidade_APROVADO'!A94,'Página 02_Retorno'!K$7:K$108,'Pag 08_Legendas'!B$9)</f>
        <v>0</v>
      </c>
      <c r="I94" s="22">
        <f t="shared" si="14"/>
        <v>0</v>
      </c>
      <c r="J94" s="86">
        <f>SUMIFS('Página 02_Retorno'!U$7:U$108,'Página 02_Retorno'!I$7:I$108,'Pag 05_Modalidade_APROVADO'!A94,'Página 02_Retorno'!K$7:K$108,'Pag 08_Legendas'!B$9,'Página 02_Retorno'!B$7:B$108,'Página 01_Cadastro'!B$2)</f>
        <v>0</v>
      </c>
      <c r="K94" s="21">
        <f>COUNTIFS('Página 02_Retorno'!I$7:I$108,'Pag 05_Modalidade_APROVADO'!A94,'Página 02_Retorno'!K$7:K$108,'Pag 08_Legendas'!B$9,'Página 02_Retorno'!C$7:C$108,"S",'Página 02_Retorno'!B$7:B$108,'Página 01_Cadastro'!B$2)</f>
        <v>0</v>
      </c>
    </row>
    <row r="95" spans="1:11" x14ac:dyDescent="0.2">
      <c r="A95" s="89" t="s">
        <v>2</v>
      </c>
      <c r="B95" s="21">
        <f>COUNTIFS('Página 02_Retorno'!I$7:I$108,'Pag 05_Modalidade_APROVADO'!A95,'Página 02_Retorno'!K$7:K$108,'Pag 08_Legendas'!B$9,'Página 02_Retorno'!C$7:C$108,"S")</f>
        <v>0</v>
      </c>
      <c r="C95" s="22">
        <f>SUMIFS('Página 02_Retorno'!O$7:O$108,'Página 02_Retorno'!I$7:I$108,'Pag 05_Modalidade_APROVADO'!A95,'Página 02_Retorno'!K$7:K$108,'Pag 08_Legendas'!B$9)</f>
        <v>0</v>
      </c>
      <c r="D95" s="22">
        <f>SUMIFS('Página 02_Retorno'!P$7:P$108,'Página 02_Retorno'!I$7:I$108,'Pag 05_Modalidade_APROVADO'!A95,'Página 02_Retorno'!K$7:K$108,'Pag 08_Legendas'!B$9)</f>
        <v>0</v>
      </c>
      <c r="E95" s="22">
        <f>SUMIFS('Página 02_Retorno'!Q$7:Q$108,'Página 02_Retorno'!I$7:I$108,'Pag 05_Modalidade_APROVADO'!A95,'Página 02_Retorno'!K$7:K$108,'Pag 08_Legendas'!B$9)</f>
        <v>0</v>
      </c>
      <c r="F95" s="22">
        <f>SUMIFS('Página 02_Retorno'!R$7:R$108,'Página 02_Retorno'!I$7:I$108,'Pag 05_Modalidade_APROVADO'!A95,'Página 02_Retorno'!K$7:K$108,'Pag 08_Legendas'!B$9)</f>
        <v>0</v>
      </c>
      <c r="G95" s="22">
        <f>SUMIFS('Página 02_Retorno'!S$7:S$108,'Página 02_Retorno'!I$7:I$108,'Pag 05_Modalidade_APROVADO'!A95,'Página 02_Retorno'!K$7:K$108,'Pag 08_Legendas'!B$9)</f>
        <v>0</v>
      </c>
      <c r="H95" s="22">
        <f>SUMIFS('Página 02_Retorno'!T$7:T$108,'Página 02_Retorno'!I$7:I$108,'Pag 05_Modalidade_APROVADO'!A95,'Página 02_Retorno'!K$7:K$108,'Pag 08_Legendas'!B$9)</f>
        <v>0</v>
      </c>
      <c r="I95" s="22">
        <f t="shared" si="14"/>
        <v>0</v>
      </c>
      <c r="J95" s="86">
        <f>SUMIFS('Página 02_Retorno'!U$7:U$108,'Página 02_Retorno'!I$7:I$108,'Pag 05_Modalidade_APROVADO'!A95,'Página 02_Retorno'!K$7:K$108,'Pag 08_Legendas'!B$9,'Página 02_Retorno'!B$7:B$108,'Página 01_Cadastro'!B$2)</f>
        <v>0</v>
      </c>
      <c r="K95" s="21">
        <f>COUNTIFS('Página 02_Retorno'!I$7:I$108,'Pag 05_Modalidade_APROVADO'!A95,'Página 02_Retorno'!K$7:K$108,'Pag 08_Legendas'!B$9,'Página 02_Retorno'!C$7:C$108,"S",'Página 02_Retorno'!B$7:B$108,'Página 01_Cadastro'!B$2)</f>
        <v>0</v>
      </c>
    </row>
    <row r="96" spans="1:11" x14ac:dyDescent="0.2">
      <c r="A96" s="89" t="s">
        <v>4</v>
      </c>
      <c r="B96" s="21">
        <f>COUNTIFS('Página 02_Retorno'!I$7:I$108,'Pag 05_Modalidade_APROVADO'!A96,'Página 02_Retorno'!K$7:K$108,'Pag 08_Legendas'!B$9,'Página 02_Retorno'!C$7:C$108,"S")</f>
        <v>0</v>
      </c>
      <c r="C96" s="22">
        <f>SUMIFS('Página 02_Retorno'!O$7:O$108,'Página 02_Retorno'!I$7:I$108,'Pag 05_Modalidade_APROVADO'!A96,'Página 02_Retorno'!K$7:K$108,'Pag 08_Legendas'!B$9)</f>
        <v>0</v>
      </c>
      <c r="D96" s="22">
        <f>SUMIFS('Página 02_Retorno'!P$7:P$108,'Página 02_Retorno'!I$7:I$108,'Pag 05_Modalidade_APROVADO'!A96,'Página 02_Retorno'!K$7:K$108,'Pag 08_Legendas'!B$9)</f>
        <v>0</v>
      </c>
      <c r="E96" s="22">
        <f>SUMIFS('Página 02_Retorno'!Q$7:Q$108,'Página 02_Retorno'!I$7:I$108,'Pag 05_Modalidade_APROVADO'!A96,'Página 02_Retorno'!K$7:K$108,'Pag 08_Legendas'!B$9)</f>
        <v>0</v>
      </c>
      <c r="F96" s="22">
        <f>SUMIFS('Página 02_Retorno'!R$7:R$108,'Página 02_Retorno'!I$7:I$108,'Pag 05_Modalidade_APROVADO'!A96,'Página 02_Retorno'!K$7:K$108,'Pag 08_Legendas'!B$9)</f>
        <v>0</v>
      </c>
      <c r="G96" s="22">
        <f>SUMIFS('Página 02_Retorno'!S$7:S$108,'Página 02_Retorno'!I$7:I$108,'Pag 05_Modalidade_APROVADO'!A96,'Página 02_Retorno'!K$7:K$108,'Pag 08_Legendas'!B$9)</f>
        <v>0</v>
      </c>
      <c r="H96" s="22">
        <f>SUMIFS('Página 02_Retorno'!T$7:T$108,'Página 02_Retorno'!I$7:I$108,'Pag 05_Modalidade_APROVADO'!A96,'Página 02_Retorno'!K$7:K$108,'Pag 08_Legendas'!B$9)</f>
        <v>0</v>
      </c>
      <c r="I96" s="22">
        <f t="shared" si="14"/>
        <v>0</v>
      </c>
      <c r="J96" s="86">
        <f>SUMIFS('Página 02_Retorno'!U$7:U$108,'Página 02_Retorno'!I$7:I$108,'Pag 05_Modalidade_APROVADO'!A96,'Página 02_Retorno'!K$7:K$108,'Pag 08_Legendas'!B$9,'Página 02_Retorno'!B$7:B$108,'Página 01_Cadastro'!B$2)</f>
        <v>0</v>
      </c>
      <c r="K96" s="21">
        <f>COUNTIFS('Página 02_Retorno'!I$7:I$108,'Pag 05_Modalidade_APROVADO'!A96,'Página 02_Retorno'!K$7:K$108,'Pag 08_Legendas'!B$9,'Página 02_Retorno'!C$7:C$108,"S",'Página 02_Retorno'!B$7:B$108,'Página 01_Cadastro'!B$2)</f>
        <v>0</v>
      </c>
    </row>
    <row r="97" spans="1:11" x14ac:dyDescent="0.2">
      <c r="A97" s="89" t="s">
        <v>3</v>
      </c>
      <c r="B97" s="21">
        <f>COUNTIFS('Página 02_Retorno'!I$7:I$108,'Pag 05_Modalidade_APROVADO'!A97,'Página 02_Retorno'!K$7:K$108,'Pag 08_Legendas'!B$9,'Página 02_Retorno'!C$7:C$108,"S")</f>
        <v>0</v>
      </c>
      <c r="C97" s="22">
        <f>SUMIFS('Página 02_Retorno'!O$7:O$108,'Página 02_Retorno'!I$7:I$108,'Pag 05_Modalidade_APROVADO'!A97,'Página 02_Retorno'!K$7:K$108,'Pag 08_Legendas'!B$9)</f>
        <v>0</v>
      </c>
      <c r="D97" s="22">
        <f>SUMIFS('Página 02_Retorno'!P$7:P$108,'Página 02_Retorno'!I$7:I$108,'Pag 05_Modalidade_APROVADO'!A97,'Página 02_Retorno'!K$7:K$108,'Pag 08_Legendas'!B$9)</f>
        <v>0</v>
      </c>
      <c r="E97" s="22">
        <f>SUMIFS('Página 02_Retorno'!Q$7:Q$108,'Página 02_Retorno'!I$7:I$108,'Pag 05_Modalidade_APROVADO'!A97,'Página 02_Retorno'!K$7:K$108,'Pag 08_Legendas'!B$9)</f>
        <v>0</v>
      </c>
      <c r="F97" s="22">
        <f>SUMIFS('Página 02_Retorno'!R$7:R$108,'Página 02_Retorno'!I$7:I$108,'Pag 05_Modalidade_APROVADO'!A97,'Página 02_Retorno'!K$7:K$108,'Pag 08_Legendas'!B$9)</f>
        <v>0</v>
      </c>
      <c r="G97" s="22">
        <f>SUMIFS('Página 02_Retorno'!S$7:S$108,'Página 02_Retorno'!I$7:I$108,'Pag 05_Modalidade_APROVADO'!A97,'Página 02_Retorno'!K$7:K$108,'Pag 08_Legendas'!B$9)</f>
        <v>0</v>
      </c>
      <c r="H97" s="22">
        <f>SUMIFS('Página 02_Retorno'!T$7:T$108,'Página 02_Retorno'!I$7:I$108,'Pag 05_Modalidade_APROVADO'!A97,'Página 02_Retorno'!K$7:K$108,'Pag 08_Legendas'!B$9)</f>
        <v>0</v>
      </c>
      <c r="I97" s="22">
        <f t="shared" si="14"/>
        <v>0</v>
      </c>
      <c r="J97" s="86">
        <f>SUMIFS('Página 02_Retorno'!U$7:U$108,'Página 02_Retorno'!I$7:I$108,'Pag 05_Modalidade_APROVADO'!A97,'Página 02_Retorno'!K$7:K$108,'Pag 08_Legendas'!B$9,'Página 02_Retorno'!B$7:B$108,'Página 01_Cadastro'!B$2)</f>
        <v>0</v>
      </c>
      <c r="K97" s="21">
        <f>COUNTIFS('Página 02_Retorno'!I$7:I$108,'Pag 05_Modalidade_APROVADO'!A97,'Página 02_Retorno'!K$7:K$108,'Pag 08_Legendas'!B$9,'Página 02_Retorno'!C$7:C$108,"S",'Página 02_Retorno'!B$7:B$108,'Página 01_Cadastro'!B$2)</f>
        <v>0</v>
      </c>
    </row>
    <row r="98" spans="1:11" x14ac:dyDescent="0.2">
      <c r="A98" s="43" t="s">
        <v>6</v>
      </c>
      <c r="B98" s="31">
        <f>SUM(B91:B97)</f>
        <v>0</v>
      </c>
      <c r="C98" s="33">
        <f t="shared" ref="C98:H98" si="15">SUM(C91:C97)</f>
        <v>0</v>
      </c>
      <c r="D98" s="33">
        <f t="shared" si="15"/>
        <v>0</v>
      </c>
      <c r="E98" s="33">
        <f t="shared" si="15"/>
        <v>0</v>
      </c>
      <c r="F98" s="33">
        <f t="shared" si="15"/>
        <v>0</v>
      </c>
      <c r="G98" s="33">
        <f t="shared" si="15"/>
        <v>0</v>
      </c>
      <c r="H98" s="33">
        <f t="shared" si="15"/>
        <v>0</v>
      </c>
      <c r="I98" s="33">
        <f t="shared" si="14"/>
        <v>0</v>
      </c>
      <c r="J98" s="34">
        <f>SUM(J91:J97)</f>
        <v>0</v>
      </c>
      <c r="K98" s="31">
        <f>SUM(K91:K97)</f>
        <v>0</v>
      </c>
    </row>
    <row r="100" spans="1:11" x14ac:dyDescent="0.2">
      <c r="A100" s="174" t="s">
        <v>93</v>
      </c>
      <c r="B100" s="174"/>
      <c r="C100" s="174"/>
      <c r="D100" s="174"/>
      <c r="E100" s="174"/>
      <c r="F100" s="174"/>
      <c r="G100" s="174"/>
      <c r="H100" s="174"/>
      <c r="I100" s="174"/>
    </row>
    <row r="102" spans="1:11" ht="35.25" x14ac:dyDescent="0.2">
      <c r="A102" s="35" t="s">
        <v>25</v>
      </c>
      <c r="B102" s="36" t="s">
        <v>27</v>
      </c>
      <c r="C102" s="36" t="s">
        <v>16</v>
      </c>
      <c r="D102" s="37" t="s">
        <v>17</v>
      </c>
      <c r="E102" s="37" t="s">
        <v>18</v>
      </c>
      <c r="F102" s="37" t="s">
        <v>19</v>
      </c>
      <c r="G102" s="37" t="s">
        <v>20</v>
      </c>
      <c r="H102" s="37" t="s">
        <v>21</v>
      </c>
      <c r="I102" s="37" t="s">
        <v>28</v>
      </c>
      <c r="J102" s="37" t="s">
        <v>126</v>
      </c>
      <c r="K102" s="37" t="s">
        <v>127</v>
      </c>
    </row>
    <row r="103" spans="1:11" x14ac:dyDescent="0.2">
      <c r="A103" s="89" t="s">
        <v>0</v>
      </c>
      <c r="B103" s="21">
        <f>COUNTIFS('Página 02_Retorno'!I$7:I$108,'Pag 05_Modalidade_APROVADO'!A103,'Página 02_Retorno'!K$7:K$108,'Pag 08_Legendas'!B$4,'Página 02_Retorno'!C$7:C$108,"S")</f>
        <v>0</v>
      </c>
      <c r="C103" s="22">
        <f>SUMIFS('Página 02_Retorno'!O$7:O$108,'Página 02_Retorno'!I$7:I$108,'Pag 05_Modalidade_APROVADO'!A103,'Página 02_Retorno'!K$7:K$108,'Pag 08_Legendas'!B$4)</f>
        <v>0</v>
      </c>
      <c r="D103" s="22">
        <f>SUMIFS('Página 02_Retorno'!P$7:P$108,'Página 02_Retorno'!I$7:I$108,'Pag 05_Modalidade_APROVADO'!A103,'Página 02_Retorno'!K$7:K$108,'Pag 08_Legendas'!B$4)</f>
        <v>0</v>
      </c>
      <c r="E103" s="22">
        <f>SUMIFS('Página 02_Retorno'!Q$7:Q$108,'Página 02_Retorno'!I$7:I$108,'Pag 05_Modalidade_APROVADO'!A103,'Página 02_Retorno'!K$7:K$108,'Pag 08_Legendas'!B$4)</f>
        <v>0</v>
      </c>
      <c r="F103" s="22">
        <f>SUMIFS('Página 02_Retorno'!R$7:R$108,'Página 02_Retorno'!I$7:I$108,'Pag 05_Modalidade_APROVADO'!A103,'Página 02_Retorno'!K$7:K$108,'Pag 08_Legendas'!B$4)</f>
        <v>0</v>
      </c>
      <c r="G103" s="22">
        <f>SUMIFS('Página 02_Retorno'!S$7:S$108,'Página 02_Retorno'!I$7:I$108,'Pag 05_Modalidade_APROVADO'!A103,'Página 02_Retorno'!K$7:K$108,'Pag 08_Legendas'!B$4)</f>
        <v>0</v>
      </c>
      <c r="H103" s="22">
        <f>SUMIFS('Página 02_Retorno'!T$7:T$108,'Página 02_Retorno'!I$7:I$108,'Pag 05_Modalidade_APROVADO'!A103,'Página 02_Retorno'!K$7:K$108,'Pag 08_Legendas'!B$4)</f>
        <v>0</v>
      </c>
      <c r="I103" s="22">
        <f>SUM(C103:H103)</f>
        <v>0</v>
      </c>
      <c r="J103" s="86">
        <f>SUMIFS('Página 02_Retorno'!U$7:U$108,'Página 02_Retorno'!I$7:I$108,'Pag 05_Modalidade_APROVADO'!A103,'Página 02_Retorno'!K$7:K$108,'Pag 08_Legendas'!B$4,'Página 02_Retorno'!B$7:B$108,'Página 01_Cadastro'!B$2)</f>
        <v>0</v>
      </c>
      <c r="K103" s="21">
        <f>COUNTIFS('Página 02_Retorno'!I$7:I$108,'Pag 05_Modalidade_APROVADO'!A103,'Página 02_Retorno'!K$7:K$108,'Pag 08_Legendas'!B$4,'Página 02_Retorno'!C$7:C$108,"S",'Página 02_Retorno'!B$7:B$108,'Página 01_Cadastro'!B$2)</f>
        <v>0</v>
      </c>
    </row>
    <row r="104" spans="1:11" x14ac:dyDescent="0.2">
      <c r="A104" s="89" t="s">
        <v>5</v>
      </c>
      <c r="B104" s="21">
        <f>COUNTIFS('Página 02_Retorno'!I$7:I$108,'Pag 05_Modalidade_APROVADO'!A104,'Página 02_Retorno'!K$7:K$108,'Pag 08_Legendas'!B$4,'Página 02_Retorno'!C$7:C$108,"S")</f>
        <v>0</v>
      </c>
      <c r="C104" s="22">
        <f>SUMIFS('Página 02_Retorno'!O$7:O$108,'Página 02_Retorno'!I$7:I$108,'Pag 05_Modalidade_APROVADO'!A104,'Página 02_Retorno'!K$7:K$108,'Pag 08_Legendas'!B$4)</f>
        <v>0</v>
      </c>
      <c r="D104" s="22">
        <f>SUMIFS('Página 02_Retorno'!P$7:P$108,'Página 02_Retorno'!I$7:I$108,'Pag 05_Modalidade_APROVADO'!A104,'Página 02_Retorno'!K$7:K$108,'Pag 08_Legendas'!B$4)</f>
        <v>0</v>
      </c>
      <c r="E104" s="22">
        <f>SUMIFS('Página 02_Retorno'!Q$7:Q$108,'Página 02_Retorno'!I$7:I$108,'Pag 05_Modalidade_APROVADO'!A104,'Página 02_Retorno'!K$7:K$108,'Pag 08_Legendas'!B$4)</f>
        <v>0</v>
      </c>
      <c r="F104" s="22">
        <f>SUMIFS('Página 02_Retorno'!R$7:R$108,'Página 02_Retorno'!I$7:I$108,'Pag 05_Modalidade_APROVADO'!A104,'Página 02_Retorno'!K$7:K$108,'Pag 08_Legendas'!B$4)</f>
        <v>0</v>
      </c>
      <c r="G104" s="22">
        <f>SUMIFS('Página 02_Retorno'!S$7:S$108,'Página 02_Retorno'!I$7:I$108,'Pag 05_Modalidade_APROVADO'!A104,'Página 02_Retorno'!K$7:K$108,'Pag 08_Legendas'!B$4)</f>
        <v>0</v>
      </c>
      <c r="H104" s="22">
        <f>SUMIFS('Página 02_Retorno'!T$7:T$108,'Página 02_Retorno'!I$7:I$108,'Pag 05_Modalidade_APROVADO'!A104,'Página 02_Retorno'!K$7:K$108,'Pag 08_Legendas'!B$4)</f>
        <v>0</v>
      </c>
      <c r="I104" s="22">
        <f t="shared" ref="I104:I110" si="16">SUM(C104:H104)</f>
        <v>0</v>
      </c>
      <c r="J104" s="86">
        <f>SUMIFS('Página 02_Retorno'!U$7:U$108,'Página 02_Retorno'!I$7:I$108,'Pag 05_Modalidade_APROVADO'!A104,'Página 02_Retorno'!K$7:K$108,'Pag 08_Legendas'!B$4,'Página 02_Retorno'!B$7:B$108,'Página 01_Cadastro'!B$2)</f>
        <v>0</v>
      </c>
      <c r="K104" s="21">
        <f>COUNTIFS('Página 02_Retorno'!I$7:I$108,'Pag 05_Modalidade_APROVADO'!A104,'Página 02_Retorno'!K$7:K$108,'Pag 08_Legendas'!B$4,'Página 02_Retorno'!C$7:C$108,"S",'Página 02_Retorno'!B$7:B$108,'Página 01_Cadastro'!B$2)</f>
        <v>0</v>
      </c>
    </row>
    <row r="105" spans="1:11" x14ac:dyDescent="0.2">
      <c r="A105" s="89" t="s">
        <v>1</v>
      </c>
      <c r="B105" s="21">
        <f>COUNTIFS('Página 02_Retorno'!I$7:I$108,'Pag 05_Modalidade_APROVADO'!A105,'Página 02_Retorno'!K$7:K$108,'Pag 08_Legendas'!B$4,'Página 02_Retorno'!C$7:C$108,"S")</f>
        <v>0</v>
      </c>
      <c r="C105" s="22">
        <f>SUMIFS('Página 02_Retorno'!O$7:O$108,'Página 02_Retorno'!I$7:I$108,'Pag 05_Modalidade_APROVADO'!A105,'Página 02_Retorno'!K$7:K$108,'Pag 08_Legendas'!B$4)</f>
        <v>0</v>
      </c>
      <c r="D105" s="22">
        <f>SUMIFS('Página 02_Retorno'!P$7:P$108,'Página 02_Retorno'!I$7:I$108,'Pag 05_Modalidade_APROVADO'!A105,'Página 02_Retorno'!K$7:K$108,'Pag 08_Legendas'!B$4)</f>
        <v>0</v>
      </c>
      <c r="E105" s="22">
        <f>SUMIFS('Página 02_Retorno'!Q$7:Q$108,'Página 02_Retorno'!I$7:I$108,'Pag 05_Modalidade_APROVADO'!A105,'Página 02_Retorno'!K$7:K$108,'Pag 08_Legendas'!B$4)</f>
        <v>0</v>
      </c>
      <c r="F105" s="22">
        <f>SUMIFS('Página 02_Retorno'!R$7:R$108,'Página 02_Retorno'!I$7:I$108,'Pag 05_Modalidade_APROVADO'!A105,'Página 02_Retorno'!K$7:K$108,'Pag 08_Legendas'!B$4)</f>
        <v>0</v>
      </c>
      <c r="G105" s="22">
        <f>SUMIFS('Página 02_Retorno'!S$7:S$108,'Página 02_Retorno'!I$7:I$108,'Pag 05_Modalidade_APROVADO'!A105,'Página 02_Retorno'!K$7:K$108,'Pag 08_Legendas'!B$4)</f>
        <v>0</v>
      </c>
      <c r="H105" s="22">
        <f>SUMIFS('Página 02_Retorno'!T$7:T$108,'Página 02_Retorno'!I$7:I$108,'Pag 05_Modalidade_APROVADO'!A105,'Página 02_Retorno'!K$7:K$108,'Pag 08_Legendas'!B$4)</f>
        <v>0</v>
      </c>
      <c r="I105" s="22">
        <f t="shared" si="16"/>
        <v>0</v>
      </c>
      <c r="J105" s="86">
        <f>SUMIFS('Página 02_Retorno'!U$7:U$108,'Página 02_Retorno'!I$7:I$108,'Pag 05_Modalidade_APROVADO'!A105,'Página 02_Retorno'!K$7:K$108,'Pag 08_Legendas'!B$4,'Página 02_Retorno'!B$7:B$108,'Página 01_Cadastro'!B$2)</f>
        <v>0</v>
      </c>
      <c r="K105" s="21">
        <f>COUNTIFS('Página 02_Retorno'!I$7:I$108,'Pag 05_Modalidade_APROVADO'!A105,'Página 02_Retorno'!K$7:K$108,'Pag 08_Legendas'!B$4,'Página 02_Retorno'!C$7:C$108,"S",'Página 02_Retorno'!B$7:B$108,'Página 01_Cadastro'!B$2)</f>
        <v>0</v>
      </c>
    </row>
    <row r="106" spans="1:11" x14ac:dyDescent="0.2">
      <c r="A106" s="89" t="s">
        <v>26</v>
      </c>
      <c r="B106" s="21">
        <f>COUNTIFS('Página 02_Retorno'!I$7:I$108,'Pag 05_Modalidade_APROVADO'!A106,'Página 02_Retorno'!K$7:K$108,'Pag 08_Legendas'!B$4,'Página 02_Retorno'!C$7:C$108,"S")</f>
        <v>0</v>
      </c>
      <c r="C106" s="22">
        <f>SUMIFS('Página 02_Retorno'!O$7:O$108,'Página 02_Retorno'!I$7:I$108,'Pag 05_Modalidade_APROVADO'!A106,'Página 02_Retorno'!K$7:K$108,'Pag 08_Legendas'!B$4)</f>
        <v>0</v>
      </c>
      <c r="D106" s="22">
        <f>SUMIFS('Página 02_Retorno'!P$7:P$108,'Página 02_Retorno'!I$7:I$108,'Pag 05_Modalidade_APROVADO'!A106,'Página 02_Retorno'!K$7:K$108,'Pag 08_Legendas'!B$4)</f>
        <v>0</v>
      </c>
      <c r="E106" s="22">
        <f>SUMIFS('Página 02_Retorno'!Q$7:Q$108,'Página 02_Retorno'!I$7:I$108,'Pag 05_Modalidade_APROVADO'!A106,'Página 02_Retorno'!K$7:K$108,'Pag 08_Legendas'!B$4)</f>
        <v>0</v>
      </c>
      <c r="F106" s="22">
        <f>SUMIFS('Página 02_Retorno'!R$7:R$108,'Página 02_Retorno'!I$7:I$108,'Pag 05_Modalidade_APROVADO'!A106,'Página 02_Retorno'!K$7:K$108,'Pag 08_Legendas'!B$4)</f>
        <v>0</v>
      </c>
      <c r="G106" s="22">
        <f>SUMIFS('Página 02_Retorno'!S$7:S$108,'Página 02_Retorno'!I$7:I$108,'Pag 05_Modalidade_APROVADO'!A106,'Página 02_Retorno'!K$7:K$108,'Pag 08_Legendas'!B$4)</f>
        <v>0</v>
      </c>
      <c r="H106" s="22">
        <f>SUMIFS('Página 02_Retorno'!T$7:T$108,'Página 02_Retorno'!I$7:I$108,'Pag 05_Modalidade_APROVADO'!A106,'Página 02_Retorno'!K$7:K$108,'Pag 08_Legendas'!B$4)</f>
        <v>0</v>
      </c>
      <c r="I106" s="22">
        <f t="shared" si="16"/>
        <v>0</v>
      </c>
      <c r="J106" s="86">
        <f>SUMIFS('Página 02_Retorno'!U$7:U$108,'Página 02_Retorno'!I$7:I$108,'Pag 05_Modalidade_APROVADO'!A106,'Página 02_Retorno'!K$7:K$108,'Pag 08_Legendas'!B$4,'Página 02_Retorno'!B$7:B$108,'Página 01_Cadastro'!B$2)</f>
        <v>0</v>
      </c>
      <c r="K106" s="21">
        <f>COUNTIFS('Página 02_Retorno'!I$7:I$108,'Pag 05_Modalidade_APROVADO'!A106,'Página 02_Retorno'!K$7:K$108,'Pag 08_Legendas'!B$4,'Página 02_Retorno'!C$7:C$108,"S",'Página 02_Retorno'!B$7:B$108,'Página 01_Cadastro'!B$2)</f>
        <v>0</v>
      </c>
    </row>
    <row r="107" spans="1:11" x14ac:dyDescent="0.2">
      <c r="A107" s="89" t="s">
        <v>2</v>
      </c>
      <c r="B107" s="21">
        <f>COUNTIFS('Página 02_Retorno'!I$7:I$108,'Pag 05_Modalidade_APROVADO'!A107,'Página 02_Retorno'!K$7:K$108,'Pag 08_Legendas'!B$4,'Página 02_Retorno'!C$7:C$108,"S")</f>
        <v>0</v>
      </c>
      <c r="C107" s="22">
        <f>SUMIFS('Página 02_Retorno'!O$7:O$108,'Página 02_Retorno'!I$7:I$108,'Pag 05_Modalidade_APROVADO'!A107,'Página 02_Retorno'!K$7:K$108,'Pag 08_Legendas'!B$4)</f>
        <v>0</v>
      </c>
      <c r="D107" s="22">
        <f>SUMIFS('Página 02_Retorno'!P$7:P$108,'Página 02_Retorno'!I$7:I$108,'Pag 05_Modalidade_APROVADO'!A107,'Página 02_Retorno'!K$7:K$108,'Pag 08_Legendas'!B$4)</f>
        <v>0</v>
      </c>
      <c r="E107" s="22">
        <f>SUMIFS('Página 02_Retorno'!Q$7:Q$108,'Página 02_Retorno'!I$7:I$108,'Pag 05_Modalidade_APROVADO'!A107,'Página 02_Retorno'!K$7:K$108,'Pag 08_Legendas'!B$4)</f>
        <v>0</v>
      </c>
      <c r="F107" s="22">
        <f>SUMIFS('Página 02_Retorno'!R$7:R$108,'Página 02_Retorno'!I$7:I$108,'Pag 05_Modalidade_APROVADO'!A107,'Página 02_Retorno'!K$7:K$108,'Pag 08_Legendas'!B$4)</f>
        <v>0</v>
      </c>
      <c r="G107" s="22">
        <f>SUMIFS('Página 02_Retorno'!S$7:S$108,'Página 02_Retorno'!I$7:I$108,'Pag 05_Modalidade_APROVADO'!A107,'Página 02_Retorno'!K$7:K$108,'Pag 08_Legendas'!B$4)</f>
        <v>0</v>
      </c>
      <c r="H107" s="22">
        <f>SUMIFS('Página 02_Retorno'!T$7:T$108,'Página 02_Retorno'!I$7:I$108,'Pag 05_Modalidade_APROVADO'!A107,'Página 02_Retorno'!K$7:K$108,'Pag 08_Legendas'!B$4)</f>
        <v>0</v>
      </c>
      <c r="I107" s="22">
        <f t="shared" si="16"/>
        <v>0</v>
      </c>
      <c r="J107" s="86">
        <f>SUMIFS('Página 02_Retorno'!U$7:U$108,'Página 02_Retorno'!I$7:I$108,'Pag 05_Modalidade_APROVADO'!A107,'Página 02_Retorno'!K$7:K$108,'Pag 08_Legendas'!B$4,'Página 02_Retorno'!B$7:B$108,'Página 01_Cadastro'!B$2)</f>
        <v>0</v>
      </c>
      <c r="K107" s="21">
        <f>COUNTIFS('Página 02_Retorno'!I$7:I$108,'Pag 05_Modalidade_APROVADO'!A107,'Página 02_Retorno'!K$7:K$108,'Pag 08_Legendas'!B$4,'Página 02_Retorno'!C$7:C$108,"S",'Página 02_Retorno'!B$7:B$108,'Página 01_Cadastro'!B$2)</f>
        <v>0</v>
      </c>
    </row>
    <row r="108" spans="1:11" x14ac:dyDescent="0.2">
      <c r="A108" s="89" t="s">
        <v>4</v>
      </c>
      <c r="B108" s="21">
        <f>COUNTIFS('Página 02_Retorno'!I$7:I$108,'Pag 05_Modalidade_APROVADO'!A108,'Página 02_Retorno'!K$7:K$108,'Pag 08_Legendas'!B$4,'Página 02_Retorno'!C$7:C$108,"S")</f>
        <v>0</v>
      </c>
      <c r="C108" s="22">
        <f>SUMIFS('Página 02_Retorno'!O$7:O$108,'Página 02_Retorno'!I$7:I$108,'Pag 05_Modalidade_APROVADO'!A108,'Página 02_Retorno'!K$7:K$108,'Pag 08_Legendas'!B$4)</f>
        <v>0</v>
      </c>
      <c r="D108" s="22">
        <f>SUMIFS('Página 02_Retorno'!P$7:P$108,'Página 02_Retorno'!I$7:I$108,'Pag 05_Modalidade_APROVADO'!A108,'Página 02_Retorno'!K$7:K$108,'Pag 08_Legendas'!B$4)</f>
        <v>0</v>
      </c>
      <c r="E108" s="22">
        <f>SUMIFS('Página 02_Retorno'!Q$7:Q$108,'Página 02_Retorno'!I$7:I$108,'Pag 05_Modalidade_APROVADO'!A108,'Página 02_Retorno'!K$7:K$108,'Pag 08_Legendas'!B$4)</f>
        <v>0</v>
      </c>
      <c r="F108" s="22">
        <f>SUMIFS('Página 02_Retorno'!R$7:R$108,'Página 02_Retorno'!I$7:I$108,'Pag 05_Modalidade_APROVADO'!A108,'Página 02_Retorno'!K$7:K$108,'Pag 08_Legendas'!B$4)</f>
        <v>0</v>
      </c>
      <c r="G108" s="22">
        <f>SUMIFS('Página 02_Retorno'!S$7:S$108,'Página 02_Retorno'!I$7:I$108,'Pag 05_Modalidade_APROVADO'!A108,'Página 02_Retorno'!K$7:K$108,'Pag 08_Legendas'!B$4)</f>
        <v>0</v>
      </c>
      <c r="H108" s="22">
        <f>SUMIFS('Página 02_Retorno'!T$7:T$108,'Página 02_Retorno'!I$7:I$108,'Pag 05_Modalidade_APROVADO'!A108,'Página 02_Retorno'!K$7:K$108,'Pag 08_Legendas'!B$4)</f>
        <v>0</v>
      </c>
      <c r="I108" s="22">
        <f t="shared" si="16"/>
        <v>0</v>
      </c>
      <c r="J108" s="86">
        <f>SUMIFS('Página 02_Retorno'!U$7:U$108,'Página 02_Retorno'!I$7:I$108,'Pag 05_Modalidade_APROVADO'!A108,'Página 02_Retorno'!K$7:K$108,'Pag 08_Legendas'!B$4,'Página 02_Retorno'!B$7:B$108,'Página 01_Cadastro'!B$2)</f>
        <v>0</v>
      </c>
      <c r="K108" s="21">
        <f>COUNTIFS('Página 02_Retorno'!I$7:I$108,'Pag 05_Modalidade_APROVADO'!A108,'Página 02_Retorno'!K$7:K$108,'Pag 08_Legendas'!B$4,'Página 02_Retorno'!C$7:C$108,"S",'Página 02_Retorno'!B$7:B$108,'Página 01_Cadastro'!B$2)</f>
        <v>0</v>
      </c>
    </row>
    <row r="109" spans="1:11" x14ac:dyDescent="0.2">
      <c r="A109" s="89" t="s">
        <v>3</v>
      </c>
      <c r="B109" s="21">
        <f>COUNTIFS('Página 02_Retorno'!I$7:I$108,'Pag 05_Modalidade_APROVADO'!A109,'Página 02_Retorno'!K$7:K$108,'Pag 08_Legendas'!B$4,'Página 02_Retorno'!C$7:C$108,"S")</f>
        <v>0</v>
      </c>
      <c r="C109" s="22">
        <f>SUMIFS('Página 02_Retorno'!O$7:O$108,'Página 02_Retorno'!I$7:I$108,'Pag 05_Modalidade_APROVADO'!A109,'Página 02_Retorno'!K$7:K$108,'Pag 08_Legendas'!B$4)</f>
        <v>0</v>
      </c>
      <c r="D109" s="22">
        <f>SUMIFS('Página 02_Retorno'!P$7:P$108,'Página 02_Retorno'!I$7:I$108,'Pag 05_Modalidade_APROVADO'!A109,'Página 02_Retorno'!K$7:K$108,'Pag 08_Legendas'!B$4)</f>
        <v>0</v>
      </c>
      <c r="E109" s="22">
        <f>SUMIFS('Página 02_Retorno'!Q$7:Q$108,'Página 02_Retorno'!I$7:I$108,'Pag 05_Modalidade_APROVADO'!A109,'Página 02_Retorno'!K$7:K$108,'Pag 08_Legendas'!B$4)</f>
        <v>0</v>
      </c>
      <c r="F109" s="22">
        <f>SUMIFS('Página 02_Retorno'!R$7:R$108,'Página 02_Retorno'!I$7:I$108,'Pag 05_Modalidade_APROVADO'!A109,'Página 02_Retorno'!K$7:K$108,'Pag 08_Legendas'!B$4)</f>
        <v>0</v>
      </c>
      <c r="G109" s="22">
        <f>SUMIFS('Página 02_Retorno'!S$7:S$108,'Página 02_Retorno'!I$7:I$108,'Pag 05_Modalidade_APROVADO'!A109,'Página 02_Retorno'!K$7:K$108,'Pag 08_Legendas'!B$4)</f>
        <v>0</v>
      </c>
      <c r="H109" s="22">
        <f>SUMIFS('Página 02_Retorno'!T$7:T$108,'Página 02_Retorno'!I$7:I$108,'Pag 05_Modalidade_APROVADO'!A109,'Página 02_Retorno'!K$7:K$108,'Pag 08_Legendas'!B$4)</f>
        <v>0</v>
      </c>
      <c r="I109" s="22">
        <f t="shared" si="16"/>
        <v>0</v>
      </c>
      <c r="J109" s="86">
        <f>SUMIFS('Página 02_Retorno'!U$7:U$108,'Página 02_Retorno'!I$7:I$108,'Pag 05_Modalidade_APROVADO'!A109,'Página 02_Retorno'!K$7:K$108,'Pag 08_Legendas'!B$4,'Página 02_Retorno'!B$7:B$108,'Página 01_Cadastro'!B$2)</f>
        <v>0</v>
      </c>
      <c r="K109" s="21">
        <f>COUNTIFS('Página 02_Retorno'!I$7:I$108,'Pag 05_Modalidade_APROVADO'!A109,'Página 02_Retorno'!K$7:K$108,'Pag 08_Legendas'!B$4,'Página 02_Retorno'!C$7:C$108,"S",'Página 02_Retorno'!B$7:B$108,'Página 01_Cadastro'!B$2)</f>
        <v>0</v>
      </c>
    </row>
    <row r="110" spans="1:11" x14ac:dyDescent="0.2">
      <c r="A110" s="43" t="s">
        <v>6</v>
      </c>
      <c r="B110" s="31">
        <f>SUM(B103:B109)</f>
        <v>0</v>
      </c>
      <c r="C110" s="33">
        <f t="shared" ref="C110:H110" si="17">SUM(C103:C109)</f>
        <v>0</v>
      </c>
      <c r="D110" s="33">
        <f t="shared" si="17"/>
        <v>0</v>
      </c>
      <c r="E110" s="33">
        <f t="shared" si="17"/>
        <v>0</v>
      </c>
      <c r="F110" s="33">
        <f t="shared" si="17"/>
        <v>0</v>
      </c>
      <c r="G110" s="33">
        <f t="shared" si="17"/>
        <v>0</v>
      </c>
      <c r="H110" s="33">
        <f t="shared" si="17"/>
        <v>0</v>
      </c>
      <c r="I110" s="33">
        <f t="shared" si="16"/>
        <v>0</v>
      </c>
      <c r="J110" s="34">
        <f>SUM(J103:J109)</f>
        <v>0</v>
      </c>
      <c r="K110" s="31">
        <f>SUM(K103:K109)</f>
        <v>0</v>
      </c>
    </row>
    <row r="112" spans="1:11" x14ac:dyDescent="0.2">
      <c r="A112" s="174" t="s">
        <v>94</v>
      </c>
      <c r="B112" s="174"/>
      <c r="C112" s="174"/>
      <c r="D112" s="174"/>
      <c r="E112" s="174"/>
      <c r="F112" s="174"/>
      <c r="G112" s="174"/>
      <c r="H112" s="174"/>
      <c r="I112" s="174"/>
    </row>
    <row r="114" spans="1:11" ht="35.25" x14ac:dyDescent="0.2">
      <c r="A114" s="35" t="s">
        <v>25</v>
      </c>
      <c r="B114" s="36" t="s">
        <v>27</v>
      </c>
      <c r="C114" s="36" t="s">
        <v>16</v>
      </c>
      <c r="D114" s="37" t="s">
        <v>17</v>
      </c>
      <c r="E114" s="37" t="s">
        <v>18</v>
      </c>
      <c r="F114" s="37" t="s">
        <v>19</v>
      </c>
      <c r="G114" s="37" t="s">
        <v>20</v>
      </c>
      <c r="H114" s="37" t="s">
        <v>21</v>
      </c>
      <c r="I114" s="37" t="s">
        <v>28</v>
      </c>
      <c r="J114" s="37" t="s">
        <v>126</v>
      </c>
      <c r="K114" s="37" t="s">
        <v>127</v>
      </c>
    </row>
    <row r="115" spans="1:11" x14ac:dyDescent="0.2">
      <c r="A115" s="89" t="s">
        <v>0</v>
      </c>
      <c r="B115" s="21">
        <f>COUNTIFS('Página 02_Retorno'!I$7:I$108,'Pag 05_Modalidade_APROVADO'!A115,'Página 02_Retorno'!K$7:K$108,'Pag 08_Legendas'!B$10,'Página 02_Retorno'!C$7:C$108,"S")</f>
        <v>0</v>
      </c>
      <c r="C115" s="22">
        <f>SUMIFS('Página 02_Retorno'!O$7:O$108,'Página 02_Retorno'!I$7:I$108,'Pag 05_Modalidade_APROVADO'!A115,'Página 02_Retorno'!K$7:K$108,'Pag 08_Legendas'!B$10)</f>
        <v>0</v>
      </c>
      <c r="D115" s="22">
        <f>SUMIFS('Página 02_Retorno'!P$7:P$108,'Página 02_Retorno'!I$7:I$108,'Pag 05_Modalidade_APROVADO'!A115,'Página 02_Retorno'!K$7:K$108,'Pag 08_Legendas'!B$10)</f>
        <v>0</v>
      </c>
      <c r="E115" s="22">
        <f>SUMIFS('Página 02_Retorno'!Q$7:Q$108,'Página 02_Retorno'!I$7:I$108,'Pag 05_Modalidade_APROVADO'!A115,'Página 02_Retorno'!K$7:K$108,'Pag 08_Legendas'!B$10)</f>
        <v>0</v>
      </c>
      <c r="F115" s="22">
        <f>SUMIFS('Página 02_Retorno'!R$7:R$108,'Página 02_Retorno'!I$7:I$108,'Pag 05_Modalidade_APROVADO'!A115,'Página 02_Retorno'!K$7:K$108,'Pag 08_Legendas'!B$10)</f>
        <v>0</v>
      </c>
      <c r="G115" s="22">
        <f>SUMIFS('Página 02_Retorno'!S$7:S$108,'Página 02_Retorno'!I$7:I$108,'Pag 05_Modalidade_APROVADO'!A115,'Página 02_Retorno'!K$7:K$108,'Pag 08_Legendas'!B$10)</f>
        <v>0</v>
      </c>
      <c r="H115" s="22">
        <f>SUMIFS('Página 02_Retorno'!T$7:T$108,'Página 02_Retorno'!I$7:I$108,'Pag 05_Modalidade_APROVADO'!A115,'Página 02_Retorno'!K$7:K$108,'Pag 08_Legendas'!B$10)</f>
        <v>0</v>
      </c>
      <c r="I115" s="22">
        <f>SUM(C115:H115)</f>
        <v>0</v>
      </c>
      <c r="J115" s="86">
        <f>SUMIFS('Página 02_Retorno'!U$7:U$108,'Página 02_Retorno'!I$7:I$108,'Pag 05_Modalidade_APROVADO'!A115,'Página 02_Retorno'!K$7:K$108,'Pag 08_Legendas'!B$10,'Página 02_Retorno'!B$7:B$108,'Página 01_Cadastro'!B$2)</f>
        <v>0</v>
      </c>
      <c r="K115" s="21">
        <f>COUNTIFS('Página 02_Retorno'!I$7:I$108,'Pag 05_Modalidade_APROVADO'!A115,'Página 02_Retorno'!K$7:K$108,'Pag 08_Legendas'!B$10,'Página 02_Retorno'!C$7:C$108,"S",'Página 02_Retorno'!B$7:B$108,'Página 01_Cadastro'!B$2)</f>
        <v>0</v>
      </c>
    </row>
    <row r="116" spans="1:11" x14ac:dyDescent="0.2">
      <c r="A116" s="89" t="s">
        <v>5</v>
      </c>
      <c r="B116" s="21">
        <f>COUNTIFS('Página 02_Retorno'!I$7:I$108,'Pag 05_Modalidade_APROVADO'!A116,'Página 02_Retorno'!K$7:K$108,'Pag 08_Legendas'!B$10,'Página 02_Retorno'!C$7:C$108,"S")</f>
        <v>0</v>
      </c>
      <c r="C116" s="22">
        <f>SUMIFS('Página 02_Retorno'!O$7:O$108,'Página 02_Retorno'!I$7:I$108,'Pag 05_Modalidade_APROVADO'!A116,'Página 02_Retorno'!K$7:K$108,'Pag 08_Legendas'!B$10)</f>
        <v>0</v>
      </c>
      <c r="D116" s="22">
        <f>SUMIFS('Página 02_Retorno'!P$7:P$108,'Página 02_Retorno'!I$7:I$108,'Pag 05_Modalidade_APROVADO'!A116,'Página 02_Retorno'!K$7:K$108,'Pag 08_Legendas'!B$10)</f>
        <v>0</v>
      </c>
      <c r="E116" s="22">
        <f>SUMIFS('Página 02_Retorno'!Q$7:Q$108,'Página 02_Retorno'!I$7:I$108,'Pag 05_Modalidade_APROVADO'!A116,'Página 02_Retorno'!K$7:K$108,'Pag 08_Legendas'!B$10)</f>
        <v>0</v>
      </c>
      <c r="F116" s="22">
        <f>SUMIFS('Página 02_Retorno'!R$7:R$108,'Página 02_Retorno'!I$7:I$108,'Pag 05_Modalidade_APROVADO'!A116,'Página 02_Retorno'!K$7:K$108,'Pag 08_Legendas'!B$10)</f>
        <v>0</v>
      </c>
      <c r="G116" s="22">
        <f>SUMIFS('Página 02_Retorno'!S$7:S$108,'Página 02_Retorno'!I$7:I$108,'Pag 05_Modalidade_APROVADO'!A116,'Página 02_Retorno'!K$7:K$108,'Pag 08_Legendas'!B$10)</f>
        <v>0</v>
      </c>
      <c r="H116" s="22">
        <f>SUMIFS('Página 02_Retorno'!T$7:T$108,'Página 02_Retorno'!I$7:I$108,'Pag 05_Modalidade_APROVADO'!A116,'Página 02_Retorno'!K$7:K$108,'Pag 08_Legendas'!B$10)</f>
        <v>0</v>
      </c>
      <c r="I116" s="22">
        <f t="shared" ref="I116:I122" si="18">SUM(C116:H116)</f>
        <v>0</v>
      </c>
      <c r="J116" s="86">
        <f>SUMIFS('Página 02_Retorno'!U$7:U$108,'Página 02_Retorno'!I$7:I$108,'Pag 05_Modalidade_APROVADO'!A116,'Página 02_Retorno'!K$7:K$108,'Pag 08_Legendas'!B$10,'Página 02_Retorno'!B$7:B$108,'Página 01_Cadastro'!B$2)</f>
        <v>0</v>
      </c>
      <c r="K116" s="21">
        <f>COUNTIFS('Página 02_Retorno'!I$7:I$108,'Pag 05_Modalidade_APROVADO'!A116,'Página 02_Retorno'!K$7:K$108,'Pag 08_Legendas'!B$10,'Página 02_Retorno'!C$7:C$108,"S",'Página 02_Retorno'!B$7:B$108,'Página 01_Cadastro'!B$2)</f>
        <v>0</v>
      </c>
    </row>
    <row r="117" spans="1:11" x14ac:dyDescent="0.2">
      <c r="A117" s="89" t="s">
        <v>1</v>
      </c>
      <c r="B117" s="21">
        <f>COUNTIFS('Página 02_Retorno'!I$7:I$108,'Pag 05_Modalidade_APROVADO'!A117,'Página 02_Retorno'!K$7:K$108,'Pag 08_Legendas'!B$10,'Página 02_Retorno'!C$7:C$108,"S")</f>
        <v>0</v>
      </c>
      <c r="C117" s="22">
        <f>SUMIFS('Página 02_Retorno'!O$7:O$108,'Página 02_Retorno'!I$7:I$108,'Pag 05_Modalidade_APROVADO'!A117,'Página 02_Retorno'!K$7:K$108,'Pag 08_Legendas'!B$10)</f>
        <v>0</v>
      </c>
      <c r="D117" s="22">
        <f>SUMIFS('Página 02_Retorno'!P$7:P$108,'Página 02_Retorno'!I$7:I$108,'Pag 05_Modalidade_APROVADO'!A117,'Página 02_Retorno'!K$7:K$108,'Pag 08_Legendas'!B$10)</f>
        <v>0</v>
      </c>
      <c r="E117" s="22">
        <f>SUMIFS('Página 02_Retorno'!Q$7:Q$108,'Página 02_Retorno'!I$7:I$108,'Pag 05_Modalidade_APROVADO'!A117,'Página 02_Retorno'!K$7:K$108,'Pag 08_Legendas'!B$10)</f>
        <v>0</v>
      </c>
      <c r="F117" s="22">
        <f>SUMIFS('Página 02_Retorno'!R$7:R$108,'Página 02_Retorno'!I$7:I$108,'Pag 05_Modalidade_APROVADO'!A117,'Página 02_Retorno'!K$7:K$108,'Pag 08_Legendas'!B$10)</f>
        <v>0</v>
      </c>
      <c r="G117" s="22">
        <f>SUMIFS('Página 02_Retorno'!S$7:S$108,'Página 02_Retorno'!I$7:I$108,'Pag 05_Modalidade_APROVADO'!A117,'Página 02_Retorno'!K$7:K$108,'Pag 08_Legendas'!B$10)</f>
        <v>0</v>
      </c>
      <c r="H117" s="22">
        <f>SUMIFS('Página 02_Retorno'!T$7:T$108,'Página 02_Retorno'!I$7:I$108,'Pag 05_Modalidade_APROVADO'!A117,'Página 02_Retorno'!K$7:K$108,'Pag 08_Legendas'!B$10)</f>
        <v>0</v>
      </c>
      <c r="I117" s="22">
        <f t="shared" si="18"/>
        <v>0</v>
      </c>
      <c r="J117" s="86">
        <f>SUMIFS('Página 02_Retorno'!U$7:U$108,'Página 02_Retorno'!I$7:I$108,'Pag 05_Modalidade_APROVADO'!A117,'Página 02_Retorno'!K$7:K$108,'Pag 08_Legendas'!B$10,'Página 02_Retorno'!B$7:B$108,'Página 01_Cadastro'!B$2)</f>
        <v>0</v>
      </c>
      <c r="K117" s="21">
        <f>COUNTIFS('Página 02_Retorno'!I$7:I$108,'Pag 05_Modalidade_APROVADO'!A117,'Página 02_Retorno'!K$7:K$108,'Pag 08_Legendas'!B$10,'Página 02_Retorno'!C$7:C$108,"S",'Página 02_Retorno'!B$7:B$108,'Página 01_Cadastro'!B$2)</f>
        <v>0</v>
      </c>
    </row>
    <row r="118" spans="1:11" x14ac:dyDescent="0.2">
      <c r="A118" s="89" t="s">
        <v>26</v>
      </c>
      <c r="B118" s="21">
        <f>COUNTIFS('Página 02_Retorno'!I$7:I$108,'Pag 05_Modalidade_APROVADO'!A118,'Página 02_Retorno'!K$7:K$108,'Pag 08_Legendas'!B$10,'Página 02_Retorno'!C$7:C$108,"S")</f>
        <v>0</v>
      </c>
      <c r="C118" s="22">
        <f>SUMIFS('Página 02_Retorno'!O$7:O$108,'Página 02_Retorno'!I$7:I$108,'Pag 05_Modalidade_APROVADO'!A118,'Página 02_Retorno'!K$7:K$108,'Pag 08_Legendas'!B$10)</f>
        <v>0</v>
      </c>
      <c r="D118" s="22">
        <f>SUMIFS('Página 02_Retorno'!P$7:P$108,'Página 02_Retorno'!I$7:I$108,'Pag 05_Modalidade_APROVADO'!A118,'Página 02_Retorno'!K$7:K$108,'Pag 08_Legendas'!B$10)</f>
        <v>0</v>
      </c>
      <c r="E118" s="22">
        <f>SUMIFS('Página 02_Retorno'!Q$7:Q$108,'Página 02_Retorno'!I$7:I$108,'Pag 05_Modalidade_APROVADO'!A118,'Página 02_Retorno'!K$7:K$108,'Pag 08_Legendas'!B$10)</f>
        <v>0</v>
      </c>
      <c r="F118" s="22">
        <f>SUMIFS('Página 02_Retorno'!R$7:R$108,'Página 02_Retorno'!I$7:I$108,'Pag 05_Modalidade_APROVADO'!A118,'Página 02_Retorno'!K$7:K$108,'Pag 08_Legendas'!B$10)</f>
        <v>0</v>
      </c>
      <c r="G118" s="22">
        <f>SUMIFS('Página 02_Retorno'!S$7:S$108,'Página 02_Retorno'!I$7:I$108,'Pag 05_Modalidade_APROVADO'!A118,'Página 02_Retorno'!K$7:K$108,'Pag 08_Legendas'!B$10)</f>
        <v>0</v>
      </c>
      <c r="H118" s="22">
        <f>SUMIFS('Página 02_Retorno'!T$7:T$108,'Página 02_Retorno'!I$7:I$108,'Pag 05_Modalidade_APROVADO'!A118,'Página 02_Retorno'!K$7:K$108,'Pag 08_Legendas'!B$10)</f>
        <v>0</v>
      </c>
      <c r="I118" s="22">
        <f t="shared" si="18"/>
        <v>0</v>
      </c>
      <c r="J118" s="86">
        <f>SUMIFS('Página 02_Retorno'!U$7:U$108,'Página 02_Retorno'!I$7:I$108,'Pag 05_Modalidade_APROVADO'!A118,'Página 02_Retorno'!K$7:K$108,'Pag 08_Legendas'!B$10,'Página 02_Retorno'!B$7:B$108,'Página 01_Cadastro'!B$2)</f>
        <v>0</v>
      </c>
      <c r="K118" s="21">
        <f>COUNTIFS('Página 02_Retorno'!I$7:I$108,'Pag 05_Modalidade_APROVADO'!A118,'Página 02_Retorno'!K$7:K$108,'Pag 08_Legendas'!B$10,'Página 02_Retorno'!C$7:C$108,"S",'Página 02_Retorno'!B$7:B$108,'Página 01_Cadastro'!B$2)</f>
        <v>0</v>
      </c>
    </row>
    <row r="119" spans="1:11" x14ac:dyDescent="0.2">
      <c r="A119" s="89" t="s">
        <v>2</v>
      </c>
      <c r="B119" s="21">
        <f>COUNTIFS('Página 02_Retorno'!I$7:I$108,'Pag 05_Modalidade_APROVADO'!A119,'Página 02_Retorno'!K$7:K$108,'Pag 08_Legendas'!B$10,'Página 02_Retorno'!C$7:C$108,"S")</f>
        <v>0</v>
      </c>
      <c r="C119" s="22">
        <f>SUMIFS('Página 02_Retorno'!O$7:O$108,'Página 02_Retorno'!I$7:I$108,'Pag 05_Modalidade_APROVADO'!A119,'Página 02_Retorno'!K$7:K$108,'Pag 08_Legendas'!B$10)</f>
        <v>0</v>
      </c>
      <c r="D119" s="22">
        <f>SUMIFS('Página 02_Retorno'!P$7:P$108,'Página 02_Retorno'!I$7:I$108,'Pag 05_Modalidade_APROVADO'!A119,'Página 02_Retorno'!K$7:K$108,'Pag 08_Legendas'!B$10)</f>
        <v>0</v>
      </c>
      <c r="E119" s="22">
        <f>SUMIFS('Página 02_Retorno'!Q$7:Q$108,'Página 02_Retorno'!I$7:I$108,'Pag 05_Modalidade_APROVADO'!A119,'Página 02_Retorno'!K$7:K$108,'Pag 08_Legendas'!B$10)</f>
        <v>0</v>
      </c>
      <c r="F119" s="22">
        <f>SUMIFS('Página 02_Retorno'!R$7:R$108,'Página 02_Retorno'!I$7:I$108,'Pag 05_Modalidade_APROVADO'!A119,'Página 02_Retorno'!K$7:K$108,'Pag 08_Legendas'!B$10)</f>
        <v>0</v>
      </c>
      <c r="G119" s="22">
        <f>SUMIFS('Página 02_Retorno'!S$7:S$108,'Página 02_Retorno'!I$7:I$108,'Pag 05_Modalidade_APROVADO'!A119,'Página 02_Retorno'!K$7:K$108,'Pag 08_Legendas'!B$10)</f>
        <v>0</v>
      </c>
      <c r="H119" s="22">
        <f>SUMIFS('Página 02_Retorno'!T$7:T$108,'Página 02_Retorno'!I$7:I$108,'Pag 05_Modalidade_APROVADO'!A119,'Página 02_Retorno'!K$7:K$108,'Pag 08_Legendas'!B$10)</f>
        <v>0</v>
      </c>
      <c r="I119" s="22">
        <f t="shared" si="18"/>
        <v>0</v>
      </c>
      <c r="J119" s="86">
        <f>SUMIFS('Página 02_Retorno'!U$7:U$108,'Página 02_Retorno'!I$7:I$108,'Pag 05_Modalidade_APROVADO'!A119,'Página 02_Retorno'!K$7:K$108,'Pag 08_Legendas'!B$10,'Página 02_Retorno'!B$7:B$108,'Página 01_Cadastro'!B$2)</f>
        <v>0</v>
      </c>
      <c r="K119" s="21">
        <f>COUNTIFS('Página 02_Retorno'!I$7:I$108,'Pag 05_Modalidade_APROVADO'!A119,'Página 02_Retorno'!K$7:K$108,'Pag 08_Legendas'!B$10,'Página 02_Retorno'!C$7:C$108,"S",'Página 02_Retorno'!B$7:B$108,'Página 01_Cadastro'!B$2)</f>
        <v>0</v>
      </c>
    </row>
    <row r="120" spans="1:11" x14ac:dyDescent="0.2">
      <c r="A120" s="89" t="s">
        <v>4</v>
      </c>
      <c r="B120" s="21">
        <f>COUNTIFS('Página 02_Retorno'!I$7:I$108,'Pag 05_Modalidade_APROVADO'!A120,'Página 02_Retorno'!K$7:K$108,'Pag 08_Legendas'!B$10,'Página 02_Retorno'!C$7:C$108,"S")</f>
        <v>0</v>
      </c>
      <c r="C120" s="22">
        <f>SUMIFS('Página 02_Retorno'!O$7:O$108,'Página 02_Retorno'!I$7:I$108,'Pag 05_Modalidade_APROVADO'!A120,'Página 02_Retorno'!K$7:K$108,'Pag 08_Legendas'!B$10)</f>
        <v>0</v>
      </c>
      <c r="D120" s="22">
        <f>SUMIFS('Página 02_Retorno'!P$7:P$108,'Página 02_Retorno'!I$7:I$108,'Pag 05_Modalidade_APROVADO'!A120,'Página 02_Retorno'!K$7:K$108,'Pag 08_Legendas'!B$10)</f>
        <v>0</v>
      </c>
      <c r="E120" s="22">
        <f>SUMIFS('Página 02_Retorno'!Q$7:Q$108,'Página 02_Retorno'!I$7:I$108,'Pag 05_Modalidade_APROVADO'!A120,'Página 02_Retorno'!K$7:K$108,'Pag 08_Legendas'!B$10)</f>
        <v>0</v>
      </c>
      <c r="F120" s="22">
        <f>SUMIFS('Página 02_Retorno'!R$7:R$108,'Página 02_Retorno'!I$7:I$108,'Pag 05_Modalidade_APROVADO'!A120,'Página 02_Retorno'!K$7:K$108,'Pag 08_Legendas'!B$10)</f>
        <v>0</v>
      </c>
      <c r="G120" s="22">
        <f>SUMIFS('Página 02_Retorno'!S$7:S$108,'Página 02_Retorno'!I$7:I$108,'Pag 05_Modalidade_APROVADO'!A120,'Página 02_Retorno'!K$7:K$108,'Pag 08_Legendas'!B$10)</f>
        <v>0</v>
      </c>
      <c r="H120" s="22">
        <f>SUMIFS('Página 02_Retorno'!T$7:T$108,'Página 02_Retorno'!I$7:I$108,'Pag 05_Modalidade_APROVADO'!A120,'Página 02_Retorno'!K$7:K$108,'Pag 08_Legendas'!B$10)</f>
        <v>0</v>
      </c>
      <c r="I120" s="22">
        <f t="shared" si="18"/>
        <v>0</v>
      </c>
      <c r="J120" s="86">
        <f>SUMIFS('Página 02_Retorno'!U$7:U$108,'Página 02_Retorno'!I$7:I$108,'Pag 05_Modalidade_APROVADO'!A120,'Página 02_Retorno'!K$7:K$108,'Pag 08_Legendas'!B$10,'Página 02_Retorno'!B$7:B$108,'Página 01_Cadastro'!B$2)</f>
        <v>0</v>
      </c>
      <c r="K120" s="21">
        <f>COUNTIFS('Página 02_Retorno'!I$7:I$108,'Pag 05_Modalidade_APROVADO'!A120,'Página 02_Retorno'!K$7:K$108,'Pag 08_Legendas'!B$10,'Página 02_Retorno'!C$7:C$108,"S",'Página 02_Retorno'!B$7:B$108,'Página 01_Cadastro'!B$2)</f>
        <v>0</v>
      </c>
    </row>
    <row r="121" spans="1:11" x14ac:dyDescent="0.2">
      <c r="A121" s="89" t="s">
        <v>3</v>
      </c>
      <c r="B121" s="21">
        <f>COUNTIFS('Página 02_Retorno'!I$7:I$108,'Pag 05_Modalidade_APROVADO'!A121,'Página 02_Retorno'!K$7:K$108,'Pag 08_Legendas'!B$10,'Página 02_Retorno'!C$7:C$108,"S")</f>
        <v>0</v>
      </c>
      <c r="C121" s="22">
        <f>SUMIFS('Página 02_Retorno'!O$7:O$108,'Página 02_Retorno'!I$7:I$108,'Pag 05_Modalidade_APROVADO'!A121,'Página 02_Retorno'!K$7:K$108,'Pag 08_Legendas'!B$10)</f>
        <v>0</v>
      </c>
      <c r="D121" s="22">
        <f>SUMIFS('Página 02_Retorno'!P$7:P$108,'Página 02_Retorno'!I$7:I$108,'Pag 05_Modalidade_APROVADO'!A121,'Página 02_Retorno'!K$7:K$108,'Pag 08_Legendas'!B$10)</f>
        <v>0</v>
      </c>
      <c r="E121" s="22">
        <f>SUMIFS('Página 02_Retorno'!Q$7:Q$108,'Página 02_Retorno'!I$7:I$108,'Pag 05_Modalidade_APROVADO'!A121,'Página 02_Retorno'!K$7:K$108,'Pag 08_Legendas'!B$10)</f>
        <v>0</v>
      </c>
      <c r="F121" s="22">
        <f>SUMIFS('Página 02_Retorno'!R$7:R$108,'Página 02_Retorno'!I$7:I$108,'Pag 05_Modalidade_APROVADO'!A121,'Página 02_Retorno'!K$7:K$108,'Pag 08_Legendas'!B$10)</f>
        <v>0</v>
      </c>
      <c r="G121" s="22">
        <f>SUMIFS('Página 02_Retorno'!S$7:S$108,'Página 02_Retorno'!I$7:I$108,'Pag 05_Modalidade_APROVADO'!A121,'Página 02_Retorno'!K$7:K$108,'Pag 08_Legendas'!B$10)</f>
        <v>0</v>
      </c>
      <c r="H121" s="22">
        <f>SUMIFS('Página 02_Retorno'!T$7:T$108,'Página 02_Retorno'!I$7:I$108,'Pag 05_Modalidade_APROVADO'!A121,'Página 02_Retorno'!K$7:K$108,'Pag 08_Legendas'!B$10)</f>
        <v>0</v>
      </c>
      <c r="I121" s="22">
        <f t="shared" si="18"/>
        <v>0</v>
      </c>
      <c r="J121" s="86">
        <f>SUMIFS('Página 02_Retorno'!U$7:U$108,'Página 02_Retorno'!I$7:I$108,'Pag 05_Modalidade_APROVADO'!A121,'Página 02_Retorno'!K$7:K$108,'Pag 08_Legendas'!B$10,'Página 02_Retorno'!B$7:B$108,'Página 01_Cadastro'!B$2)</f>
        <v>0</v>
      </c>
      <c r="K121" s="21">
        <f>COUNTIFS('Página 02_Retorno'!I$7:I$108,'Pag 05_Modalidade_APROVADO'!A121,'Página 02_Retorno'!K$7:K$108,'Pag 08_Legendas'!B$10,'Página 02_Retorno'!C$7:C$108,"S",'Página 02_Retorno'!B$7:B$108,'Página 01_Cadastro'!B$2)</f>
        <v>0</v>
      </c>
    </row>
    <row r="122" spans="1:11" x14ac:dyDescent="0.2">
      <c r="A122" s="43" t="s">
        <v>6</v>
      </c>
      <c r="B122" s="31">
        <f>SUM(B115:B121)</f>
        <v>0</v>
      </c>
      <c r="C122" s="33">
        <f t="shared" ref="C122:H122" si="19">SUM(C115:C121)</f>
        <v>0</v>
      </c>
      <c r="D122" s="33">
        <f t="shared" si="19"/>
        <v>0</v>
      </c>
      <c r="E122" s="33">
        <f t="shared" si="19"/>
        <v>0</v>
      </c>
      <c r="F122" s="33">
        <f t="shared" si="19"/>
        <v>0</v>
      </c>
      <c r="G122" s="33">
        <f t="shared" si="19"/>
        <v>0</v>
      </c>
      <c r="H122" s="33">
        <f t="shared" si="19"/>
        <v>0</v>
      </c>
      <c r="I122" s="33">
        <f t="shared" si="18"/>
        <v>0</v>
      </c>
      <c r="J122" s="34">
        <f>SUM(J115:J121)</f>
        <v>0</v>
      </c>
      <c r="K122" s="31">
        <f>SUM(K115:K121)</f>
        <v>0</v>
      </c>
    </row>
    <row r="124" spans="1:11" x14ac:dyDescent="0.2">
      <c r="A124" s="174" t="s">
        <v>95</v>
      </c>
      <c r="B124" s="174"/>
      <c r="C124" s="174"/>
      <c r="D124" s="174"/>
      <c r="E124" s="174"/>
      <c r="F124" s="174"/>
      <c r="G124" s="174"/>
      <c r="H124" s="174"/>
      <c r="I124" s="174"/>
    </row>
    <row r="126" spans="1:11" ht="35.25" x14ac:dyDescent="0.2">
      <c r="A126" s="35" t="s">
        <v>25</v>
      </c>
      <c r="B126" s="36" t="s">
        <v>27</v>
      </c>
      <c r="C126" s="36" t="s">
        <v>16</v>
      </c>
      <c r="D126" s="37" t="s">
        <v>17</v>
      </c>
      <c r="E126" s="37" t="s">
        <v>18</v>
      </c>
      <c r="F126" s="37" t="s">
        <v>19</v>
      </c>
      <c r="G126" s="37" t="s">
        <v>20</v>
      </c>
      <c r="H126" s="37" t="s">
        <v>21</v>
      </c>
      <c r="I126" s="37" t="s">
        <v>28</v>
      </c>
      <c r="J126" s="37" t="s">
        <v>126</v>
      </c>
      <c r="K126" s="37" t="s">
        <v>127</v>
      </c>
    </row>
    <row r="127" spans="1:11" x14ac:dyDescent="0.2">
      <c r="A127" s="89" t="s">
        <v>0</v>
      </c>
      <c r="B127" s="21">
        <f>COUNTIFS('Página 02_Retorno'!I$7:I$108,'Pag 05_Modalidade_APROVADO'!A127,'Página 02_Retorno'!K$7:K$108,'Pag 08_Legendas'!B$14,'Página 02_Retorno'!C$7:C$108,"S")</f>
        <v>0</v>
      </c>
      <c r="C127" s="22">
        <f>SUMIFS('Página 02_Retorno'!O$7:O$108,'Página 02_Retorno'!I$7:I$108,'Pag 05_Modalidade_APROVADO'!A127,'Página 02_Retorno'!K$7:K$108,'Pag 08_Legendas'!B$14)</f>
        <v>0</v>
      </c>
      <c r="D127" s="22">
        <f>SUMIFS('Página 02_Retorno'!P$7:P$108,'Página 02_Retorno'!I$7:I$108,'Pag 05_Modalidade_APROVADO'!A127,'Página 02_Retorno'!K$7:K$108,'Pag 08_Legendas'!B$14)</f>
        <v>0</v>
      </c>
      <c r="E127" s="22">
        <f>SUMIFS('Página 02_Retorno'!Q$7:Q$108,'Página 02_Retorno'!I$7:I$108,'Pag 05_Modalidade_APROVADO'!A127,'Página 02_Retorno'!K$7:K$108,'Pag 08_Legendas'!B$14)</f>
        <v>0</v>
      </c>
      <c r="F127" s="22">
        <f>SUMIFS('Página 02_Retorno'!R$7:R$108,'Página 02_Retorno'!I$7:I$108,'Pag 05_Modalidade_APROVADO'!A127,'Página 02_Retorno'!K$7:K$108,'Pag 08_Legendas'!B$14)</f>
        <v>0</v>
      </c>
      <c r="G127" s="22">
        <f>SUMIFS('Página 02_Retorno'!S$7:S$108,'Página 02_Retorno'!I$7:I$108,'Pag 05_Modalidade_APROVADO'!A127,'Página 02_Retorno'!K$7:K$108,'Pag 08_Legendas'!B$14)</f>
        <v>0</v>
      </c>
      <c r="H127" s="22">
        <f>SUMIFS('Página 02_Retorno'!T$7:T$108,'Página 02_Retorno'!I$7:I$108,'Pag 05_Modalidade_APROVADO'!A127,'Página 02_Retorno'!K$7:K$108,'Pag 08_Legendas'!B$14)</f>
        <v>0</v>
      </c>
      <c r="I127" s="22">
        <f>SUM(C127:H127)</f>
        <v>0</v>
      </c>
      <c r="J127" s="86">
        <f>SUMIFS('Página 02_Retorno'!U$7:U$108,'Página 02_Retorno'!I$7:I$108,'Pag 05_Modalidade_APROVADO'!A127,'Página 02_Retorno'!K$7:K$108,'Pag 08_Legendas'!B$14,'Página 02_Retorno'!B$7:B$108,'Página 01_Cadastro'!B$2)</f>
        <v>0</v>
      </c>
      <c r="K127" s="21">
        <f>COUNTIFS('Página 02_Retorno'!I$7:I$108,'Pag 05_Modalidade_APROVADO'!A127,'Página 02_Retorno'!K$7:K$108,'Pag 08_Legendas'!B$14,'Página 02_Retorno'!C$7:C$108,"S",'Página 02_Retorno'!B$7:B$108,'Página 01_Cadastro'!B$2)</f>
        <v>0</v>
      </c>
    </row>
    <row r="128" spans="1:11" x14ac:dyDescent="0.2">
      <c r="A128" s="89" t="s">
        <v>5</v>
      </c>
      <c r="B128" s="21">
        <f>COUNTIFS('Página 02_Retorno'!I$7:I$108,'Pag 05_Modalidade_APROVADO'!A128,'Página 02_Retorno'!K$7:K$108,'Pag 08_Legendas'!B$14,'Página 02_Retorno'!C$7:C$108,"S")</f>
        <v>0</v>
      </c>
      <c r="C128" s="22">
        <f>SUMIFS('Página 02_Retorno'!O$7:O$108,'Página 02_Retorno'!I$7:I$108,'Pag 05_Modalidade_APROVADO'!A128,'Página 02_Retorno'!K$7:K$108,'Pag 08_Legendas'!B$14)</f>
        <v>0</v>
      </c>
      <c r="D128" s="22">
        <f>SUMIFS('Página 02_Retorno'!P$7:P$108,'Página 02_Retorno'!I$7:I$108,'Pag 05_Modalidade_APROVADO'!A128,'Página 02_Retorno'!K$7:K$108,'Pag 08_Legendas'!B$14)</f>
        <v>0</v>
      </c>
      <c r="E128" s="22">
        <f>SUMIFS('Página 02_Retorno'!Q$7:Q$108,'Página 02_Retorno'!I$7:I$108,'Pag 05_Modalidade_APROVADO'!A128,'Página 02_Retorno'!K$7:K$108,'Pag 08_Legendas'!B$14)</f>
        <v>0</v>
      </c>
      <c r="F128" s="22">
        <f>SUMIFS('Página 02_Retorno'!R$7:R$108,'Página 02_Retorno'!I$7:I$108,'Pag 05_Modalidade_APROVADO'!A128,'Página 02_Retorno'!K$7:K$108,'Pag 08_Legendas'!B$14)</f>
        <v>0</v>
      </c>
      <c r="G128" s="22">
        <f>SUMIFS('Página 02_Retorno'!S$7:S$108,'Página 02_Retorno'!I$7:I$108,'Pag 05_Modalidade_APROVADO'!A128,'Página 02_Retorno'!K$7:K$108,'Pag 08_Legendas'!B$14)</f>
        <v>0</v>
      </c>
      <c r="H128" s="22">
        <f>SUMIFS('Página 02_Retorno'!T$7:T$108,'Página 02_Retorno'!I$7:I$108,'Pag 05_Modalidade_APROVADO'!A128,'Página 02_Retorno'!K$7:K$108,'Pag 08_Legendas'!B$14)</f>
        <v>0</v>
      </c>
      <c r="I128" s="22">
        <f t="shared" ref="I128:I134" si="20">SUM(C128:H128)</f>
        <v>0</v>
      </c>
      <c r="J128" s="86">
        <f>SUMIFS('Página 02_Retorno'!U$7:U$108,'Página 02_Retorno'!I$7:I$108,'Pag 05_Modalidade_APROVADO'!A128,'Página 02_Retorno'!K$7:K$108,'Pag 08_Legendas'!B$14,'Página 02_Retorno'!B$7:B$108,'Página 01_Cadastro'!B$2)</f>
        <v>0</v>
      </c>
      <c r="K128" s="21">
        <f>COUNTIFS('Página 02_Retorno'!I$7:I$108,'Pag 05_Modalidade_APROVADO'!A128,'Página 02_Retorno'!K$7:K$108,'Pag 08_Legendas'!B$14,'Página 02_Retorno'!C$7:C$108,"S",'Página 02_Retorno'!B$7:B$108,'Página 01_Cadastro'!B$2)</f>
        <v>0</v>
      </c>
    </row>
    <row r="129" spans="1:11" x14ac:dyDescent="0.2">
      <c r="A129" s="89" t="s">
        <v>1</v>
      </c>
      <c r="B129" s="21">
        <f>COUNTIFS('Página 02_Retorno'!I$7:I$108,'Pag 05_Modalidade_APROVADO'!A129,'Página 02_Retorno'!K$7:K$108,'Pag 08_Legendas'!B$14,'Página 02_Retorno'!C$7:C$108,"S")</f>
        <v>0</v>
      </c>
      <c r="C129" s="22">
        <f>SUMIFS('Página 02_Retorno'!O$7:O$108,'Página 02_Retorno'!I$7:I$108,'Pag 05_Modalidade_APROVADO'!A129,'Página 02_Retorno'!K$7:K$108,'Pag 08_Legendas'!B$14)</f>
        <v>0</v>
      </c>
      <c r="D129" s="22">
        <f>SUMIFS('Página 02_Retorno'!P$7:P$108,'Página 02_Retorno'!I$7:I$108,'Pag 05_Modalidade_APROVADO'!A129,'Página 02_Retorno'!K$7:K$108,'Pag 08_Legendas'!B$14)</f>
        <v>0</v>
      </c>
      <c r="E129" s="22">
        <f>SUMIFS('Página 02_Retorno'!Q$7:Q$108,'Página 02_Retorno'!I$7:I$108,'Pag 05_Modalidade_APROVADO'!A129,'Página 02_Retorno'!K$7:K$108,'Pag 08_Legendas'!B$14)</f>
        <v>0</v>
      </c>
      <c r="F129" s="22">
        <f>SUMIFS('Página 02_Retorno'!R$7:R$108,'Página 02_Retorno'!I$7:I$108,'Pag 05_Modalidade_APROVADO'!A129,'Página 02_Retorno'!K$7:K$108,'Pag 08_Legendas'!B$14)</f>
        <v>0</v>
      </c>
      <c r="G129" s="22">
        <f>SUMIFS('Página 02_Retorno'!S$7:S$108,'Página 02_Retorno'!I$7:I$108,'Pag 05_Modalidade_APROVADO'!A129,'Página 02_Retorno'!K$7:K$108,'Pag 08_Legendas'!B$14)</f>
        <v>0</v>
      </c>
      <c r="H129" s="22">
        <f>SUMIFS('Página 02_Retorno'!T$7:T$108,'Página 02_Retorno'!I$7:I$108,'Pag 05_Modalidade_APROVADO'!A129,'Página 02_Retorno'!K$7:K$108,'Pag 08_Legendas'!B$14)</f>
        <v>0</v>
      </c>
      <c r="I129" s="22">
        <f t="shared" si="20"/>
        <v>0</v>
      </c>
      <c r="J129" s="86">
        <f>SUMIFS('Página 02_Retorno'!U$7:U$108,'Página 02_Retorno'!I$7:I$108,'Pag 05_Modalidade_APROVADO'!A129,'Página 02_Retorno'!K$7:K$108,'Pag 08_Legendas'!B$14,'Página 02_Retorno'!B$7:B$108,'Página 01_Cadastro'!B$2)</f>
        <v>0</v>
      </c>
      <c r="K129" s="21">
        <f>COUNTIFS('Página 02_Retorno'!I$7:I$108,'Pag 05_Modalidade_APROVADO'!A129,'Página 02_Retorno'!K$7:K$108,'Pag 08_Legendas'!B$14,'Página 02_Retorno'!C$7:C$108,"S",'Página 02_Retorno'!B$7:B$108,'Página 01_Cadastro'!B$2)</f>
        <v>0</v>
      </c>
    </row>
    <row r="130" spans="1:11" x14ac:dyDescent="0.2">
      <c r="A130" s="89" t="s">
        <v>26</v>
      </c>
      <c r="B130" s="21">
        <f>COUNTIFS('Página 02_Retorno'!I$7:I$108,'Pag 05_Modalidade_APROVADO'!A130,'Página 02_Retorno'!K$7:K$108,'Pag 08_Legendas'!B$14,'Página 02_Retorno'!C$7:C$108,"S")</f>
        <v>0</v>
      </c>
      <c r="C130" s="22">
        <f>SUMIFS('Página 02_Retorno'!O$7:O$108,'Página 02_Retorno'!I$7:I$108,'Pag 05_Modalidade_APROVADO'!A130,'Página 02_Retorno'!K$7:K$108,'Pag 08_Legendas'!B$14)</f>
        <v>0</v>
      </c>
      <c r="D130" s="22">
        <f>SUMIFS('Página 02_Retorno'!P$7:P$108,'Página 02_Retorno'!I$7:I$108,'Pag 05_Modalidade_APROVADO'!A130,'Página 02_Retorno'!K$7:K$108,'Pag 08_Legendas'!B$14)</f>
        <v>0</v>
      </c>
      <c r="E130" s="22">
        <f>SUMIFS('Página 02_Retorno'!Q$7:Q$108,'Página 02_Retorno'!I$7:I$108,'Pag 05_Modalidade_APROVADO'!A130,'Página 02_Retorno'!K$7:K$108,'Pag 08_Legendas'!B$14)</f>
        <v>0</v>
      </c>
      <c r="F130" s="22">
        <f>SUMIFS('Página 02_Retorno'!R$7:R$108,'Página 02_Retorno'!I$7:I$108,'Pag 05_Modalidade_APROVADO'!A130,'Página 02_Retorno'!K$7:K$108,'Pag 08_Legendas'!B$14)</f>
        <v>0</v>
      </c>
      <c r="G130" s="22">
        <f>SUMIFS('Página 02_Retorno'!S$7:S$108,'Página 02_Retorno'!I$7:I$108,'Pag 05_Modalidade_APROVADO'!A130,'Página 02_Retorno'!K$7:K$108,'Pag 08_Legendas'!B$14)</f>
        <v>0</v>
      </c>
      <c r="H130" s="22">
        <f>SUMIFS('Página 02_Retorno'!T$7:T$108,'Página 02_Retorno'!I$7:I$108,'Pag 05_Modalidade_APROVADO'!A130,'Página 02_Retorno'!K$7:K$108,'Pag 08_Legendas'!B$14)</f>
        <v>0</v>
      </c>
      <c r="I130" s="22">
        <f t="shared" si="20"/>
        <v>0</v>
      </c>
      <c r="J130" s="86">
        <f>SUMIFS('Página 02_Retorno'!U$7:U$108,'Página 02_Retorno'!I$7:I$108,'Pag 05_Modalidade_APROVADO'!A130,'Página 02_Retorno'!K$7:K$108,'Pag 08_Legendas'!B$14,'Página 02_Retorno'!B$7:B$108,'Página 01_Cadastro'!B$2)</f>
        <v>0</v>
      </c>
      <c r="K130" s="21">
        <f>COUNTIFS('Página 02_Retorno'!I$7:I$108,'Pag 05_Modalidade_APROVADO'!A130,'Página 02_Retorno'!K$7:K$108,'Pag 08_Legendas'!B$14,'Página 02_Retorno'!C$7:C$108,"S",'Página 02_Retorno'!B$7:B$108,'Página 01_Cadastro'!B$2)</f>
        <v>0</v>
      </c>
    </row>
    <row r="131" spans="1:11" x14ac:dyDescent="0.2">
      <c r="A131" s="89" t="s">
        <v>2</v>
      </c>
      <c r="B131" s="21">
        <f>COUNTIFS('Página 02_Retorno'!I$7:I$108,'Pag 05_Modalidade_APROVADO'!A131,'Página 02_Retorno'!K$7:K$108,'Pag 08_Legendas'!B$14,'Página 02_Retorno'!C$7:C$108,"S")</f>
        <v>0</v>
      </c>
      <c r="C131" s="22">
        <f>SUMIFS('Página 02_Retorno'!O$7:O$108,'Página 02_Retorno'!I$7:I$108,'Pag 05_Modalidade_APROVADO'!A131,'Página 02_Retorno'!K$7:K$108,'Pag 08_Legendas'!B$14)</f>
        <v>0</v>
      </c>
      <c r="D131" s="22">
        <f>SUMIFS('Página 02_Retorno'!P$7:P$108,'Página 02_Retorno'!I$7:I$108,'Pag 05_Modalidade_APROVADO'!A131,'Página 02_Retorno'!K$7:K$108,'Pag 08_Legendas'!B$14)</f>
        <v>0</v>
      </c>
      <c r="E131" s="22">
        <f>SUMIFS('Página 02_Retorno'!Q$7:Q$108,'Página 02_Retorno'!I$7:I$108,'Pag 05_Modalidade_APROVADO'!A131,'Página 02_Retorno'!K$7:K$108,'Pag 08_Legendas'!B$14)</f>
        <v>0</v>
      </c>
      <c r="F131" s="22">
        <f>SUMIFS('Página 02_Retorno'!R$7:R$108,'Página 02_Retorno'!I$7:I$108,'Pag 05_Modalidade_APROVADO'!A131,'Página 02_Retorno'!K$7:K$108,'Pag 08_Legendas'!B$14)</f>
        <v>0</v>
      </c>
      <c r="G131" s="22">
        <f>SUMIFS('Página 02_Retorno'!S$7:S$108,'Página 02_Retorno'!I$7:I$108,'Pag 05_Modalidade_APROVADO'!A131,'Página 02_Retorno'!K$7:K$108,'Pag 08_Legendas'!B$14)</f>
        <v>0</v>
      </c>
      <c r="H131" s="22">
        <f>SUMIFS('Página 02_Retorno'!T$7:T$108,'Página 02_Retorno'!I$7:I$108,'Pag 05_Modalidade_APROVADO'!A131,'Página 02_Retorno'!K$7:K$108,'Pag 08_Legendas'!B$14)</f>
        <v>0</v>
      </c>
      <c r="I131" s="22">
        <f t="shared" si="20"/>
        <v>0</v>
      </c>
      <c r="J131" s="86">
        <f>SUMIFS('Página 02_Retorno'!U$7:U$108,'Página 02_Retorno'!I$7:I$108,'Pag 05_Modalidade_APROVADO'!A131,'Página 02_Retorno'!K$7:K$108,'Pag 08_Legendas'!B$14,'Página 02_Retorno'!B$7:B$108,'Página 01_Cadastro'!B$2)</f>
        <v>0</v>
      </c>
      <c r="K131" s="21">
        <f>COUNTIFS('Página 02_Retorno'!I$7:I$108,'Pag 05_Modalidade_APROVADO'!A131,'Página 02_Retorno'!K$7:K$108,'Pag 08_Legendas'!B$14,'Página 02_Retorno'!C$7:C$108,"S",'Página 02_Retorno'!B$7:B$108,'Página 01_Cadastro'!B$2)</f>
        <v>0</v>
      </c>
    </row>
    <row r="132" spans="1:11" x14ac:dyDescent="0.2">
      <c r="A132" s="89" t="s">
        <v>4</v>
      </c>
      <c r="B132" s="21">
        <f>COUNTIFS('Página 02_Retorno'!I$7:I$108,'Pag 05_Modalidade_APROVADO'!A132,'Página 02_Retorno'!K$7:K$108,'Pag 08_Legendas'!B$14,'Página 02_Retorno'!C$7:C$108,"S")</f>
        <v>0</v>
      </c>
      <c r="C132" s="22">
        <f>SUMIFS('Página 02_Retorno'!O$7:O$108,'Página 02_Retorno'!I$7:I$108,'Pag 05_Modalidade_APROVADO'!A132,'Página 02_Retorno'!K$7:K$108,'Pag 08_Legendas'!B$14)</f>
        <v>0</v>
      </c>
      <c r="D132" s="22">
        <f>SUMIFS('Página 02_Retorno'!P$7:P$108,'Página 02_Retorno'!I$7:I$108,'Pag 05_Modalidade_APROVADO'!A132,'Página 02_Retorno'!K$7:K$108,'Pag 08_Legendas'!B$14)</f>
        <v>0</v>
      </c>
      <c r="E132" s="22">
        <f>SUMIFS('Página 02_Retorno'!Q$7:Q$108,'Página 02_Retorno'!I$7:I$108,'Pag 05_Modalidade_APROVADO'!A132,'Página 02_Retorno'!K$7:K$108,'Pag 08_Legendas'!B$14)</f>
        <v>0</v>
      </c>
      <c r="F132" s="22">
        <f>SUMIFS('Página 02_Retorno'!R$7:R$108,'Página 02_Retorno'!I$7:I$108,'Pag 05_Modalidade_APROVADO'!A132,'Página 02_Retorno'!K$7:K$108,'Pag 08_Legendas'!B$14)</f>
        <v>0</v>
      </c>
      <c r="G132" s="22">
        <f>SUMIFS('Página 02_Retorno'!S$7:S$108,'Página 02_Retorno'!I$7:I$108,'Pag 05_Modalidade_APROVADO'!A132,'Página 02_Retorno'!K$7:K$108,'Pag 08_Legendas'!B$14)</f>
        <v>0</v>
      </c>
      <c r="H132" s="22">
        <f>SUMIFS('Página 02_Retorno'!T$7:T$108,'Página 02_Retorno'!I$7:I$108,'Pag 05_Modalidade_APROVADO'!A132,'Página 02_Retorno'!K$7:K$108,'Pag 08_Legendas'!B$14)</f>
        <v>0</v>
      </c>
      <c r="I132" s="22">
        <f t="shared" si="20"/>
        <v>0</v>
      </c>
      <c r="J132" s="86">
        <f>SUMIFS('Página 02_Retorno'!U$7:U$108,'Página 02_Retorno'!I$7:I$108,'Pag 05_Modalidade_APROVADO'!A132,'Página 02_Retorno'!K$7:K$108,'Pag 08_Legendas'!B$14,'Página 02_Retorno'!B$7:B$108,'Página 01_Cadastro'!B$2)</f>
        <v>0</v>
      </c>
      <c r="K132" s="21">
        <f>COUNTIFS('Página 02_Retorno'!I$7:I$108,'Pag 05_Modalidade_APROVADO'!A132,'Página 02_Retorno'!K$7:K$108,'Pag 08_Legendas'!B$14,'Página 02_Retorno'!C$7:C$108,"S",'Página 02_Retorno'!B$7:B$108,'Página 01_Cadastro'!B$2)</f>
        <v>0</v>
      </c>
    </row>
    <row r="133" spans="1:11" x14ac:dyDescent="0.2">
      <c r="A133" s="89" t="s">
        <v>3</v>
      </c>
      <c r="B133" s="21">
        <f>COUNTIFS('Página 02_Retorno'!I$7:I$108,'Pag 05_Modalidade_APROVADO'!A133,'Página 02_Retorno'!K$7:K$108,'Pag 08_Legendas'!B$14,'Página 02_Retorno'!C$7:C$108,"S")</f>
        <v>0</v>
      </c>
      <c r="C133" s="22">
        <f>SUMIFS('Página 02_Retorno'!O$7:O$108,'Página 02_Retorno'!I$7:I$108,'Pag 05_Modalidade_APROVADO'!A133,'Página 02_Retorno'!K$7:K$108,'Pag 08_Legendas'!B$14)</f>
        <v>0</v>
      </c>
      <c r="D133" s="22">
        <f>SUMIFS('Página 02_Retorno'!P$7:P$108,'Página 02_Retorno'!I$7:I$108,'Pag 05_Modalidade_APROVADO'!A133,'Página 02_Retorno'!K$7:K$108,'Pag 08_Legendas'!B$14)</f>
        <v>0</v>
      </c>
      <c r="E133" s="22">
        <f>SUMIFS('Página 02_Retorno'!Q$7:Q$108,'Página 02_Retorno'!I$7:I$108,'Pag 05_Modalidade_APROVADO'!A133,'Página 02_Retorno'!K$7:K$108,'Pag 08_Legendas'!B$14)</f>
        <v>0</v>
      </c>
      <c r="F133" s="22">
        <f>SUMIFS('Página 02_Retorno'!R$7:R$108,'Página 02_Retorno'!I$7:I$108,'Pag 05_Modalidade_APROVADO'!A133,'Página 02_Retorno'!K$7:K$108,'Pag 08_Legendas'!B$14)</f>
        <v>0</v>
      </c>
      <c r="G133" s="22">
        <f>SUMIFS('Página 02_Retorno'!S$7:S$108,'Página 02_Retorno'!I$7:I$108,'Pag 05_Modalidade_APROVADO'!A133,'Página 02_Retorno'!K$7:K$108,'Pag 08_Legendas'!B$14)</f>
        <v>0</v>
      </c>
      <c r="H133" s="22">
        <f>SUMIFS('Página 02_Retorno'!T$7:T$108,'Página 02_Retorno'!I$7:I$108,'Pag 05_Modalidade_APROVADO'!A133,'Página 02_Retorno'!K$7:K$108,'Pag 08_Legendas'!B$14)</f>
        <v>0</v>
      </c>
      <c r="I133" s="22">
        <f t="shared" si="20"/>
        <v>0</v>
      </c>
      <c r="J133" s="86">
        <f>SUMIFS('Página 02_Retorno'!U$7:U$108,'Página 02_Retorno'!I$7:I$108,'Pag 05_Modalidade_APROVADO'!A133,'Página 02_Retorno'!K$7:K$108,'Pag 08_Legendas'!B$14,'Página 02_Retorno'!B$7:B$108,'Página 01_Cadastro'!B$2)</f>
        <v>0</v>
      </c>
      <c r="K133" s="21">
        <f>COUNTIFS('Página 02_Retorno'!I$7:I$108,'Pag 05_Modalidade_APROVADO'!A133,'Página 02_Retorno'!K$7:K$108,'Pag 08_Legendas'!B$14,'Página 02_Retorno'!C$7:C$108,"S",'Página 02_Retorno'!B$7:B$108,'Página 01_Cadastro'!B$2)</f>
        <v>0</v>
      </c>
    </row>
    <row r="134" spans="1:11" x14ac:dyDescent="0.2">
      <c r="A134" s="43" t="s">
        <v>6</v>
      </c>
      <c r="B134" s="31">
        <f>SUM(B127:B133)</f>
        <v>0</v>
      </c>
      <c r="C134" s="33">
        <f t="shared" ref="C134:H134" si="21">SUM(C127:C133)</f>
        <v>0</v>
      </c>
      <c r="D134" s="33">
        <f t="shared" si="21"/>
        <v>0</v>
      </c>
      <c r="E134" s="33">
        <f t="shared" si="21"/>
        <v>0</v>
      </c>
      <c r="F134" s="33">
        <f t="shared" si="21"/>
        <v>0</v>
      </c>
      <c r="G134" s="33">
        <f t="shared" si="21"/>
        <v>0</v>
      </c>
      <c r="H134" s="33">
        <f t="shared" si="21"/>
        <v>0</v>
      </c>
      <c r="I134" s="33">
        <f t="shared" si="20"/>
        <v>0</v>
      </c>
      <c r="J134" s="34">
        <f>SUM(J127:J133)</f>
        <v>0</v>
      </c>
      <c r="K134" s="31">
        <f>SUM(K127:K133)</f>
        <v>0</v>
      </c>
    </row>
    <row r="136" spans="1:11" x14ac:dyDescent="0.2">
      <c r="A136" s="174" t="s">
        <v>149</v>
      </c>
      <c r="B136" s="174"/>
      <c r="C136" s="174"/>
      <c r="D136" s="174"/>
      <c r="E136" s="174"/>
      <c r="F136" s="174"/>
      <c r="G136" s="174"/>
      <c r="H136" s="174"/>
      <c r="I136" s="174"/>
    </row>
    <row r="138" spans="1:11" ht="35.25" x14ac:dyDescent="0.2">
      <c r="A138" s="35" t="s">
        <v>25</v>
      </c>
      <c r="B138" s="36" t="s">
        <v>27</v>
      </c>
      <c r="C138" s="36" t="s">
        <v>16</v>
      </c>
      <c r="D138" s="37" t="s">
        <v>17</v>
      </c>
      <c r="E138" s="37" t="s">
        <v>18</v>
      </c>
      <c r="F138" s="37" t="s">
        <v>19</v>
      </c>
      <c r="G138" s="37" t="s">
        <v>20</v>
      </c>
      <c r="H138" s="37" t="s">
        <v>21</v>
      </c>
      <c r="I138" s="37" t="s">
        <v>28</v>
      </c>
      <c r="J138" s="37" t="s">
        <v>126</v>
      </c>
      <c r="K138" s="37" t="s">
        <v>127</v>
      </c>
    </row>
    <row r="139" spans="1:11" x14ac:dyDescent="0.2">
      <c r="A139" s="89" t="s">
        <v>0</v>
      </c>
      <c r="B139" s="21">
        <f>COUNTIFS('Página 02_Retorno'!I$7:I$108,'Pag 05_Modalidade_APROVADO'!A139,'Página 02_Retorno'!K$7:K$108,'Pag 08_Legendas'!B$5,'Página 02_Retorno'!C$7:C$108,"S")</f>
        <v>0</v>
      </c>
      <c r="C139" s="22">
        <f>SUMIFS('Página 02_Retorno'!O$7:O$108,'Página 02_Retorno'!I$7:I$108,'Pag 05_Modalidade_APROVADO'!A139,'Página 02_Retorno'!K$7:K$108,'Pag 08_Legendas'!B$5)</f>
        <v>0</v>
      </c>
      <c r="D139" s="22">
        <f>SUMIFS('Página 02_Retorno'!P$7:P$108,'Página 02_Retorno'!I$7:I$108,'Pag 05_Modalidade_APROVADO'!A139,'Página 02_Retorno'!K$7:K$108,'Pag 08_Legendas'!B$5)</f>
        <v>0</v>
      </c>
      <c r="E139" s="22">
        <f>SUMIFS('Página 02_Retorno'!Q$7:Q$108,'Página 02_Retorno'!I$7:I$108,'Pag 05_Modalidade_APROVADO'!A139,'Página 02_Retorno'!K$7:K$108,'Pag 08_Legendas'!B$5)</f>
        <v>0</v>
      </c>
      <c r="F139" s="22">
        <f>SUMIFS('Página 02_Retorno'!R$7:R$108,'Página 02_Retorno'!I$7:I$108,'Pag 05_Modalidade_APROVADO'!A139,'Página 02_Retorno'!K$7:K$108,'Pag 08_Legendas'!B$5)</f>
        <v>0</v>
      </c>
      <c r="G139" s="22">
        <f>SUMIFS('Página 02_Retorno'!S$7:S$108,'Página 02_Retorno'!I$7:I$108,'Pag 05_Modalidade_APROVADO'!A139,'Página 02_Retorno'!K$7:K$108,'Pag 08_Legendas'!B$5)</f>
        <v>0</v>
      </c>
      <c r="H139" s="22">
        <f>SUMIFS('Página 02_Retorno'!T$7:T$108,'Página 02_Retorno'!I$7:I$108,'Pag 05_Modalidade_APROVADO'!A139,'Página 02_Retorno'!K$7:K$108,'Pag 08_Legendas'!B$5)</f>
        <v>0</v>
      </c>
      <c r="I139" s="22">
        <f>SUM(C139:H139)</f>
        <v>0</v>
      </c>
      <c r="J139" s="86">
        <f>SUMIFS('Página 02_Retorno'!U$7:U$108,'Página 02_Retorno'!I$7:I$108,'Pag 05_Modalidade_APROVADO'!A139,'Página 02_Retorno'!K$7:K$108,'Pag 08_Legendas'!B$5,'Página 02_Retorno'!B$7:B$108,'Página 01_Cadastro'!B$2)</f>
        <v>0</v>
      </c>
      <c r="K139" s="21">
        <f>COUNTIFS('Página 02_Retorno'!I$7:I$108,'Pag 05_Modalidade_APROVADO'!A139,'Página 02_Retorno'!K$7:K$108,'Pag 08_Legendas'!B$5,'Página 02_Retorno'!C$7:C$108,"S",'Página 02_Retorno'!B$7:B$108,'Página 01_Cadastro'!B$2)</f>
        <v>0</v>
      </c>
    </row>
    <row r="140" spans="1:11" x14ac:dyDescent="0.2">
      <c r="A140" s="89" t="s">
        <v>5</v>
      </c>
      <c r="B140" s="21">
        <f>COUNTIFS('Página 02_Retorno'!I$7:I$108,'Pag 05_Modalidade_APROVADO'!A140,'Página 02_Retorno'!K$7:K$108,'Pag 08_Legendas'!B$5,'Página 02_Retorno'!C$7:C$108,"S")</f>
        <v>0</v>
      </c>
      <c r="C140" s="22">
        <f>SUMIFS('Página 02_Retorno'!O$7:O$108,'Página 02_Retorno'!I$7:I$108,'Pag 05_Modalidade_APROVADO'!A140,'Página 02_Retorno'!K$7:K$108,'Pag 08_Legendas'!B$5)</f>
        <v>0</v>
      </c>
      <c r="D140" s="22">
        <f>SUMIFS('Página 02_Retorno'!P$7:P$108,'Página 02_Retorno'!I$7:I$108,'Pag 05_Modalidade_APROVADO'!A140,'Página 02_Retorno'!K$7:K$108,'Pag 08_Legendas'!B$5)</f>
        <v>0</v>
      </c>
      <c r="E140" s="22">
        <f>SUMIFS('Página 02_Retorno'!Q$7:Q$108,'Página 02_Retorno'!I$7:I$108,'Pag 05_Modalidade_APROVADO'!A140,'Página 02_Retorno'!K$7:K$108,'Pag 08_Legendas'!B$5)</f>
        <v>0</v>
      </c>
      <c r="F140" s="22">
        <f>SUMIFS('Página 02_Retorno'!R$7:R$108,'Página 02_Retorno'!I$7:I$108,'Pag 05_Modalidade_APROVADO'!A140,'Página 02_Retorno'!K$7:K$108,'Pag 08_Legendas'!B$5)</f>
        <v>0</v>
      </c>
      <c r="G140" s="22">
        <f>SUMIFS('Página 02_Retorno'!S$7:S$108,'Página 02_Retorno'!I$7:I$108,'Pag 05_Modalidade_APROVADO'!A140,'Página 02_Retorno'!K$7:K$108,'Pag 08_Legendas'!B$5)</f>
        <v>0</v>
      </c>
      <c r="H140" s="22">
        <f>SUMIFS('Página 02_Retorno'!T$7:T$108,'Página 02_Retorno'!I$7:I$108,'Pag 05_Modalidade_APROVADO'!A140,'Página 02_Retorno'!K$7:K$108,'Pag 08_Legendas'!B$5)</f>
        <v>0</v>
      </c>
      <c r="I140" s="22">
        <f t="shared" ref="I140:I146" si="22">SUM(C140:H140)</f>
        <v>0</v>
      </c>
      <c r="J140" s="86">
        <f>SUMIFS('Página 02_Retorno'!U$7:U$108,'Página 02_Retorno'!I$7:I$108,'Pag 05_Modalidade_APROVADO'!A140,'Página 02_Retorno'!K$7:K$108,'Pag 08_Legendas'!B$5,'Página 02_Retorno'!B$7:B$108,'Página 01_Cadastro'!B$2)</f>
        <v>0</v>
      </c>
      <c r="K140" s="21">
        <f>COUNTIFS('Página 02_Retorno'!I$7:I$108,'Pag 05_Modalidade_APROVADO'!A140,'Página 02_Retorno'!K$7:K$108,'Pag 08_Legendas'!B$5,'Página 02_Retorno'!C$7:C$108,"S",'Página 02_Retorno'!B$7:B$108,'Página 01_Cadastro'!B$2)</f>
        <v>0</v>
      </c>
    </row>
    <row r="141" spans="1:11" x14ac:dyDescent="0.2">
      <c r="A141" s="89" t="s">
        <v>1</v>
      </c>
      <c r="B141" s="21">
        <f>COUNTIFS('Página 02_Retorno'!I$7:I$108,'Pag 05_Modalidade_APROVADO'!A141,'Página 02_Retorno'!K$7:K$108,'Pag 08_Legendas'!B$5,'Página 02_Retorno'!C$7:C$108,"S")</f>
        <v>0</v>
      </c>
      <c r="C141" s="22">
        <f>SUMIFS('Página 02_Retorno'!O$7:O$108,'Página 02_Retorno'!I$7:I$108,'Pag 05_Modalidade_APROVADO'!A141,'Página 02_Retorno'!K$7:K$108,'Pag 08_Legendas'!B$5)</f>
        <v>0</v>
      </c>
      <c r="D141" s="22">
        <f>SUMIFS('Página 02_Retorno'!P$7:P$108,'Página 02_Retorno'!I$7:I$108,'Pag 05_Modalidade_APROVADO'!A141,'Página 02_Retorno'!K$7:K$108,'Pag 08_Legendas'!B$5)</f>
        <v>0</v>
      </c>
      <c r="E141" s="22">
        <f>SUMIFS('Página 02_Retorno'!Q$7:Q$108,'Página 02_Retorno'!I$7:I$108,'Pag 05_Modalidade_APROVADO'!A141,'Página 02_Retorno'!K$7:K$108,'Pag 08_Legendas'!B$5)</f>
        <v>0</v>
      </c>
      <c r="F141" s="22">
        <f>SUMIFS('Página 02_Retorno'!R$7:R$108,'Página 02_Retorno'!I$7:I$108,'Pag 05_Modalidade_APROVADO'!A141,'Página 02_Retorno'!K$7:K$108,'Pag 08_Legendas'!B$5)</f>
        <v>0</v>
      </c>
      <c r="G141" s="22">
        <f>SUMIFS('Página 02_Retorno'!S$7:S$108,'Página 02_Retorno'!I$7:I$108,'Pag 05_Modalidade_APROVADO'!A141,'Página 02_Retorno'!K$7:K$108,'Pag 08_Legendas'!B$5)</f>
        <v>0</v>
      </c>
      <c r="H141" s="22">
        <f>SUMIFS('Página 02_Retorno'!T$7:T$108,'Página 02_Retorno'!I$7:I$108,'Pag 05_Modalidade_APROVADO'!A141,'Página 02_Retorno'!K$7:K$108,'Pag 08_Legendas'!B$5)</f>
        <v>0</v>
      </c>
      <c r="I141" s="22">
        <f t="shared" si="22"/>
        <v>0</v>
      </c>
      <c r="J141" s="86">
        <f>SUMIFS('Página 02_Retorno'!U$7:U$108,'Página 02_Retorno'!I$7:I$108,'Pag 05_Modalidade_APROVADO'!A141,'Página 02_Retorno'!K$7:K$108,'Pag 08_Legendas'!B$5,'Página 02_Retorno'!B$7:B$108,'Página 01_Cadastro'!B$2)</f>
        <v>0</v>
      </c>
      <c r="K141" s="21">
        <f>COUNTIFS('Página 02_Retorno'!I$7:I$108,'Pag 05_Modalidade_APROVADO'!A141,'Página 02_Retorno'!K$7:K$108,'Pag 08_Legendas'!B$5,'Página 02_Retorno'!C$7:C$108,"S",'Página 02_Retorno'!B$7:B$108,'Página 01_Cadastro'!B$2)</f>
        <v>0</v>
      </c>
    </row>
    <row r="142" spans="1:11" x14ac:dyDescent="0.2">
      <c r="A142" s="89" t="s">
        <v>26</v>
      </c>
      <c r="B142" s="21">
        <f>COUNTIFS('Página 02_Retorno'!I$7:I$108,'Pag 05_Modalidade_APROVADO'!A142,'Página 02_Retorno'!K$7:K$108,'Pag 08_Legendas'!B$5,'Página 02_Retorno'!C$7:C$108,"S")</f>
        <v>0</v>
      </c>
      <c r="C142" s="22">
        <f>SUMIFS('Página 02_Retorno'!O$7:O$108,'Página 02_Retorno'!I$7:I$108,'Pag 05_Modalidade_APROVADO'!A142,'Página 02_Retorno'!K$7:K$108,'Pag 08_Legendas'!B$5)</f>
        <v>0</v>
      </c>
      <c r="D142" s="22">
        <f>SUMIFS('Página 02_Retorno'!P$7:P$108,'Página 02_Retorno'!I$7:I$108,'Pag 05_Modalidade_APROVADO'!A142,'Página 02_Retorno'!K$7:K$108,'Pag 08_Legendas'!B$5)</f>
        <v>0</v>
      </c>
      <c r="E142" s="22">
        <f>SUMIFS('Página 02_Retorno'!Q$7:Q$108,'Página 02_Retorno'!I$7:I$108,'Pag 05_Modalidade_APROVADO'!A142,'Página 02_Retorno'!K$7:K$108,'Pag 08_Legendas'!B$5)</f>
        <v>0</v>
      </c>
      <c r="F142" s="22">
        <f>SUMIFS('Página 02_Retorno'!R$7:R$108,'Página 02_Retorno'!I$7:I$108,'Pag 05_Modalidade_APROVADO'!A142,'Página 02_Retorno'!K$7:K$108,'Pag 08_Legendas'!B$5)</f>
        <v>0</v>
      </c>
      <c r="G142" s="22">
        <f>SUMIFS('Página 02_Retorno'!S$7:S$108,'Página 02_Retorno'!I$7:I$108,'Pag 05_Modalidade_APROVADO'!A142,'Página 02_Retorno'!K$7:K$108,'Pag 08_Legendas'!B$5)</f>
        <v>0</v>
      </c>
      <c r="H142" s="22">
        <f>SUMIFS('Página 02_Retorno'!T$7:T$108,'Página 02_Retorno'!I$7:I$108,'Pag 05_Modalidade_APROVADO'!A142,'Página 02_Retorno'!K$7:K$108,'Pag 08_Legendas'!B$5)</f>
        <v>0</v>
      </c>
      <c r="I142" s="22">
        <f t="shared" si="22"/>
        <v>0</v>
      </c>
      <c r="J142" s="86">
        <f>SUMIFS('Página 02_Retorno'!U$7:U$108,'Página 02_Retorno'!I$7:I$108,'Pag 05_Modalidade_APROVADO'!A142,'Página 02_Retorno'!K$7:K$108,'Pag 08_Legendas'!B$5,'Página 02_Retorno'!B$7:B$108,'Página 01_Cadastro'!B$2)</f>
        <v>0</v>
      </c>
      <c r="K142" s="21">
        <f>COUNTIFS('Página 02_Retorno'!I$7:I$108,'Pag 05_Modalidade_APROVADO'!A142,'Página 02_Retorno'!K$7:K$108,'Pag 08_Legendas'!B$5,'Página 02_Retorno'!C$7:C$108,"S",'Página 02_Retorno'!B$7:B$108,'Página 01_Cadastro'!B$2)</f>
        <v>0</v>
      </c>
    </row>
    <row r="143" spans="1:11" x14ac:dyDescent="0.2">
      <c r="A143" s="89" t="s">
        <v>2</v>
      </c>
      <c r="B143" s="21">
        <f>COUNTIFS('Página 02_Retorno'!I$7:I$108,'Pag 05_Modalidade_APROVADO'!A143,'Página 02_Retorno'!K$7:K$108,'Pag 08_Legendas'!B$5,'Página 02_Retorno'!C$7:C$108,"S")</f>
        <v>0</v>
      </c>
      <c r="C143" s="22">
        <f>SUMIFS('Página 02_Retorno'!O$7:O$108,'Página 02_Retorno'!I$7:I$108,'Pag 05_Modalidade_APROVADO'!A143,'Página 02_Retorno'!K$7:K$108,'Pag 08_Legendas'!B$5)</f>
        <v>0</v>
      </c>
      <c r="D143" s="22">
        <f>SUMIFS('Página 02_Retorno'!P$7:P$108,'Página 02_Retorno'!I$7:I$108,'Pag 05_Modalidade_APROVADO'!A143,'Página 02_Retorno'!K$7:K$108,'Pag 08_Legendas'!B$5)</f>
        <v>0</v>
      </c>
      <c r="E143" s="22">
        <f>SUMIFS('Página 02_Retorno'!Q$7:Q$108,'Página 02_Retorno'!I$7:I$108,'Pag 05_Modalidade_APROVADO'!A143,'Página 02_Retorno'!K$7:K$108,'Pag 08_Legendas'!B$5)</f>
        <v>0</v>
      </c>
      <c r="F143" s="22">
        <f>SUMIFS('Página 02_Retorno'!R$7:R$108,'Página 02_Retorno'!I$7:I$108,'Pag 05_Modalidade_APROVADO'!A143,'Página 02_Retorno'!K$7:K$108,'Pag 08_Legendas'!B$5)</f>
        <v>0</v>
      </c>
      <c r="G143" s="22">
        <f>SUMIFS('Página 02_Retorno'!S$7:S$108,'Página 02_Retorno'!I$7:I$108,'Pag 05_Modalidade_APROVADO'!A143,'Página 02_Retorno'!K$7:K$108,'Pag 08_Legendas'!B$5)</f>
        <v>0</v>
      </c>
      <c r="H143" s="22">
        <f>SUMIFS('Página 02_Retorno'!T$7:T$108,'Página 02_Retorno'!I$7:I$108,'Pag 05_Modalidade_APROVADO'!A143,'Página 02_Retorno'!K$7:K$108,'Pag 08_Legendas'!B$5)</f>
        <v>0</v>
      </c>
      <c r="I143" s="22">
        <f t="shared" si="22"/>
        <v>0</v>
      </c>
      <c r="J143" s="86">
        <f>SUMIFS('Página 02_Retorno'!U$7:U$108,'Página 02_Retorno'!I$7:I$108,'Pag 05_Modalidade_APROVADO'!A143,'Página 02_Retorno'!K$7:K$108,'Pag 08_Legendas'!B$5,'Página 02_Retorno'!B$7:B$108,'Página 01_Cadastro'!B$2)</f>
        <v>0</v>
      </c>
      <c r="K143" s="21">
        <f>COUNTIFS('Página 02_Retorno'!I$7:I$108,'Pag 05_Modalidade_APROVADO'!A143,'Página 02_Retorno'!K$7:K$108,'Pag 08_Legendas'!B$5,'Página 02_Retorno'!C$7:C$108,"S",'Página 02_Retorno'!B$7:B$108,'Página 01_Cadastro'!B$2)</f>
        <v>0</v>
      </c>
    </row>
    <row r="144" spans="1:11" x14ac:dyDescent="0.2">
      <c r="A144" s="89" t="s">
        <v>4</v>
      </c>
      <c r="B144" s="21">
        <f>COUNTIFS('Página 02_Retorno'!I$7:I$108,'Pag 05_Modalidade_APROVADO'!A144,'Página 02_Retorno'!K$7:K$108,'Pag 08_Legendas'!B$5,'Página 02_Retorno'!C$7:C$108,"S")</f>
        <v>0</v>
      </c>
      <c r="C144" s="22">
        <f>SUMIFS('Página 02_Retorno'!O$7:O$108,'Página 02_Retorno'!I$7:I$108,'Pag 05_Modalidade_APROVADO'!A144,'Página 02_Retorno'!K$7:K$108,'Pag 08_Legendas'!B$5)</f>
        <v>0</v>
      </c>
      <c r="D144" s="22">
        <f>SUMIFS('Página 02_Retorno'!P$7:P$108,'Página 02_Retorno'!I$7:I$108,'Pag 05_Modalidade_APROVADO'!A144,'Página 02_Retorno'!K$7:K$108,'Pag 08_Legendas'!B$5)</f>
        <v>0</v>
      </c>
      <c r="E144" s="22">
        <f>SUMIFS('Página 02_Retorno'!Q$7:Q$108,'Página 02_Retorno'!I$7:I$108,'Pag 05_Modalidade_APROVADO'!A144,'Página 02_Retorno'!K$7:K$108,'Pag 08_Legendas'!B$5)</f>
        <v>0</v>
      </c>
      <c r="F144" s="22">
        <f>SUMIFS('Página 02_Retorno'!R$7:R$108,'Página 02_Retorno'!I$7:I$108,'Pag 05_Modalidade_APROVADO'!A144,'Página 02_Retorno'!K$7:K$108,'Pag 08_Legendas'!B$5)</f>
        <v>0</v>
      </c>
      <c r="G144" s="22">
        <f>SUMIFS('Página 02_Retorno'!S$7:S$108,'Página 02_Retorno'!I$7:I$108,'Pag 05_Modalidade_APROVADO'!A144,'Página 02_Retorno'!K$7:K$108,'Pag 08_Legendas'!B$5)</f>
        <v>0</v>
      </c>
      <c r="H144" s="22">
        <f>SUMIFS('Página 02_Retorno'!T$7:T$108,'Página 02_Retorno'!I$7:I$108,'Pag 05_Modalidade_APROVADO'!A144,'Página 02_Retorno'!K$7:K$108,'Pag 08_Legendas'!B$5)</f>
        <v>0</v>
      </c>
      <c r="I144" s="22">
        <f t="shared" si="22"/>
        <v>0</v>
      </c>
      <c r="J144" s="86">
        <f>SUMIFS('Página 02_Retorno'!U$7:U$108,'Página 02_Retorno'!I$7:I$108,'Pag 05_Modalidade_APROVADO'!A144,'Página 02_Retorno'!K$7:K$108,'Pag 08_Legendas'!B$5,'Página 02_Retorno'!B$7:B$108,'Página 01_Cadastro'!B$2)</f>
        <v>0</v>
      </c>
      <c r="K144" s="21">
        <f>COUNTIFS('Página 02_Retorno'!I$7:I$108,'Pag 05_Modalidade_APROVADO'!A144,'Página 02_Retorno'!K$7:K$108,'Pag 08_Legendas'!B$5,'Página 02_Retorno'!C$7:C$108,"S",'Página 02_Retorno'!B$7:B$108,'Página 01_Cadastro'!B$2)</f>
        <v>0</v>
      </c>
    </row>
    <row r="145" spans="1:11" x14ac:dyDescent="0.2">
      <c r="A145" s="89" t="s">
        <v>3</v>
      </c>
      <c r="B145" s="21">
        <f>COUNTIFS('Página 02_Retorno'!I$7:I$108,'Pag 05_Modalidade_APROVADO'!A145,'Página 02_Retorno'!K$7:K$108,'Pag 08_Legendas'!B$5,'Página 02_Retorno'!C$7:C$108,"S")</f>
        <v>0</v>
      </c>
      <c r="C145" s="22">
        <f>SUMIFS('Página 02_Retorno'!O$7:O$108,'Página 02_Retorno'!I$7:I$108,'Pag 05_Modalidade_APROVADO'!A145,'Página 02_Retorno'!K$7:K$108,'Pag 08_Legendas'!B$5)</f>
        <v>0</v>
      </c>
      <c r="D145" s="22">
        <f>SUMIFS('Página 02_Retorno'!P$7:P$108,'Página 02_Retorno'!I$7:I$108,'Pag 05_Modalidade_APROVADO'!A145,'Página 02_Retorno'!K$7:K$108,'Pag 08_Legendas'!B$5)</f>
        <v>0</v>
      </c>
      <c r="E145" s="22">
        <f>SUMIFS('Página 02_Retorno'!Q$7:Q$108,'Página 02_Retorno'!I$7:I$108,'Pag 05_Modalidade_APROVADO'!A145,'Página 02_Retorno'!K$7:K$108,'Pag 08_Legendas'!B$5)</f>
        <v>0</v>
      </c>
      <c r="F145" s="22">
        <f>SUMIFS('Página 02_Retorno'!R$7:R$108,'Página 02_Retorno'!I$7:I$108,'Pag 05_Modalidade_APROVADO'!A145,'Página 02_Retorno'!K$7:K$108,'Pag 08_Legendas'!B$5)</f>
        <v>0</v>
      </c>
      <c r="G145" s="22">
        <f>SUMIFS('Página 02_Retorno'!S$7:S$108,'Página 02_Retorno'!I$7:I$108,'Pag 05_Modalidade_APROVADO'!A145,'Página 02_Retorno'!K$7:K$108,'Pag 08_Legendas'!B$5)</f>
        <v>0</v>
      </c>
      <c r="H145" s="22">
        <f>SUMIFS('Página 02_Retorno'!T$7:T$108,'Página 02_Retorno'!I$7:I$108,'Pag 05_Modalidade_APROVADO'!A145,'Página 02_Retorno'!K$7:K$108,'Pag 08_Legendas'!B$5)</f>
        <v>0</v>
      </c>
      <c r="I145" s="22">
        <f t="shared" si="22"/>
        <v>0</v>
      </c>
      <c r="J145" s="86">
        <f>SUMIFS('Página 02_Retorno'!U$7:U$108,'Página 02_Retorno'!I$7:I$108,'Pag 05_Modalidade_APROVADO'!A145,'Página 02_Retorno'!K$7:K$108,'Pag 08_Legendas'!B$5,'Página 02_Retorno'!B$7:B$108,'Página 01_Cadastro'!B$2)</f>
        <v>0</v>
      </c>
      <c r="K145" s="21">
        <f>COUNTIFS('Página 02_Retorno'!I$7:I$108,'Pag 05_Modalidade_APROVADO'!A145,'Página 02_Retorno'!K$7:K$108,'Pag 08_Legendas'!B$5,'Página 02_Retorno'!C$7:C$108,"S",'Página 02_Retorno'!B$7:B$108,'Página 01_Cadastro'!B$2)</f>
        <v>0</v>
      </c>
    </row>
    <row r="146" spans="1:11" x14ac:dyDescent="0.2">
      <c r="A146" s="43" t="s">
        <v>6</v>
      </c>
      <c r="B146" s="31">
        <f>SUM(B139:B145)</f>
        <v>0</v>
      </c>
      <c r="C146" s="33">
        <f t="shared" ref="C146:H146" si="23">SUM(C139:C145)</f>
        <v>0</v>
      </c>
      <c r="D146" s="33">
        <f t="shared" si="23"/>
        <v>0</v>
      </c>
      <c r="E146" s="33">
        <f t="shared" si="23"/>
        <v>0</v>
      </c>
      <c r="F146" s="33">
        <f t="shared" si="23"/>
        <v>0</v>
      </c>
      <c r="G146" s="33">
        <f t="shared" si="23"/>
        <v>0</v>
      </c>
      <c r="H146" s="33">
        <f t="shared" si="23"/>
        <v>0</v>
      </c>
      <c r="I146" s="33">
        <f t="shared" si="22"/>
        <v>0</v>
      </c>
      <c r="J146" s="34">
        <f>SUM(J139:J145)</f>
        <v>0</v>
      </c>
      <c r="K146" s="31">
        <f>SUM(K139:K145)</f>
        <v>0</v>
      </c>
    </row>
    <row r="148" spans="1:11" x14ac:dyDescent="0.2">
      <c r="A148" s="174" t="s">
        <v>148</v>
      </c>
      <c r="B148" s="174"/>
      <c r="C148" s="174"/>
      <c r="D148" s="174"/>
      <c r="E148" s="174"/>
      <c r="F148" s="174"/>
      <c r="G148" s="174"/>
      <c r="H148" s="174"/>
      <c r="I148" s="174"/>
    </row>
    <row r="150" spans="1:11" ht="46.5" customHeight="1" x14ac:dyDescent="0.2">
      <c r="A150" s="35" t="s">
        <v>25</v>
      </c>
      <c r="B150" s="36" t="s">
        <v>27</v>
      </c>
      <c r="C150" s="36" t="s">
        <v>16</v>
      </c>
      <c r="D150" s="37" t="s">
        <v>17</v>
      </c>
      <c r="E150" s="37" t="s">
        <v>18</v>
      </c>
      <c r="F150" s="37" t="s">
        <v>19</v>
      </c>
      <c r="G150" s="37" t="s">
        <v>20</v>
      </c>
      <c r="H150" s="37" t="s">
        <v>21</v>
      </c>
      <c r="I150" s="37" t="s">
        <v>28</v>
      </c>
      <c r="J150" s="37" t="s">
        <v>126</v>
      </c>
      <c r="K150" s="37" t="s">
        <v>127</v>
      </c>
    </row>
    <row r="151" spans="1:11" x14ac:dyDescent="0.2">
      <c r="A151" s="89" t="s">
        <v>0</v>
      </c>
      <c r="B151" s="21">
        <f>SUM(B91,B79,B67,B55,B43,B31,B19,B6,B115,B127,B139)</f>
        <v>0</v>
      </c>
      <c r="C151" s="23">
        <f>SUM(C91,C79,C67,C55,C43,C31,C19,C6,C115,C127,C139)</f>
        <v>0</v>
      </c>
      <c r="D151" s="23">
        <f t="shared" ref="D151:J151" si="24">SUM(D91,D79,D67,D55,D43,D31,D19,D6,D115,D127,D139)</f>
        <v>0</v>
      </c>
      <c r="E151" s="23">
        <f t="shared" si="24"/>
        <v>0</v>
      </c>
      <c r="F151" s="23">
        <f t="shared" si="24"/>
        <v>0</v>
      </c>
      <c r="G151" s="23">
        <f t="shared" si="24"/>
        <v>0</v>
      </c>
      <c r="H151" s="23">
        <f t="shared" si="24"/>
        <v>0</v>
      </c>
      <c r="I151" s="23">
        <f t="shared" si="24"/>
        <v>0</v>
      </c>
      <c r="J151" s="23">
        <f t="shared" si="24"/>
        <v>0</v>
      </c>
      <c r="K151" s="21">
        <f>SUM(K91,K79,K67,K55,K43,K31,K19,K6,K115,K127,K139)</f>
        <v>0</v>
      </c>
    </row>
    <row r="152" spans="1:11" x14ac:dyDescent="0.2">
      <c r="A152" s="89" t="s">
        <v>5</v>
      </c>
      <c r="B152" s="21">
        <f t="shared" ref="B152:C157" si="25">SUM(B92,B80,B68,B56,B44,B32,B20,B7,B116,B128,B140)</f>
        <v>0</v>
      </c>
      <c r="C152" s="23">
        <f t="shared" si="25"/>
        <v>0</v>
      </c>
      <c r="D152" s="23">
        <f t="shared" ref="D152:K152" si="26">SUM(D92,D80,D68,D56,D44,D32,D20,D7,D116,D128,D140)</f>
        <v>0</v>
      </c>
      <c r="E152" s="23">
        <f t="shared" si="26"/>
        <v>0</v>
      </c>
      <c r="F152" s="23">
        <f t="shared" si="26"/>
        <v>0</v>
      </c>
      <c r="G152" s="23">
        <f t="shared" si="26"/>
        <v>0</v>
      </c>
      <c r="H152" s="23">
        <f t="shared" si="26"/>
        <v>0</v>
      </c>
      <c r="I152" s="23">
        <f t="shared" si="26"/>
        <v>0</v>
      </c>
      <c r="J152" s="23">
        <f t="shared" si="26"/>
        <v>0</v>
      </c>
      <c r="K152" s="21">
        <f t="shared" si="26"/>
        <v>0</v>
      </c>
    </row>
    <row r="153" spans="1:11" x14ac:dyDescent="0.2">
      <c r="A153" s="89" t="s">
        <v>1</v>
      </c>
      <c r="B153" s="21">
        <f t="shared" si="25"/>
        <v>0</v>
      </c>
      <c r="C153" s="23">
        <f t="shared" si="25"/>
        <v>0</v>
      </c>
      <c r="D153" s="23">
        <f t="shared" ref="D153:K153" si="27">SUM(D93,D81,D69,D57,D45,D33,D21,D8,D117,D129,D141)</f>
        <v>0</v>
      </c>
      <c r="E153" s="23">
        <f t="shared" si="27"/>
        <v>0</v>
      </c>
      <c r="F153" s="23">
        <f t="shared" si="27"/>
        <v>0</v>
      </c>
      <c r="G153" s="23">
        <f t="shared" si="27"/>
        <v>0</v>
      </c>
      <c r="H153" s="23">
        <f t="shared" si="27"/>
        <v>0</v>
      </c>
      <c r="I153" s="23">
        <f t="shared" si="27"/>
        <v>0</v>
      </c>
      <c r="J153" s="23">
        <f t="shared" si="27"/>
        <v>0</v>
      </c>
      <c r="K153" s="21">
        <f t="shared" si="27"/>
        <v>0</v>
      </c>
    </row>
    <row r="154" spans="1:11" x14ac:dyDescent="0.2">
      <c r="A154" s="89" t="s">
        <v>26</v>
      </c>
      <c r="B154" s="21">
        <f t="shared" si="25"/>
        <v>0</v>
      </c>
      <c r="C154" s="23">
        <f t="shared" si="25"/>
        <v>0</v>
      </c>
      <c r="D154" s="23">
        <f t="shared" ref="D154:K154" si="28">SUM(D94,D82,D70,D58,D46,D34,D22,D9,D118,D130,D142)</f>
        <v>0</v>
      </c>
      <c r="E154" s="23">
        <f t="shared" si="28"/>
        <v>0</v>
      </c>
      <c r="F154" s="23">
        <f t="shared" si="28"/>
        <v>0</v>
      </c>
      <c r="G154" s="23">
        <f t="shared" si="28"/>
        <v>0</v>
      </c>
      <c r="H154" s="23">
        <f t="shared" si="28"/>
        <v>0</v>
      </c>
      <c r="I154" s="23">
        <f t="shared" si="28"/>
        <v>0</v>
      </c>
      <c r="J154" s="23">
        <f t="shared" si="28"/>
        <v>0</v>
      </c>
      <c r="K154" s="21">
        <f t="shared" si="28"/>
        <v>0</v>
      </c>
    </row>
    <row r="155" spans="1:11" x14ac:dyDescent="0.2">
      <c r="A155" s="89" t="s">
        <v>2</v>
      </c>
      <c r="B155" s="21">
        <f t="shared" si="25"/>
        <v>0</v>
      </c>
      <c r="C155" s="23">
        <f t="shared" si="25"/>
        <v>0</v>
      </c>
      <c r="D155" s="23">
        <f t="shared" ref="D155:K155" si="29">SUM(D95,D83,D71,D59,D47,D35,D23,D10,D119,D131,D143)</f>
        <v>0</v>
      </c>
      <c r="E155" s="23">
        <f t="shared" si="29"/>
        <v>0</v>
      </c>
      <c r="F155" s="23">
        <f t="shared" si="29"/>
        <v>0</v>
      </c>
      <c r="G155" s="23">
        <f t="shared" si="29"/>
        <v>0</v>
      </c>
      <c r="H155" s="23">
        <f t="shared" si="29"/>
        <v>0</v>
      </c>
      <c r="I155" s="23">
        <f t="shared" si="29"/>
        <v>0</v>
      </c>
      <c r="J155" s="23">
        <f t="shared" si="29"/>
        <v>0</v>
      </c>
      <c r="K155" s="21">
        <f t="shared" si="29"/>
        <v>0</v>
      </c>
    </row>
    <row r="156" spans="1:11" x14ac:dyDescent="0.2">
      <c r="A156" s="89" t="s">
        <v>4</v>
      </c>
      <c r="B156" s="21">
        <f t="shared" si="25"/>
        <v>0</v>
      </c>
      <c r="C156" s="23">
        <f t="shared" si="25"/>
        <v>0</v>
      </c>
      <c r="D156" s="23">
        <f t="shared" ref="D156:K156" si="30">SUM(D96,D84,D72,D60,D48,D36,D24,D11,D120,D132,D144)</f>
        <v>0</v>
      </c>
      <c r="E156" s="23">
        <f t="shared" si="30"/>
        <v>0</v>
      </c>
      <c r="F156" s="23">
        <f t="shared" si="30"/>
        <v>0</v>
      </c>
      <c r="G156" s="23">
        <f t="shared" si="30"/>
        <v>0</v>
      </c>
      <c r="H156" s="23">
        <f t="shared" si="30"/>
        <v>0</v>
      </c>
      <c r="I156" s="23">
        <f t="shared" si="30"/>
        <v>0</v>
      </c>
      <c r="J156" s="23">
        <f t="shared" si="30"/>
        <v>0</v>
      </c>
      <c r="K156" s="21">
        <f t="shared" si="30"/>
        <v>0</v>
      </c>
    </row>
    <row r="157" spans="1:11" x14ac:dyDescent="0.2">
      <c r="A157" s="89" t="s">
        <v>3</v>
      </c>
      <c r="B157" s="21">
        <f t="shared" si="25"/>
        <v>0</v>
      </c>
      <c r="C157" s="23">
        <f t="shared" si="25"/>
        <v>0</v>
      </c>
      <c r="D157" s="23">
        <f t="shared" ref="D157:K157" si="31">SUM(D97,D85,D73,D61,D49,D37,D25,D12,D121,D133,D145)</f>
        <v>0</v>
      </c>
      <c r="E157" s="23">
        <f t="shared" si="31"/>
        <v>0</v>
      </c>
      <c r="F157" s="23">
        <f t="shared" si="31"/>
        <v>0</v>
      </c>
      <c r="G157" s="23">
        <f t="shared" si="31"/>
        <v>0</v>
      </c>
      <c r="H157" s="23">
        <f t="shared" si="31"/>
        <v>0</v>
      </c>
      <c r="I157" s="23">
        <f t="shared" si="31"/>
        <v>0</v>
      </c>
      <c r="J157" s="23">
        <f t="shared" si="31"/>
        <v>0</v>
      </c>
      <c r="K157" s="21">
        <f t="shared" si="31"/>
        <v>0</v>
      </c>
    </row>
    <row r="158" spans="1:11" x14ac:dyDescent="0.2">
      <c r="A158" s="91" t="s">
        <v>6</v>
      </c>
      <c r="B158" s="25">
        <f>SUM(B151:B157)</f>
        <v>0</v>
      </c>
      <c r="C158" s="26">
        <f t="shared" ref="C158:H158" si="32">SUM(C151:C157)</f>
        <v>0</v>
      </c>
      <c r="D158" s="26">
        <f t="shared" si="32"/>
        <v>0</v>
      </c>
      <c r="E158" s="26">
        <f t="shared" si="32"/>
        <v>0</v>
      </c>
      <c r="F158" s="26">
        <f t="shared" si="32"/>
        <v>0</v>
      </c>
      <c r="G158" s="26">
        <f t="shared" si="32"/>
        <v>0</v>
      </c>
      <c r="H158" s="26">
        <f t="shared" si="32"/>
        <v>0</v>
      </c>
      <c r="I158" s="26">
        <f t="shared" ref="I158" si="33">SUM(C158:H158)</f>
        <v>0</v>
      </c>
      <c r="J158" s="113">
        <f>SUM(J151:J157)</f>
        <v>0</v>
      </c>
      <c r="K158" s="25">
        <f>SUM(K151:K157)</f>
        <v>0</v>
      </c>
    </row>
    <row r="159" spans="1:11" x14ac:dyDescent="0.2">
      <c r="A159" s="92" t="s">
        <v>156</v>
      </c>
    </row>
  </sheetData>
  <sheetProtection algorithmName="SHA-512" hashValue="kxZG/6lq3/9YFOb0a6PKVRyqJu3due8TuFBf8u86Mmox3Bgy8S+IuXgsA1Q4oq61x3J7aIj9y4O4hgFtsJDZ/Q==" saltValue="KYgX6xJtCeYSCkqPDr/Cmw==" spinCount="100000" sheet="1" objects="1" scenarios="1"/>
  <mergeCells count="14">
    <mergeCell ref="A148:I148"/>
    <mergeCell ref="A64:I64"/>
    <mergeCell ref="A76:I76"/>
    <mergeCell ref="A88:I88"/>
    <mergeCell ref="A100:I100"/>
    <mergeCell ref="A112:I112"/>
    <mergeCell ref="A124:I124"/>
    <mergeCell ref="A136:I136"/>
    <mergeCell ref="A52:I52"/>
    <mergeCell ref="A1:I1"/>
    <mergeCell ref="A3:I3"/>
    <mergeCell ref="A16:I16"/>
    <mergeCell ref="A28:I28"/>
    <mergeCell ref="A40:I40"/>
  </mergeCells>
  <pageMargins left="0.51181102362204722" right="0.51181102362204722" top="0.78740157480314965" bottom="0.78740157480314965" header="0.31496062992125984" footer="0.31496062992125984"/>
  <pageSetup paperSize="9" scale="32" orientation="portrait" r:id="rId1"/>
  <headerFooter>
    <oddHeader>&amp;R&amp;P/&amp;N</oddHeader>
    <oddFooter>&amp;LFQ-07.54 (anexo ao PQ-07.02) - RA - revisão 03 de 02/02/26 - Página 5/8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137"/>
  <sheetViews>
    <sheetView tabSelected="1" view="pageBreakPreview" topLeftCell="A107" zoomScale="60" zoomScaleNormal="100" workbookViewId="0">
      <selection activeCell="A16" sqref="A16"/>
    </sheetView>
  </sheetViews>
  <sheetFormatPr defaultRowHeight="12.75" x14ac:dyDescent="0.2"/>
  <cols>
    <col min="1" max="1" width="17.140625" customWidth="1"/>
    <col min="2" max="2" width="11.5703125" bestFit="1" customWidth="1"/>
    <col min="3" max="3" width="10.140625" bestFit="1" customWidth="1"/>
    <col min="4" max="4" width="7.7109375" bestFit="1" customWidth="1"/>
    <col min="5" max="5" width="9.140625" bestFit="1" customWidth="1"/>
    <col min="6" max="6" width="13.28515625" bestFit="1" customWidth="1"/>
    <col min="7" max="7" width="8.140625" bestFit="1" customWidth="1"/>
    <col min="8" max="8" width="11.28515625" bestFit="1" customWidth="1"/>
    <col min="9" max="9" width="10.140625" bestFit="1" customWidth="1"/>
    <col min="10" max="11" width="15.7109375" style="4" bestFit="1" customWidth="1"/>
  </cols>
  <sheetData>
    <row r="1" spans="1:11" x14ac:dyDescent="0.2">
      <c r="A1" s="175" t="s">
        <v>128</v>
      </c>
      <c r="B1" s="175"/>
      <c r="C1" s="175"/>
      <c r="D1" s="175"/>
      <c r="E1" s="175"/>
      <c r="F1" s="175"/>
      <c r="G1" s="175"/>
      <c r="H1" s="175"/>
      <c r="I1" s="175"/>
    </row>
    <row r="3" spans="1:11" x14ac:dyDescent="0.2">
      <c r="A3" s="174" t="s">
        <v>129</v>
      </c>
      <c r="B3" s="174"/>
      <c r="C3" s="174"/>
      <c r="D3" s="174"/>
      <c r="E3" s="174"/>
      <c r="F3" s="174"/>
      <c r="G3" s="174"/>
      <c r="H3" s="174"/>
      <c r="I3" s="174"/>
    </row>
    <row r="5" spans="1:11" ht="34.5" customHeight="1" x14ac:dyDescent="0.2">
      <c r="A5" s="35" t="s">
        <v>25</v>
      </c>
      <c r="B5" s="36" t="s">
        <v>27</v>
      </c>
      <c r="C5" s="36" t="s">
        <v>16</v>
      </c>
      <c r="D5" s="37" t="s">
        <v>17</v>
      </c>
      <c r="E5" s="37" t="s">
        <v>18</v>
      </c>
      <c r="F5" s="37" t="s">
        <v>19</v>
      </c>
      <c r="G5" s="37" t="s">
        <v>20</v>
      </c>
      <c r="H5" s="37" t="s">
        <v>21</v>
      </c>
      <c r="I5" s="37" t="s">
        <v>28</v>
      </c>
      <c r="J5" s="37" t="s">
        <v>126</v>
      </c>
      <c r="K5" s="37" t="s">
        <v>127</v>
      </c>
    </row>
    <row r="6" spans="1:11" x14ac:dyDescent="0.2">
      <c r="A6" s="20" t="s">
        <v>0</v>
      </c>
      <c r="B6" s="21">
        <f>COUNTIFS('Página 02_Retorno'!I$7:I$108,'Pag 06_Bolsas_APROVADO'!A6,'Página 02_Retorno'!C$7:C$108,"S",'Página 02_Retorno'!L$7:L$108,'Pag 08_Legendas'!C$6)</f>
        <v>0</v>
      </c>
      <c r="C6" s="22">
        <f>SUMIFS('Página 02_Retorno'!O$7:O$108,'Página 02_Retorno'!I$7:I$108,'Pag 06_Bolsas_APROVADO'!A6,'Página 02_Retorno'!L$7:L$108,'Pag 08_Legendas'!C$6)</f>
        <v>0</v>
      </c>
      <c r="D6" s="22">
        <f>SUMIFS('Página 02_Retorno'!P$7:P$108,'Página 02_Retorno'!I$7:I$108,'Pag 06_Bolsas_APROVADO'!A6,'Página 02_Retorno'!L$7:L$108,'Pag 08_Legendas'!C$6)</f>
        <v>0</v>
      </c>
      <c r="E6" s="22">
        <f>SUMIFS('Página 02_Retorno'!Q$7:Q$108,'Página 02_Retorno'!I$7:I$108,'Pag 06_Bolsas_APROVADO'!A6,'Página 02_Retorno'!L$7:L$108,'Pag 08_Legendas'!C$6)</f>
        <v>0</v>
      </c>
      <c r="F6" s="22">
        <f>SUMIFS('Página 02_Retorno'!R$7:R$108,'Página 02_Retorno'!I$7:I$108,'Pag 06_Bolsas_APROVADO'!A6,'Página 02_Retorno'!L$7:L$108,'Pag 08_Legendas'!C$6)</f>
        <v>0</v>
      </c>
      <c r="G6" s="22">
        <f>SUMIFS('Página 02_Retorno'!S$7:S$108,'Página 02_Retorno'!I$7:I$108,'Pag 06_Bolsas_APROVADO'!A6,'Página 02_Retorno'!L$7:L$108,'Pag 08_Legendas'!C$6)</f>
        <v>0</v>
      </c>
      <c r="H6" s="22">
        <f>SUMIFS('Página 02_Retorno'!T$7:T$108,'Página 02_Retorno'!I$7:I$108,'Pag 06_Bolsas_APROVADO'!A6,'Página 02_Retorno'!L$7:L$108,'Pag 08_Legendas'!C$6)</f>
        <v>0</v>
      </c>
      <c r="I6" s="22">
        <f>SUM(C6:H6)</f>
        <v>0</v>
      </c>
      <c r="J6" s="86">
        <f>SUMIFS('Página 02_Retorno'!U$7:U$108,'Página 02_Retorno'!I$7:I$108,'Pag 06_Bolsas_APROVADO'!A6,'Página 02_Retorno'!L$7:L$108,'Pag 08_Legendas'!C$6,'Página 02_Retorno'!B$7:B$108,'Página 01_Cadastro'!B$2)</f>
        <v>0</v>
      </c>
      <c r="K6" s="21">
        <f>COUNTIFS('Página 02_Retorno'!I$7:I$108,'Pag 06_Bolsas_APROVADO'!A6,'Página 02_Retorno'!C$7:C$108,"S",'Página 02_Retorno'!L$7:L$108,'Pag 08_Legendas'!C$6,'Página 02_Retorno'!B$7:B$108,'Página 01_Cadastro'!B$2)</f>
        <v>0</v>
      </c>
    </row>
    <row r="7" spans="1:11" x14ac:dyDescent="0.2">
      <c r="A7" s="20" t="s">
        <v>5</v>
      </c>
      <c r="B7" s="21">
        <f>COUNTIFS('Página 02_Retorno'!I$7:I$108,'Pag 06_Bolsas_APROVADO'!A7,'Página 02_Retorno'!C$7:C$108,"S",'Página 02_Retorno'!L$7:L$108,'Pag 08_Legendas'!C$6)</f>
        <v>0</v>
      </c>
      <c r="C7" s="22">
        <f>SUMIFS('Página 02_Retorno'!O$7:O$108,'Página 02_Retorno'!I$7:I$108,'Pag 06_Bolsas_APROVADO'!A7,'Página 02_Retorno'!L$7:L$108,'Pag 08_Legendas'!C$6)</f>
        <v>0</v>
      </c>
      <c r="D7" s="22">
        <f>SUMIFS('Página 02_Retorno'!P$7:P$108,'Página 02_Retorno'!I$7:I$108,'Pag 06_Bolsas_APROVADO'!A7,'Página 02_Retorno'!L$7:L$108,'Pag 08_Legendas'!C$6)</f>
        <v>0</v>
      </c>
      <c r="E7" s="22">
        <f>SUMIFS('Página 02_Retorno'!Q$7:Q$108,'Página 02_Retorno'!I$7:I$108,'Pag 06_Bolsas_APROVADO'!A7,'Página 02_Retorno'!L$7:L$108,'Pag 08_Legendas'!C$6)</f>
        <v>0</v>
      </c>
      <c r="F7" s="22">
        <f>SUMIFS('Página 02_Retorno'!R$7:R$108,'Página 02_Retorno'!I$7:I$108,'Pag 06_Bolsas_APROVADO'!A7,'Página 02_Retorno'!L$7:L$108,'Pag 08_Legendas'!C$6)</f>
        <v>0</v>
      </c>
      <c r="G7" s="22">
        <f>SUMIFS('Página 02_Retorno'!S$7:S$108,'Página 02_Retorno'!I$7:I$108,'Pag 06_Bolsas_APROVADO'!A7,'Página 02_Retorno'!L$7:L$108,'Pag 08_Legendas'!C$6)</f>
        <v>0</v>
      </c>
      <c r="H7" s="22">
        <f>SUMIFS('Página 02_Retorno'!T$7:T$108,'Página 02_Retorno'!I$7:I$108,'Pag 06_Bolsas_APROVADO'!A7,'Página 02_Retorno'!L$7:L$108,'Pag 08_Legendas'!C$6)</f>
        <v>0</v>
      </c>
      <c r="I7" s="22">
        <f t="shared" ref="I7:I13" si="0">SUM(C7:H7)</f>
        <v>0</v>
      </c>
      <c r="J7" s="86">
        <f>SUMIFS('Página 02_Retorno'!U$7:U$108,'Página 02_Retorno'!I$7:I$108,'Pag 06_Bolsas_APROVADO'!A7,'Página 02_Retorno'!L$7:L$108,'Pag 08_Legendas'!C$6,'Página 02_Retorno'!B$7:B$108,'Página 01_Cadastro'!B$2)</f>
        <v>0</v>
      </c>
      <c r="K7" s="21">
        <f>COUNTIFS('Página 02_Retorno'!I$7:I$108,'Pag 06_Bolsas_APROVADO'!A7,'Página 02_Retorno'!C$7:C$108,"S",'Página 02_Retorno'!L$7:L$108,'Pag 08_Legendas'!C$6,'Página 02_Retorno'!B$7:B$108,'Página 01_Cadastro'!B$2)</f>
        <v>0</v>
      </c>
    </row>
    <row r="8" spans="1:11" x14ac:dyDescent="0.2">
      <c r="A8" s="20" t="s">
        <v>1</v>
      </c>
      <c r="B8" s="21">
        <f>COUNTIFS('Página 02_Retorno'!I$7:I$108,'Pag 06_Bolsas_APROVADO'!A8,'Página 02_Retorno'!C$7:C$108,"S",'Página 02_Retorno'!L$7:L$108,'Pag 08_Legendas'!C$6)</f>
        <v>0</v>
      </c>
      <c r="C8" s="22">
        <f>SUMIFS('Página 02_Retorno'!O$7:O$108,'Página 02_Retorno'!I$7:I$108,'Pag 06_Bolsas_APROVADO'!A8,'Página 02_Retorno'!L$7:L$108,'Pag 08_Legendas'!C$6)</f>
        <v>0</v>
      </c>
      <c r="D8" s="22">
        <f>SUMIFS('Página 02_Retorno'!P$7:P$108,'Página 02_Retorno'!I$7:I$108,'Pag 06_Bolsas_APROVADO'!A8,'Página 02_Retorno'!L$7:L$108,'Pag 08_Legendas'!C$6)</f>
        <v>0</v>
      </c>
      <c r="E8" s="22">
        <f>SUMIFS('Página 02_Retorno'!Q$7:Q$108,'Página 02_Retorno'!I$7:I$108,'Pag 06_Bolsas_APROVADO'!A8,'Página 02_Retorno'!L$7:L$108,'Pag 08_Legendas'!C$6)</f>
        <v>0</v>
      </c>
      <c r="F8" s="22">
        <f>SUMIFS('Página 02_Retorno'!R$7:R$108,'Página 02_Retorno'!I$7:I$108,'Pag 06_Bolsas_APROVADO'!A8,'Página 02_Retorno'!L$7:L$108,'Pag 08_Legendas'!C$6)</f>
        <v>0</v>
      </c>
      <c r="G8" s="22">
        <f>SUMIFS('Página 02_Retorno'!S$7:S$108,'Página 02_Retorno'!I$7:I$108,'Pag 06_Bolsas_APROVADO'!A8,'Página 02_Retorno'!L$7:L$108,'Pag 08_Legendas'!C$6)</f>
        <v>0</v>
      </c>
      <c r="H8" s="22">
        <f>SUMIFS('Página 02_Retorno'!T$7:T$108,'Página 02_Retorno'!I$7:I$108,'Pag 06_Bolsas_APROVADO'!A8,'Página 02_Retorno'!L$7:L$108,'Pag 08_Legendas'!C$6)</f>
        <v>0</v>
      </c>
      <c r="I8" s="22">
        <f t="shared" si="0"/>
        <v>0</v>
      </c>
      <c r="J8" s="86">
        <f>SUMIFS('Página 02_Retorno'!U$7:U$108,'Página 02_Retorno'!I$7:I$108,'Pag 06_Bolsas_APROVADO'!A8,'Página 02_Retorno'!L$7:L$108,'Pag 08_Legendas'!C$6,'Página 02_Retorno'!B$7:B$108,'Página 01_Cadastro'!B$2)</f>
        <v>0</v>
      </c>
      <c r="K8" s="21">
        <f>COUNTIFS('Página 02_Retorno'!I$7:I$108,'Pag 06_Bolsas_APROVADO'!A8,'Página 02_Retorno'!C$7:C$108,"S",'Página 02_Retorno'!L$7:L$108,'Pag 08_Legendas'!C$6,'Página 02_Retorno'!B$7:B$108,'Página 01_Cadastro'!B$2)</f>
        <v>0</v>
      </c>
    </row>
    <row r="9" spans="1:11" x14ac:dyDescent="0.2">
      <c r="A9" s="20" t="s">
        <v>26</v>
      </c>
      <c r="B9" s="21">
        <f>COUNTIFS('Página 02_Retorno'!I$7:I$108,'Pag 06_Bolsas_APROVADO'!A9,'Página 02_Retorno'!C$7:C$108,"S",'Página 02_Retorno'!L$7:L$108,'Pag 08_Legendas'!C$6)</f>
        <v>0</v>
      </c>
      <c r="C9" s="22">
        <f>SUMIFS('Página 02_Retorno'!O$7:O$108,'Página 02_Retorno'!I$7:I$108,'Pag 06_Bolsas_APROVADO'!A9,'Página 02_Retorno'!L$7:L$108,'Pag 08_Legendas'!C$6)</f>
        <v>0</v>
      </c>
      <c r="D9" s="22">
        <f>SUMIFS('Página 02_Retorno'!P$7:P$108,'Página 02_Retorno'!I$7:I$108,'Pag 06_Bolsas_APROVADO'!A9,'Página 02_Retorno'!L$7:L$108,'Pag 08_Legendas'!C$6)</f>
        <v>0</v>
      </c>
      <c r="E9" s="22">
        <f>SUMIFS('Página 02_Retorno'!Q$7:Q$108,'Página 02_Retorno'!I$7:I$108,'Pag 06_Bolsas_APROVADO'!A9,'Página 02_Retorno'!L$7:L$108,'Pag 08_Legendas'!C$6)</f>
        <v>0</v>
      </c>
      <c r="F9" s="22">
        <f>SUMIFS('Página 02_Retorno'!R$7:R$108,'Página 02_Retorno'!I$7:I$108,'Pag 06_Bolsas_APROVADO'!A9,'Página 02_Retorno'!L$7:L$108,'Pag 08_Legendas'!C$6)</f>
        <v>0</v>
      </c>
      <c r="G9" s="22">
        <f>SUMIFS('Página 02_Retorno'!S$7:S$108,'Página 02_Retorno'!I$7:I$108,'Pag 06_Bolsas_APROVADO'!A9,'Página 02_Retorno'!L$7:L$108,'Pag 08_Legendas'!C$6)</f>
        <v>0</v>
      </c>
      <c r="H9" s="22">
        <f>SUMIFS('Página 02_Retorno'!T$7:T$108,'Página 02_Retorno'!I$7:I$108,'Pag 06_Bolsas_APROVADO'!A9,'Página 02_Retorno'!L$7:L$108,'Pag 08_Legendas'!C$6)</f>
        <v>0</v>
      </c>
      <c r="I9" s="22">
        <f t="shared" si="0"/>
        <v>0</v>
      </c>
      <c r="J9" s="86">
        <f>SUMIFS('Página 02_Retorno'!U$7:U$108,'Página 02_Retorno'!I$7:I$108,'Pag 06_Bolsas_APROVADO'!A9,'Página 02_Retorno'!L$7:L$108,'Pag 08_Legendas'!C$6,'Página 02_Retorno'!B$7:B$108,'Página 01_Cadastro'!B$2)</f>
        <v>0</v>
      </c>
      <c r="K9" s="21">
        <f>COUNTIFS('Página 02_Retorno'!I$7:I$108,'Pag 06_Bolsas_APROVADO'!A9,'Página 02_Retorno'!C$7:C$108,"S",'Página 02_Retorno'!L$7:L$108,'Pag 08_Legendas'!C$6,'Página 02_Retorno'!B$7:B$108,'Página 01_Cadastro'!B$2)</f>
        <v>0</v>
      </c>
    </row>
    <row r="10" spans="1:11" x14ac:dyDescent="0.2">
      <c r="A10" s="20" t="s">
        <v>2</v>
      </c>
      <c r="B10" s="21">
        <f>COUNTIFS('Página 02_Retorno'!I$7:I$108,'Pag 06_Bolsas_APROVADO'!A10,'Página 02_Retorno'!C$7:C$108,"S",'Página 02_Retorno'!L$7:L$108,'Pag 08_Legendas'!C$6)</f>
        <v>0</v>
      </c>
      <c r="C10" s="22">
        <f>SUMIFS('Página 02_Retorno'!O$7:O$108,'Página 02_Retorno'!I$7:I$108,'Pag 06_Bolsas_APROVADO'!A10,'Página 02_Retorno'!L$7:L$108,'Pag 08_Legendas'!C$6)</f>
        <v>0</v>
      </c>
      <c r="D10" s="22">
        <f>SUMIFS('Página 02_Retorno'!P$7:P$108,'Página 02_Retorno'!I$7:I$108,'Pag 06_Bolsas_APROVADO'!A10,'Página 02_Retorno'!L$7:L$108,'Pag 08_Legendas'!C$6)</f>
        <v>0</v>
      </c>
      <c r="E10" s="22">
        <f>SUMIFS('Página 02_Retorno'!Q$7:Q$108,'Página 02_Retorno'!I$7:I$108,'Pag 06_Bolsas_APROVADO'!A10,'Página 02_Retorno'!L$7:L$108,'Pag 08_Legendas'!C$6)</f>
        <v>0</v>
      </c>
      <c r="F10" s="22">
        <f>SUMIFS('Página 02_Retorno'!R$7:R$108,'Página 02_Retorno'!I$7:I$108,'Pag 06_Bolsas_APROVADO'!A10,'Página 02_Retorno'!L$7:L$108,'Pag 08_Legendas'!C$6)</f>
        <v>0</v>
      </c>
      <c r="G10" s="22">
        <f>SUMIFS('Página 02_Retorno'!S$7:S$108,'Página 02_Retorno'!I$7:I$108,'Pag 06_Bolsas_APROVADO'!A10,'Página 02_Retorno'!L$7:L$108,'Pag 08_Legendas'!C$6)</f>
        <v>0</v>
      </c>
      <c r="H10" s="22">
        <f>SUMIFS('Página 02_Retorno'!T$7:T$108,'Página 02_Retorno'!I$7:I$108,'Pag 06_Bolsas_APROVADO'!A10,'Página 02_Retorno'!L$7:L$108,'Pag 08_Legendas'!C$6)</f>
        <v>0</v>
      </c>
      <c r="I10" s="22">
        <f t="shared" si="0"/>
        <v>0</v>
      </c>
      <c r="J10" s="86">
        <f>SUMIFS('Página 02_Retorno'!U$7:U$108,'Página 02_Retorno'!I$7:I$108,'Pag 06_Bolsas_APROVADO'!A10,'Página 02_Retorno'!L$7:L$108,'Pag 08_Legendas'!C$6,'Página 02_Retorno'!B$7:B$108,'Página 01_Cadastro'!B$2)</f>
        <v>0</v>
      </c>
      <c r="K10" s="21">
        <f>COUNTIFS('Página 02_Retorno'!I$7:I$108,'Pag 06_Bolsas_APROVADO'!A10,'Página 02_Retorno'!C$7:C$108,"S",'Página 02_Retorno'!L$7:L$108,'Pag 08_Legendas'!C$6,'Página 02_Retorno'!B$7:B$108,'Página 01_Cadastro'!B$2)</f>
        <v>0</v>
      </c>
    </row>
    <row r="11" spans="1:11" x14ac:dyDescent="0.2">
      <c r="A11" s="20" t="s">
        <v>4</v>
      </c>
      <c r="B11" s="21">
        <f>COUNTIFS('Página 02_Retorno'!I$7:I$108,'Pag 06_Bolsas_APROVADO'!A11,'Página 02_Retorno'!C$7:C$108,"S",'Página 02_Retorno'!L$7:L$108,'Pag 08_Legendas'!C$6)</f>
        <v>0</v>
      </c>
      <c r="C11" s="22">
        <f>SUMIFS('Página 02_Retorno'!O$7:O$108,'Página 02_Retorno'!I$7:I$108,'Pag 06_Bolsas_APROVADO'!A11,'Página 02_Retorno'!L$7:L$108,'Pag 08_Legendas'!C$6)</f>
        <v>0</v>
      </c>
      <c r="D11" s="22">
        <f>SUMIFS('Página 02_Retorno'!P$7:P$108,'Página 02_Retorno'!I$7:I$108,'Pag 06_Bolsas_APROVADO'!A11,'Página 02_Retorno'!L$7:L$108,'Pag 08_Legendas'!C$6)</f>
        <v>0</v>
      </c>
      <c r="E11" s="22">
        <f>SUMIFS('Página 02_Retorno'!Q$7:Q$108,'Página 02_Retorno'!I$7:I$108,'Pag 06_Bolsas_APROVADO'!A11,'Página 02_Retorno'!L$7:L$108,'Pag 08_Legendas'!C$6)</f>
        <v>0</v>
      </c>
      <c r="F11" s="22">
        <f>SUMIFS('Página 02_Retorno'!R$7:R$108,'Página 02_Retorno'!I$7:I$108,'Pag 06_Bolsas_APROVADO'!A11,'Página 02_Retorno'!L$7:L$108,'Pag 08_Legendas'!C$6)</f>
        <v>0</v>
      </c>
      <c r="G11" s="22">
        <f>SUMIFS('Página 02_Retorno'!S$7:S$108,'Página 02_Retorno'!I$7:I$108,'Pag 06_Bolsas_APROVADO'!A11,'Página 02_Retorno'!L$7:L$108,'Pag 08_Legendas'!C$6)</f>
        <v>0</v>
      </c>
      <c r="H11" s="22">
        <f>SUMIFS('Página 02_Retorno'!T$7:T$108,'Página 02_Retorno'!I$7:I$108,'Pag 06_Bolsas_APROVADO'!A11,'Página 02_Retorno'!L$7:L$108,'Pag 08_Legendas'!C$6)</f>
        <v>0</v>
      </c>
      <c r="I11" s="22">
        <f t="shared" si="0"/>
        <v>0</v>
      </c>
      <c r="J11" s="86">
        <f>SUMIFS('Página 02_Retorno'!U$7:U$108,'Página 02_Retorno'!I$7:I$108,'Pag 06_Bolsas_APROVADO'!A11,'Página 02_Retorno'!L$7:L$108,'Pag 08_Legendas'!C$6,'Página 02_Retorno'!B$7:B$108,'Página 01_Cadastro'!B$2)</f>
        <v>0</v>
      </c>
      <c r="K11" s="21">
        <f>COUNTIFS('Página 02_Retorno'!I$7:I$108,'Pag 06_Bolsas_APROVADO'!A11,'Página 02_Retorno'!C$7:C$108,"S",'Página 02_Retorno'!L$7:L$108,'Pag 08_Legendas'!C$6,'Página 02_Retorno'!B$7:B$108,'Página 01_Cadastro'!B$2)</f>
        <v>0</v>
      </c>
    </row>
    <row r="12" spans="1:11" x14ac:dyDescent="0.2">
      <c r="A12" s="20" t="s">
        <v>3</v>
      </c>
      <c r="B12" s="21">
        <f>COUNTIFS('Página 02_Retorno'!I$7:I$108,'Pag 06_Bolsas_APROVADO'!A12,'Página 02_Retorno'!C$7:C$108,"S",'Página 02_Retorno'!L$7:L$108,'Pag 08_Legendas'!C$6)</f>
        <v>0</v>
      </c>
      <c r="C12" s="22">
        <f>SUMIFS('Página 02_Retorno'!O$7:O$108,'Página 02_Retorno'!I$7:I$108,'Pag 06_Bolsas_APROVADO'!A12,'Página 02_Retorno'!L$7:L$108,'Pag 08_Legendas'!C$6)</f>
        <v>0</v>
      </c>
      <c r="D12" s="22">
        <f>SUMIFS('Página 02_Retorno'!P$7:P$108,'Página 02_Retorno'!I$7:I$108,'Pag 06_Bolsas_APROVADO'!A12,'Página 02_Retorno'!L$7:L$108,'Pag 08_Legendas'!C$6)</f>
        <v>0</v>
      </c>
      <c r="E12" s="22">
        <f>SUMIFS('Página 02_Retorno'!Q$7:Q$108,'Página 02_Retorno'!I$7:I$108,'Pag 06_Bolsas_APROVADO'!A12,'Página 02_Retorno'!L$7:L$108,'Pag 08_Legendas'!C$6)</f>
        <v>0</v>
      </c>
      <c r="F12" s="22">
        <f>SUMIFS('Página 02_Retorno'!R$7:R$108,'Página 02_Retorno'!I$7:I$108,'Pag 06_Bolsas_APROVADO'!A12,'Página 02_Retorno'!L$7:L$108,'Pag 08_Legendas'!C$6)</f>
        <v>0</v>
      </c>
      <c r="G12" s="22">
        <f>SUMIFS('Página 02_Retorno'!S$7:S$108,'Página 02_Retorno'!I$7:I$108,'Pag 06_Bolsas_APROVADO'!A12,'Página 02_Retorno'!L$7:L$108,'Pag 08_Legendas'!C$6)</f>
        <v>0</v>
      </c>
      <c r="H12" s="22">
        <f>SUMIFS('Página 02_Retorno'!T$7:T$108,'Página 02_Retorno'!I$7:I$108,'Pag 06_Bolsas_APROVADO'!A12,'Página 02_Retorno'!L$7:L$108,'Pag 08_Legendas'!C$6)</f>
        <v>0</v>
      </c>
      <c r="I12" s="22">
        <f t="shared" si="0"/>
        <v>0</v>
      </c>
      <c r="J12" s="86">
        <f>SUMIFS('Página 02_Retorno'!U$7:U$108,'Página 02_Retorno'!I$7:I$108,'Pag 06_Bolsas_APROVADO'!A12,'Página 02_Retorno'!L$7:L$108,'Pag 08_Legendas'!C$6,'Página 02_Retorno'!B$7:B$108,'Página 01_Cadastro'!B$2)</f>
        <v>0</v>
      </c>
      <c r="K12" s="21">
        <f>COUNTIFS('Página 02_Retorno'!I$7:I$108,'Pag 06_Bolsas_APROVADO'!A12,'Página 02_Retorno'!C$7:C$108,"S",'Página 02_Retorno'!L$7:L$108,'Pag 08_Legendas'!C$6,'Página 02_Retorno'!B$7:B$108,'Página 01_Cadastro'!B$2)</f>
        <v>0</v>
      </c>
    </row>
    <row r="13" spans="1:11" x14ac:dyDescent="0.2">
      <c r="A13" s="32" t="s">
        <v>6</v>
      </c>
      <c r="B13" s="31">
        <f>SUM(B6:B12)</f>
        <v>0</v>
      </c>
      <c r="C13" s="33">
        <f>SUM(C6:C12)</f>
        <v>0</v>
      </c>
      <c r="D13" s="33">
        <f t="shared" ref="D13:H13" si="1">SUM(D6:D12)</f>
        <v>0</v>
      </c>
      <c r="E13" s="33">
        <f t="shared" si="1"/>
        <v>0</v>
      </c>
      <c r="F13" s="33">
        <f t="shared" si="1"/>
        <v>0</v>
      </c>
      <c r="G13" s="33">
        <f t="shared" si="1"/>
        <v>0</v>
      </c>
      <c r="H13" s="33">
        <f t="shared" si="1"/>
        <v>0</v>
      </c>
      <c r="I13" s="33">
        <f t="shared" si="0"/>
        <v>0</v>
      </c>
      <c r="J13" s="34">
        <f>SUM(J6:J12)</f>
        <v>0</v>
      </c>
      <c r="K13" s="31">
        <f>SUM(K6:K12)</f>
        <v>0</v>
      </c>
    </row>
    <row r="16" spans="1:11" x14ac:dyDescent="0.2">
      <c r="A16" s="174" t="s">
        <v>130</v>
      </c>
      <c r="B16" s="174"/>
      <c r="C16" s="174"/>
      <c r="D16" s="174"/>
      <c r="E16" s="174"/>
      <c r="F16" s="174"/>
      <c r="G16" s="174"/>
      <c r="H16" s="174"/>
      <c r="I16" s="174"/>
    </row>
    <row r="18" spans="1:11" ht="51" x14ac:dyDescent="0.2">
      <c r="A18" s="35" t="s">
        <v>25</v>
      </c>
      <c r="B18" s="36" t="s">
        <v>27</v>
      </c>
      <c r="C18" s="36" t="s">
        <v>16</v>
      </c>
      <c r="D18" s="37" t="s">
        <v>17</v>
      </c>
      <c r="E18" s="37" t="s">
        <v>18</v>
      </c>
      <c r="F18" s="37" t="s">
        <v>19</v>
      </c>
      <c r="G18" s="37" t="s">
        <v>20</v>
      </c>
      <c r="H18" s="37" t="s">
        <v>21</v>
      </c>
      <c r="I18" s="37" t="s">
        <v>28</v>
      </c>
      <c r="J18" s="37" t="s">
        <v>126</v>
      </c>
      <c r="K18" s="37" t="s">
        <v>127</v>
      </c>
    </row>
    <row r="19" spans="1:11" x14ac:dyDescent="0.2">
      <c r="A19" s="20" t="s">
        <v>0</v>
      </c>
      <c r="B19" s="21">
        <f>COUNTIFS('Página 02_Retorno'!I$7:I$108,'Pag 06_Bolsas_APROVADO'!A19,'Página 02_Retorno'!C$7:C$108,"S",'Página 02_Retorno'!L$7:L$108,'Pag 08_Legendas'!C$7)</f>
        <v>0</v>
      </c>
      <c r="C19" s="22">
        <f>SUMIFS('Página 02_Retorno'!O$7:O$108,'Página 02_Retorno'!I$7:I$108,'Pag 06_Bolsas_APROVADO'!A19,'Página 02_Retorno'!L$7:L$108,'Pag 08_Legendas'!C$7)</f>
        <v>0</v>
      </c>
      <c r="D19" s="22">
        <f>SUMIFS('Página 02_Retorno'!P$7:P$108,'Página 02_Retorno'!I$7:I$108,'Pag 06_Bolsas_APROVADO'!A19,'Página 02_Retorno'!L$7:L$108,'Pag 08_Legendas'!C$7)</f>
        <v>0</v>
      </c>
      <c r="E19" s="22">
        <f>SUMIFS('Página 02_Retorno'!Q$7:Q$108,'Página 02_Retorno'!I$7:I$108,'Pag 06_Bolsas_APROVADO'!A19,'Página 02_Retorno'!L$7:L$108,'Pag 08_Legendas'!C$7)</f>
        <v>0</v>
      </c>
      <c r="F19" s="22">
        <f>SUMIFS('Página 02_Retorno'!R$7:R$108,'Página 02_Retorno'!I$7:I$108,'Pag 06_Bolsas_APROVADO'!A19,'Página 02_Retorno'!L$7:L$108,'Pag 08_Legendas'!C$7)</f>
        <v>0</v>
      </c>
      <c r="G19" s="22">
        <f>SUMIFS('Página 02_Retorno'!S$7:S$108,'Página 02_Retorno'!I$7:I$108,'Pag 06_Bolsas_APROVADO'!A19,'Página 02_Retorno'!L$7:L$108,'Pag 08_Legendas'!C$7)</f>
        <v>0</v>
      </c>
      <c r="H19" s="22">
        <f>SUMIFS('Página 02_Retorno'!T$7:T$108,'Página 02_Retorno'!I$7:I$108,'Pag 06_Bolsas_APROVADO'!A19,'Página 02_Retorno'!L$7:L$108,'Pag 08_Legendas'!C$7)</f>
        <v>0</v>
      </c>
      <c r="I19" s="22">
        <f>SUM(C19:H19)</f>
        <v>0</v>
      </c>
      <c r="J19" s="86">
        <f>SUMIFS('Página 02_Retorno'!U$7:U$108,'Página 02_Retorno'!I$7:I$108,'Pag 06_Bolsas_APROVADO'!A19,'Página 02_Retorno'!L$7:L$108,'Pag 08_Legendas'!C$7,'Página 02_Retorno'!B$7:B$108,'Página 01_Cadastro'!B$2)</f>
        <v>0</v>
      </c>
      <c r="K19" s="21">
        <f>COUNTIFS('Página 02_Retorno'!I$7:I$108,'Pag 06_Bolsas_APROVADO'!A19,'Página 02_Retorno'!C$7:C$108,"S",'Página 02_Retorno'!L$7:L$108,'Pag 08_Legendas'!C$7,'Página 02_Retorno'!B$7:B$108,'Página 01_Cadastro'!B$2)</f>
        <v>0</v>
      </c>
    </row>
    <row r="20" spans="1:11" x14ac:dyDescent="0.2">
      <c r="A20" s="20" t="s">
        <v>5</v>
      </c>
      <c r="B20" s="21">
        <f>COUNTIFS('Página 02_Retorno'!I$7:I$108,'Pag 06_Bolsas_APROVADO'!A20,'Página 02_Retorno'!C$7:C$108,"S",'Página 02_Retorno'!L$7:L$108,'Pag 08_Legendas'!C$7)</f>
        <v>0</v>
      </c>
      <c r="C20" s="22">
        <f>SUMIFS('Página 02_Retorno'!O$7:O$108,'Página 02_Retorno'!I$7:I$108,'Pag 06_Bolsas_APROVADO'!A20,'Página 02_Retorno'!L$7:L$108,'Pag 08_Legendas'!C$7)</f>
        <v>0</v>
      </c>
      <c r="D20" s="22">
        <f>SUMIFS('Página 02_Retorno'!P$7:P$108,'Página 02_Retorno'!I$7:I$108,'Pag 06_Bolsas_APROVADO'!A20,'Página 02_Retorno'!L$7:L$108,'Pag 08_Legendas'!C$7)</f>
        <v>0</v>
      </c>
      <c r="E20" s="22">
        <f>SUMIFS('Página 02_Retorno'!Q$7:Q$108,'Página 02_Retorno'!I$7:I$108,'Pag 06_Bolsas_APROVADO'!A20,'Página 02_Retorno'!L$7:L$108,'Pag 08_Legendas'!C$7)</f>
        <v>0</v>
      </c>
      <c r="F20" s="22">
        <f>SUMIFS('Página 02_Retorno'!R$7:R$108,'Página 02_Retorno'!I$7:I$108,'Pag 06_Bolsas_APROVADO'!A20,'Página 02_Retorno'!L$7:L$108,'Pag 08_Legendas'!C$7)</f>
        <v>0</v>
      </c>
      <c r="G20" s="22">
        <f>SUMIFS('Página 02_Retorno'!S$7:S$108,'Página 02_Retorno'!I$7:I$108,'Pag 06_Bolsas_APROVADO'!A20,'Página 02_Retorno'!L$7:L$108,'Pag 08_Legendas'!C$7)</f>
        <v>0</v>
      </c>
      <c r="H20" s="22">
        <f>SUMIFS('Página 02_Retorno'!T$7:T$108,'Página 02_Retorno'!I$7:I$108,'Pag 06_Bolsas_APROVADO'!A20,'Página 02_Retorno'!L$7:L$108,'Pag 08_Legendas'!C$7)</f>
        <v>0</v>
      </c>
      <c r="I20" s="22">
        <f t="shared" ref="I20:I26" si="2">SUM(C20:H20)</f>
        <v>0</v>
      </c>
      <c r="J20" s="86">
        <f>SUMIFS('Página 02_Retorno'!U$7:U$108,'Página 02_Retorno'!I$7:I$108,'Pag 06_Bolsas_APROVADO'!A20,'Página 02_Retorno'!L$7:L$108,'Pag 08_Legendas'!C$7,'Página 02_Retorno'!B$7:B$108,'Página 01_Cadastro'!B$2)</f>
        <v>0</v>
      </c>
      <c r="K20" s="21">
        <f>COUNTIFS('Página 02_Retorno'!I$7:I$108,'Pag 06_Bolsas_APROVADO'!A20,'Página 02_Retorno'!C$7:C$108,"S",'Página 02_Retorno'!L$7:L$108,'Pag 08_Legendas'!C$7,'Página 02_Retorno'!B$7:B$108,'Página 01_Cadastro'!B$2)</f>
        <v>0</v>
      </c>
    </row>
    <row r="21" spans="1:11" x14ac:dyDescent="0.2">
      <c r="A21" s="20" t="s">
        <v>1</v>
      </c>
      <c r="B21" s="21">
        <f>COUNTIFS('Página 02_Retorno'!I$7:I$108,'Pag 06_Bolsas_APROVADO'!A21,'Página 02_Retorno'!C$7:C$108,"S",'Página 02_Retorno'!L$7:L$108,'Pag 08_Legendas'!C$7)</f>
        <v>0</v>
      </c>
      <c r="C21" s="22">
        <f>SUMIFS('Página 02_Retorno'!O$7:O$108,'Página 02_Retorno'!I$7:I$108,'Pag 06_Bolsas_APROVADO'!A21,'Página 02_Retorno'!L$7:L$108,'Pag 08_Legendas'!C$7)</f>
        <v>0</v>
      </c>
      <c r="D21" s="22">
        <f>SUMIFS('Página 02_Retorno'!P$7:P$108,'Página 02_Retorno'!I$7:I$108,'Pag 06_Bolsas_APROVADO'!A21,'Página 02_Retorno'!L$7:L$108,'Pag 08_Legendas'!C$7)</f>
        <v>0</v>
      </c>
      <c r="E21" s="22">
        <f>SUMIFS('Página 02_Retorno'!Q$7:Q$108,'Página 02_Retorno'!I$7:I$108,'Pag 06_Bolsas_APROVADO'!A21,'Página 02_Retorno'!L$7:L$108,'Pag 08_Legendas'!C$7)</f>
        <v>0</v>
      </c>
      <c r="F21" s="22">
        <f>SUMIFS('Página 02_Retorno'!R$7:R$108,'Página 02_Retorno'!I$7:I$108,'Pag 06_Bolsas_APROVADO'!A21,'Página 02_Retorno'!L$7:L$108,'Pag 08_Legendas'!C$7)</f>
        <v>0</v>
      </c>
      <c r="G21" s="22">
        <f>SUMIFS('Página 02_Retorno'!S$7:S$108,'Página 02_Retorno'!I$7:I$108,'Pag 06_Bolsas_APROVADO'!A21,'Página 02_Retorno'!L$7:L$108,'Pag 08_Legendas'!C$7)</f>
        <v>0</v>
      </c>
      <c r="H21" s="22">
        <f>SUMIFS('Página 02_Retorno'!T$7:T$108,'Página 02_Retorno'!I$7:I$108,'Pag 06_Bolsas_APROVADO'!A21,'Página 02_Retorno'!L$7:L$108,'Pag 08_Legendas'!C$7)</f>
        <v>0</v>
      </c>
      <c r="I21" s="22">
        <f t="shared" si="2"/>
        <v>0</v>
      </c>
      <c r="J21" s="86">
        <f>SUMIFS('Página 02_Retorno'!U$7:U$108,'Página 02_Retorno'!I$7:I$108,'Pag 06_Bolsas_APROVADO'!A21,'Página 02_Retorno'!L$7:L$108,'Pag 08_Legendas'!C$7,'Página 02_Retorno'!B$7:B$108,'Página 01_Cadastro'!B$2)</f>
        <v>0</v>
      </c>
      <c r="K21" s="21">
        <f>COUNTIFS('Página 02_Retorno'!I$7:I$108,'Pag 06_Bolsas_APROVADO'!A21,'Página 02_Retorno'!C$7:C$108,"S",'Página 02_Retorno'!L$7:L$108,'Pag 08_Legendas'!C$7,'Página 02_Retorno'!B$7:B$108,'Página 01_Cadastro'!B$2)</f>
        <v>0</v>
      </c>
    </row>
    <row r="22" spans="1:11" x14ac:dyDescent="0.2">
      <c r="A22" s="20" t="s">
        <v>26</v>
      </c>
      <c r="B22" s="21">
        <f>COUNTIFS('Página 02_Retorno'!I$7:I$108,'Pag 06_Bolsas_APROVADO'!A22,'Página 02_Retorno'!C$7:C$108,"S",'Página 02_Retorno'!L$7:L$108,'Pag 08_Legendas'!C$7)</f>
        <v>0</v>
      </c>
      <c r="C22" s="22">
        <f>SUMIFS('Página 02_Retorno'!O$7:O$108,'Página 02_Retorno'!I$7:I$108,'Pag 06_Bolsas_APROVADO'!A22,'Página 02_Retorno'!L$7:L$108,'Pag 08_Legendas'!C$7)</f>
        <v>0</v>
      </c>
      <c r="D22" s="22">
        <f>SUMIFS('Página 02_Retorno'!P$7:P$108,'Página 02_Retorno'!I$7:I$108,'Pag 06_Bolsas_APROVADO'!A22,'Página 02_Retorno'!L$7:L$108,'Pag 08_Legendas'!C$7)</f>
        <v>0</v>
      </c>
      <c r="E22" s="22">
        <f>SUMIFS('Página 02_Retorno'!Q$7:Q$108,'Página 02_Retorno'!I$7:I$108,'Pag 06_Bolsas_APROVADO'!A22,'Página 02_Retorno'!L$7:L$108,'Pag 08_Legendas'!C$7)</f>
        <v>0</v>
      </c>
      <c r="F22" s="22">
        <f>SUMIFS('Página 02_Retorno'!R$7:R$108,'Página 02_Retorno'!I$7:I$108,'Pag 06_Bolsas_APROVADO'!A22,'Página 02_Retorno'!L$7:L$108,'Pag 08_Legendas'!C$7)</f>
        <v>0</v>
      </c>
      <c r="G22" s="22">
        <f>SUMIFS('Página 02_Retorno'!S$7:S$108,'Página 02_Retorno'!I$7:I$108,'Pag 06_Bolsas_APROVADO'!A22,'Página 02_Retorno'!L$7:L$108,'Pag 08_Legendas'!C$7)</f>
        <v>0</v>
      </c>
      <c r="H22" s="22">
        <f>SUMIFS('Página 02_Retorno'!T$7:T$108,'Página 02_Retorno'!I$7:I$108,'Pag 06_Bolsas_APROVADO'!A22,'Página 02_Retorno'!L$7:L$108,'Pag 08_Legendas'!C$7)</f>
        <v>0</v>
      </c>
      <c r="I22" s="22">
        <f t="shared" si="2"/>
        <v>0</v>
      </c>
      <c r="J22" s="86">
        <f>SUMIFS('Página 02_Retorno'!U$7:U$108,'Página 02_Retorno'!I$7:I$108,'Pag 06_Bolsas_APROVADO'!A22,'Página 02_Retorno'!L$7:L$108,'Pag 08_Legendas'!C$7,'Página 02_Retorno'!B$7:B$108,'Página 01_Cadastro'!B$2)</f>
        <v>0</v>
      </c>
      <c r="K22" s="21">
        <f>COUNTIFS('Página 02_Retorno'!I$7:I$108,'Pag 06_Bolsas_APROVADO'!A22,'Página 02_Retorno'!C$7:C$108,"S",'Página 02_Retorno'!L$7:L$108,'Pag 08_Legendas'!C$7,'Página 02_Retorno'!B$7:B$108,'Página 01_Cadastro'!B$2)</f>
        <v>0</v>
      </c>
    </row>
    <row r="23" spans="1:11" x14ac:dyDescent="0.2">
      <c r="A23" s="20" t="s">
        <v>2</v>
      </c>
      <c r="B23" s="21">
        <f>COUNTIFS('Página 02_Retorno'!I$7:I$108,'Pag 06_Bolsas_APROVADO'!A23,'Página 02_Retorno'!C$7:C$108,"S",'Página 02_Retorno'!L$7:L$108,'Pag 08_Legendas'!C$7)</f>
        <v>0</v>
      </c>
      <c r="C23" s="22">
        <f>SUMIFS('Página 02_Retorno'!O$7:O$108,'Página 02_Retorno'!I$7:I$108,'Pag 06_Bolsas_APROVADO'!A23,'Página 02_Retorno'!L$7:L$108,'Pag 08_Legendas'!C$7)</f>
        <v>0</v>
      </c>
      <c r="D23" s="22">
        <f>SUMIFS('Página 02_Retorno'!P$7:P$108,'Página 02_Retorno'!I$7:I$108,'Pag 06_Bolsas_APROVADO'!A23,'Página 02_Retorno'!L$7:L$108,'Pag 08_Legendas'!C$7)</f>
        <v>0</v>
      </c>
      <c r="E23" s="22">
        <f>SUMIFS('Página 02_Retorno'!Q$7:Q$108,'Página 02_Retorno'!I$7:I$108,'Pag 06_Bolsas_APROVADO'!A23,'Página 02_Retorno'!L$7:L$108,'Pag 08_Legendas'!C$7)</f>
        <v>0</v>
      </c>
      <c r="F23" s="22">
        <f>SUMIFS('Página 02_Retorno'!R$7:R$108,'Página 02_Retorno'!I$7:I$108,'Pag 06_Bolsas_APROVADO'!A23,'Página 02_Retorno'!L$7:L$108,'Pag 08_Legendas'!C$7)</f>
        <v>0</v>
      </c>
      <c r="G23" s="22">
        <f>SUMIFS('Página 02_Retorno'!S$7:S$108,'Página 02_Retorno'!I$7:I$108,'Pag 06_Bolsas_APROVADO'!A23,'Página 02_Retorno'!L$7:L$108,'Pag 08_Legendas'!C$7)</f>
        <v>0</v>
      </c>
      <c r="H23" s="22">
        <f>SUMIFS('Página 02_Retorno'!T$7:T$108,'Página 02_Retorno'!I$7:I$108,'Pag 06_Bolsas_APROVADO'!A23,'Página 02_Retorno'!L$7:L$108,'Pag 08_Legendas'!C$7)</f>
        <v>0</v>
      </c>
      <c r="I23" s="22">
        <f t="shared" si="2"/>
        <v>0</v>
      </c>
      <c r="J23" s="86">
        <f>SUMIFS('Página 02_Retorno'!U$7:U$108,'Página 02_Retorno'!I$7:I$108,'Pag 06_Bolsas_APROVADO'!A23,'Página 02_Retorno'!L$7:L$108,'Pag 08_Legendas'!C$7,'Página 02_Retorno'!B$7:B$108,'Página 01_Cadastro'!B$2)</f>
        <v>0</v>
      </c>
      <c r="K23" s="21">
        <f>COUNTIFS('Página 02_Retorno'!I$7:I$108,'Pag 06_Bolsas_APROVADO'!A23,'Página 02_Retorno'!C$7:C$108,"S",'Página 02_Retorno'!L$7:L$108,'Pag 08_Legendas'!C$7,'Página 02_Retorno'!B$7:B$108,'Página 01_Cadastro'!B$2)</f>
        <v>0</v>
      </c>
    </row>
    <row r="24" spans="1:11" x14ac:dyDescent="0.2">
      <c r="A24" s="20" t="s">
        <v>4</v>
      </c>
      <c r="B24" s="21">
        <f>COUNTIFS('Página 02_Retorno'!I$7:I$108,'Pag 06_Bolsas_APROVADO'!A24,'Página 02_Retorno'!C$7:C$108,"S",'Página 02_Retorno'!L$7:L$108,'Pag 08_Legendas'!C$7)</f>
        <v>0</v>
      </c>
      <c r="C24" s="22">
        <f>SUMIFS('Página 02_Retorno'!O$7:O$108,'Página 02_Retorno'!I$7:I$108,'Pag 06_Bolsas_APROVADO'!A24,'Página 02_Retorno'!L$7:L$108,'Pag 08_Legendas'!C$7)</f>
        <v>0</v>
      </c>
      <c r="D24" s="22">
        <f>SUMIFS('Página 02_Retorno'!P$7:P$108,'Página 02_Retorno'!I$7:I$108,'Pag 06_Bolsas_APROVADO'!A24,'Página 02_Retorno'!L$7:L$108,'Pag 08_Legendas'!C$7)</f>
        <v>0</v>
      </c>
      <c r="E24" s="22">
        <f>SUMIFS('Página 02_Retorno'!Q$7:Q$108,'Página 02_Retorno'!I$7:I$108,'Pag 06_Bolsas_APROVADO'!A24,'Página 02_Retorno'!L$7:L$108,'Pag 08_Legendas'!C$7)</f>
        <v>0</v>
      </c>
      <c r="F24" s="22">
        <f>SUMIFS('Página 02_Retorno'!R$7:R$108,'Página 02_Retorno'!I$7:I$108,'Pag 06_Bolsas_APROVADO'!A24,'Página 02_Retorno'!L$7:L$108,'Pag 08_Legendas'!C$7)</f>
        <v>0</v>
      </c>
      <c r="G24" s="22">
        <f>SUMIFS('Página 02_Retorno'!S$7:S$108,'Página 02_Retorno'!I$7:I$108,'Pag 06_Bolsas_APROVADO'!A24,'Página 02_Retorno'!L$7:L$108,'Pag 08_Legendas'!C$7)</f>
        <v>0</v>
      </c>
      <c r="H24" s="22">
        <f>SUMIFS('Página 02_Retorno'!T$7:T$108,'Página 02_Retorno'!I$7:I$108,'Pag 06_Bolsas_APROVADO'!A24,'Página 02_Retorno'!L$7:L$108,'Pag 08_Legendas'!C$7)</f>
        <v>0</v>
      </c>
      <c r="I24" s="22">
        <f t="shared" si="2"/>
        <v>0</v>
      </c>
      <c r="J24" s="86">
        <f>SUMIFS('Página 02_Retorno'!U$7:U$108,'Página 02_Retorno'!I$7:I$108,'Pag 06_Bolsas_APROVADO'!A24,'Página 02_Retorno'!L$7:L$108,'Pag 08_Legendas'!C$7,'Página 02_Retorno'!B$7:B$108,'Página 01_Cadastro'!B$2)</f>
        <v>0</v>
      </c>
      <c r="K24" s="21">
        <f>COUNTIFS('Página 02_Retorno'!I$7:I$108,'Pag 06_Bolsas_APROVADO'!A24,'Página 02_Retorno'!C$7:C$108,"S",'Página 02_Retorno'!L$7:L$108,'Pag 08_Legendas'!C$7,'Página 02_Retorno'!B$7:B$108,'Página 01_Cadastro'!B$2)</f>
        <v>0</v>
      </c>
    </row>
    <row r="25" spans="1:11" x14ac:dyDescent="0.2">
      <c r="A25" s="20" t="s">
        <v>3</v>
      </c>
      <c r="B25" s="21">
        <f>COUNTIFS('Página 02_Retorno'!I$7:I$108,'Pag 06_Bolsas_APROVADO'!A25,'Página 02_Retorno'!C$7:C$108,"S",'Página 02_Retorno'!L$7:L$108,'Pag 08_Legendas'!C$7)</f>
        <v>0</v>
      </c>
      <c r="C25" s="22">
        <f>SUMIFS('Página 02_Retorno'!O$7:O$108,'Página 02_Retorno'!I$7:I$108,'Pag 06_Bolsas_APROVADO'!A25,'Página 02_Retorno'!L$7:L$108,'Pag 08_Legendas'!C$7)</f>
        <v>0</v>
      </c>
      <c r="D25" s="22">
        <f>SUMIFS('Página 02_Retorno'!P$7:P$108,'Página 02_Retorno'!I$7:I$108,'Pag 06_Bolsas_APROVADO'!A25,'Página 02_Retorno'!L$7:L$108,'Pag 08_Legendas'!C$7)</f>
        <v>0</v>
      </c>
      <c r="E25" s="22">
        <f>SUMIFS('Página 02_Retorno'!Q$7:Q$108,'Página 02_Retorno'!I$7:I$108,'Pag 06_Bolsas_APROVADO'!A25,'Página 02_Retorno'!L$7:L$108,'Pag 08_Legendas'!C$7)</f>
        <v>0</v>
      </c>
      <c r="F25" s="22">
        <f>SUMIFS('Página 02_Retorno'!R$7:R$108,'Página 02_Retorno'!I$7:I$108,'Pag 06_Bolsas_APROVADO'!A25,'Página 02_Retorno'!L$7:L$108,'Pag 08_Legendas'!C$7)</f>
        <v>0</v>
      </c>
      <c r="G25" s="22">
        <f>SUMIFS('Página 02_Retorno'!S$7:S$108,'Página 02_Retorno'!I$7:I$108,'Pag 06_Bolsas_APROVADO'!A25,'Página 02_Retorno'!L$7:L$108,'Pag 08_Legendas'!C$7)</f>
        <v>0</v>
      </c>
      <c r="H25" s="22">
        <f>SUMIFS('Página 02_Retorno'!T$7:T$108,'Página 02_Retorno'!I$7:I$108,'Pag 06_Bolsas_APROVADO'!A25,'Página 02_Retorno'!L$7:L$108,'Pag 08_Legendas'!C$7)</f>
        <v>0</v>
      </c>
      <c r="I25" s="22">
        <f t="shared" si="2"/>
        <v>0</v>
      </c>
      <c r="J25" s="86">
        <f>SUMIFS('Página 02_Retorno'!U$7:U$108,'Página 02_Retorno'!I$7:I$108,'Pag 06_Bolsas_APROVADO'!A25,'Página 02_Retorno'!L$7:L$108,'Pag 08_Legendas'!C$7,'Página 02_Retorno'!B$7:B$108,'Página 01_Cadastro'!B$2)</f>
        <v>0</v>
      </c>
      <c r="K25" s="21">
        <f>COUNTIFS('Página 02_Retorno'!I$7:I$108,'Pag 06_Bolsas_APROVADO'!A25,'Página 02_Retorno'!C$7:C$108,"S",'Página 02_Retorno'!L$7:L$108,'Pag 08_Legendas'!C$7,'Página 02_Retorno'!B$7:B$108,'Página 01_Cadastro'!B$2)</f>
        <v>0</v>
      </c>
    </row>
    <row r="26" spans="1:11" x14ac:dyDescent="0.2">
      <c r="A26" s="32" t="s">
        <v>6</v>
      </c>
      <c r="B26" s="31">
        <f>SUM(B19:B25)</f>
        <v>0</v>
      </c>
      <c r="C26" s="33">
        <f t="shared" ref="C26:H26" si="3">SUM(C19:C25)</f>
        <v>0</v>
      </c>
      <c r="D26" s="33">
        <f t="shared" si="3"/>
        <v>0</v>
      </c>
      <c r="E26" s="33">
        <f t="shared" si="3"/>
        <v>0</v>
      </c>
      <c r="F26" s="33">
        <f t="shared" si="3"/>
        <v>0</v>
      </c>
      <c r="G26" s="33">
        <f t="shared" si="3"/>
        <v>0</v>
      </c>
      <c r="H26" s="33">
        <f t="shared" si="3"/>
        <v>0</v>
      </c>
      <c r="I26" s="33">
        <f t="shared" si="2"/>
        <v>0</v>
      </c>
      <c r="J26" s="34">
        <f>SUM(J19:J25)</f>
        <v>0</v>
      </c>
      <c r="K26" s="31">
        <f>SUM(K19:K25)</f>
        <v>0</v>
      </c>
    </row>
    <row r="28" spans="1:11" x14ac:dyDescent="0.2">
      <c r="A28" s="174" t="s">
        <v>131</v>
      </c>
      <c r="B28" s="174"/>
      <c r="C28" s="174"/>
      <c r="D28" s="174"/>
      <c r="E28" s="174"/>
      <c r="F28" s="174"/>
      <c r="G28" s="174"/>
      <c r="H28" s="174"/>
      <c r="I28" s="174"/>
    </row>
    <row r="30" spans="1:11" ht="51" x14ac:dyDescent="0.2">
      <c r="A30" s="35" t="s">
        <v>25</v>
      </c>
      <c r="B30" s="36" t="s">
        <v>27</v>
      </c>
      <c r="C30" s="36" t="s">
        <v>16</v>
      </c>
      <c r="D30" s="37" t="s">
        <v>17</v>
      </c>
      <c r="E30" s="37" t="s">
        <v>18</v>
      </c>
      <c r="F30" s="37" t="s">
        <v>19</v>
      </c>
      <c r="G30" s="37" t="s">
        <v>20</v>
      </c>
      <c r="H30" s="37" t="s">
        <v>21</v>
      </c>
      <c r="I30" s="37" t="s">
        <v>28</v>
      </c>
      <c r="J30" s="37" t="s">
        <v>126</v>
      </c>
      <c r="K30" s="37" t="s">
        <v>127</v>
      </c>
    </row>
    <row r="31" spans="1:11" x14ac:dyDescent="0.2">
      <c r="A31" s="20" t="s">
        <v>0</v>
      </c>
      <c r="B31" s="21">
        <f>COUNTIFS('Página 02_Retorno'!I$7:I$108,'Pag 06_Bolsas_APROVADO'!A31,'Página 02_Retorno'!C$7:C$108,"S",'Página 02_Retorno'!L$7:L$108,'Pag 08_Legendas'!C$3)</f>
        <v>0</v>
      </c>
      <c r="C31" s="22">
        <f>SUMIFS('Página 02_Retorno'!O$7:O$108,'Página 02_Retorno'!I$7:I$108,'Pag 06_Bolsas_APROVADO'!A31,'Página 02_Retorno'!L$7:L$108,'Pag 08_Legendas'!C$3)</f>
        <v>0</v>
      </c>
      <c r="D31" s="22">
        <f>SUMIFS('Página 02_Retorno'!P$7:P$108,'Página 02_Retorno'!I$7:I$108,'Pag 06_Bolsas_APROVADO'!A31,'Página 02_Retorno'!L$7:L$108,'Pag 08_Legendas'!C$3)</f>
        <v>0</v>
      </c>
      <c r="E31" s="22">
        <f>SUMIFS('Página 02_Retorno'!Q$7:Q$108,'Página 02_Retorno'!I$7:I$108,'Pag 06_Bolsas_APROVADO'!A31,'Página 02_Retorno'!L$7:L$108,'Pag 08_Legendas'!C$3)</f>
        <v>0</v>
      </c>
      <c r="F31" s="22">
        <f>SUMIFS('Página 02_Retorno'!R$7:R$108,'Página 02_Retorno'!I$7:I$108,'Pag 06_Bolsas_APROVADO'!A31,'Página 02_Retorno'!L$7:L$108,'Pag 08_Legendas'!C$3)</f>
        <v>0</v>
      </c>
      <c r="G31" s="22">
        <f>SUMIFS('Página 02_Retorno'!S$7:S$108,'Página 02_Retorno'!I$7:I$108,'Pag 06_Bolsas_APROVADO'!A31,'Página 02_Retorno'!L$7:L$108,'Pag 08_Legendas'!C$3)</f>
        <v>0</v>
      </c>
      <c r="H31" s="22">
        <f>SUMIFS('Página 02_Retorno'!T$7:T$108,'Página 02_Retorno'!I$7:I$108,'Pag 06_Bolsas_APROVADO'!A31,'Página 02_Retorno'!L$7:L$108,'Pag 08_Legendas'!C$3)</f>
        <v>0</v>
      </c>
      <c r="I31" s="22">
        <f>SUM(C31:H31)</f>
        <v>0</v>
      </c>
      <c r="J31" s="86">
        <f>SUMIFS('Página 02_Retorno'!U$7:U$108,'Página 02_Retorno'!I$7:I$108,'Pag 06_Bolsas_APROVADO'!A31,'Página 02_Retorno'!L$7:L$108,'Pag 08_Legendas'!C$3,'Página 02_Retorno'!B$7:B$108,'Página 01_Cadastro'!B$2)</f>
        <v>0</v>
      </c>
      <c r="K31" s="21">
        <f>COUNTIFS('Página 02_Retorno'!I$7:I$108,'Pag 06_Bolsas_APROVADO'!A31,'Página 02_Retorno'!C$7:C$108,"S",'Página 02_Retorno'!L$7:L$108,'Pag 08_Legendas'!C$3,'Página 02_Retorno'!B$7:B$108,'Página 01_Cadastro'!B$2)</f>
        <v>0</v>
      </c>
    </row>
    <row r="32" spans="1:11" x14ac:dyDescent="0.2">
      <c r="A32" s="20" t="s">
        <v>5</v>
      </c>
      <c r="B32" s="21">
        <f>COUNTIFS('Página 02_Retorno'!I$7:I$108,'Pag 06_Bolsas_APROVADO'!A32,'Página 02_Retorno'!C$7:C$108,"S",'Página 02_Retorno'!L$7:L$108,'Pag 08_Legendas'!C$3)</f>
        <v>0</v>
      </c>
      <c r="C32" s="22">
        <f>SUMIFS('Página 02_Retorno'!O$7:O$108,'Página 02_Retorno'!I$7:I$108,'Pag 06_Bolsas_APROVADO'!A32,'Página 02_Retorno'!L$7:L$108,'Pag 08_Legendas'!C$3)</f>
        <v>0</v>
      </c>
      <c r="D32" s="22">
        <f>SUMIFS('Página 02_Retorno'!P$7:P$108,'Página 02_Retorno'!I$7:I$108,'Pag 06_Bolsas_APROVADO'!A32,'Página 02_Retorno'!L$7:L$108,'Pag 08_Legendas'!C$3)</f>
        <v>0</v>
      </c>
      <c r="E32" s="22">
        <f>SUMIFS('Página 02_Retorno'!Q$7:Q$108,'Página 02_Retorno'!I$7:I$108,'Pag 06_Bolsas_APROVADO'!A32,'Página 02_Retorno'!L$7:L$108,'Pag 08_Legendas'!C$3)</f>
        <v>0</v>
      </c>
      <c r="F32" s="22">
        <f>SUMIFS('Página 02_Retorno'!R$7:R$108,'Página 02_Retorno'!I$7:I$108,'Pag 06_Bolsas_APROVADO'!A32,'Página 02_Retorno'!L$7:L$108,'Pag 08_Legendas'!C$3)</f>
        <v>0</v>
      </c>
      <c r="G32" s="22">
        <f>SUMIFS('Página 02_Retorno'!S$7:S$108,'Página 02_Retorno'!I$7:I$108,'Pag 06_Bolsas_APROVADO'!A32,'Página 02_Retorno'!L$7:L$108,'Pag 08_Legendas'!C$3)</f>
        <v>0</v>
      </c>
      <c r="H32" s="22">
        <f>SUMIFS('Página 02_Retorno'!T$7:T$108,'Página 02_Retorno'!I$7:I$108,'Pag 06_Bolsas_APROVADO'!A32,'Página 02_Retorno'!L$7:L$108,'Pag 08_Legendas'!C$3)</f>
        <v>0</v>
      </c>
      <c r="I32" s="22">
        <f>SUM(C32:H32)</f>
        <v>0</v>
      </c>
      <c r="J32" s="86">
        <f>SUMIFS('Página 02_Retorno'!U$7:U$108,'Página 02_Retorno'!I$7:I$108,'Pag 06_Bolsas_APROVADO'!A32,'Página 02_Retorno'!L$7:L$108,'Pag 08_Legendas'!C$3,'Página 02_Retorno'!B$7:B$108,'Página 01_Cadastro'!B$2)</f>
        <v>0</v>
      </c>
      <c r="K32" s="21">
        <f>COUNTIFS('Página 02_Retorno'!I$7:I$108,'Pag 06_Bolsas_APROVADO'!A32,'Página 02_Retorno'!C$7:C$108,"S",'Página 02_Retorno'!L$7:L$108,'Pag 08_Legendas'!C$3,'Página 02_Retorno'!B$7:B$108,'Página 01_Cadastro'!B$2)</f>
        <v>0</v>
      </c>
    </row>
    <row r="33" spans="1:11" x14ac:dyDescent="0.2">
      <c r="A33" s="20" t="s">
        <v>1</v>
      </c>
      <c r="B33" s="21">
        <f>COUNTIFS('Página 02_Retorno'!I$7:I$108,'Pag 06_Bolsas_APROVADO'!A33,'Página 02_Retorno'!C$7:C$108,"S",'Página 02_Retorno'!L$7:L$108,'Pag 08_Legendas'!C$3)</f>
        <v>0</v>
      </c>
      <c r="C33" s="22">
        <f>SUMIFS('Página 02_Retorno'!O$7:O$108,'Página 02_Retorno'!I$7:I$108,'Pag 06_Bolsas_APROVADO'!A33,'Página 02_Retorno'!L$7:L$108,'Pag 08_Legendas'!C$3)</f>
        <v>0</v>
      </c>
      <c r="D33" s="22">
        <f>SUMIFS('Página 02_Retorno'!P$7:P$108,'Página 02_Retorno'!I$7:I$108,'Pag 06_Bolsas_APROVADO'!A33,'Página 02_Retorno'!L$7:L$108,'Pag 08_Legendas'!C$3)</f>
        <v>0</v>
      </c>
      <c r="E33" s="22">
        <f>SUMIFS('Página 02_Retorno'!Q$7:Q$108,'Página 02_Retorno'!I$7:I$108,'Pag 06_Bolsas_APROVADO'!A33,'Página 02_Retorno'!L$7:L$108,'Pag 08_Legendas'!C$3)</f>
        <v>0</v>
      </c>
      <c r="F33" s="22">
        <f>SUMIFS('Página 02_Retorno'!R$7:R$108,'Página 02_Retorno'!I$7:I$108,'Pag 06_Bolsas_APROVADO'!A33,'Página 02_Retorno'!L$7:L$108,'Pag 08_Legendas'!C$3)</f>
        <v>0</v>
      </c>
      <c r="G33" s="22">
        <f>SUMIFS('Página 02_Retorno'!S$7:S$108,'Página 02_Retorno'!I$7:I$108,'Pag 06_Bolsas_APROVADO'!A33,'Página 02_Retorno'!L$7:L$108,'Pag 08_Legendas'!C$3)</f>
        <v>0</v>
      </c>
      <c r="H33" s="22">
        <f>SUMIFS('Página 02_Retorno'!T$7:T$108,'Página 02_Retorno'!I$7:I$108,'Pag 06_Bolsas_APROVADO'!A33,'Página 02_Retorno'!L$7:L$108,'Pag 08_Legendas'!C$3)</f>
        <v>0</v>
      </c>
      <c r="I33" s="22">
        <f t="shared" ref="I33:I38" si="4">SUM(C33:H33)</f>
        <v>0</v>
      </c>
      <c r="J33" s="86">
        <f>SUMIFS('Página 02_Retorno'!U$7:U$108,'Página 02_Retorno'!I$7:I$108,'Pag 06_Bolsas_APROVADO'!A33,'Página 02_Retorno'!L$7:L$108,'Pag 08_Legendas'!C$3,'Página 02_Retorno'!B$7:B$108,'Página 01_Cadastro'!B$2)</f>
        <v>0</v>
      </c>
      <c r="K33" s="21">
        <f>COUNTIFS('Página 02_Retorno'!I$7:I$108,'Pag 06_Bolsas_APROVADO'!A33,'Página 02_Retorno'!C$7:C$108,"S",'Página 02_Retorno'!L$7:L$108,'Pag 08_Legendas'!C$3,'Página 02_Retorno'!B$7:B$108,'Página 01_Cadastro'!B$2)</f>
        <v>0</v>
      </c>
    </row>
    <row r="34" spans="1:11" x14ac:dyDescent="0.2">
      <c r="A34" s="20" t="s">
        <v>26</v>
      </c>
      <c r="B34" s="21">
        <f>COUNTIFS('Página 02_Retorno'!I$7:I$108,'Pag 06_Bolsas_APROVADO'!A34,'Página 02_Retorno'!C$7:C$108,"S",'Página 02_Retorno'!L$7:L$108,'Pag 08_Legendas'!C$3)</f>
        <v>0</v>
      </c>
      <c r="C34" s="22">
        <f>SUMIFS('Página 02_Retorno'!O$7:O$108,'Página 02_Retorno'!I$7:I$108,'Pag 06_Bolsas_APROVADO'!A34,'Página 02_Retorno'!L$7:L$108,'Pag 08_Legendas'!C$3)</f>
        <v>0</v>
      </c>
      <c r="D34" s="22">
        <f>SUMIFS('Página 02_Retorno'!P$7:P$108,'Página 02_Retorno'!I$7:I$108,'Pag 06_Bolsas_APROVADO'!A34,'Página 02_Retorno'!L$7:L$108,'Pag 08_Legendas'!C$3)</f>
        <v>0</v>
      </c>
      <c r="E34" s="22">
        <f>SUMIFS('Página 02_Retorno'!Q$7:Q$108,'Página 02_Retorno'!I$7:I$108,'Pag 06_Bolsas_APROVADO'!A34,'Página 02_Retorno'!L$7:L$108,'Pag 08_Legendas'!C$3)</f>
        <v>0</v>
      </c>
      <c r="F34" s="22">
        <f>SUMIFS('Página 02_Retorno'!R$7:R$108,'Página 02_Retorno'!I$7:I$108,'Pag 06_Bolsas_APROVADO'!A34,'Página 02_Retorno'!L$7:L$108,'Pag 08_Legendas'!C$3)</f>
        <v>0</v>
      </c>
      <c r="G34" s="22">
        <f>SUMIFS('Página 02_Retorno'!S$7:S$108,'Página 02_Retorno'!I$7:I$108,'Pag 06_Bolsas_APROVADO'!A34,'Página 02_Retorno'!L$7:L$108,'Pag 08_Legendas'!C$3)</f>
        <v>0</v>
      </c>
      <c r="H34" s="22">
        <f>SUMIFS('Página 02_Retorno'!T$7:T$108,'Página 02_Retorno'!I$7:I$108,'Pag 06_Bolsas_APROVADO'!A34,'Página 02_Retorno'!L$7:L$108,'Pag 08_Legendas'!C$3)</f>
        <v>0</v>
      </c>
      <c r="I34" s="22">
        <f t="shared" si="4"/>
        <v>0</v>
      </c>
      <c r="J34" s="86">
        <f>SUMIFS('Página 02_Retorno'!U$7:U$108,'Página 02_Retorno'!I$7:I$108,'Pag 06_Bolsas_APROVADO'!A34,'Página 02_Retorno'!L$7:L$108,'Pag 08_Legendas'!C$3,'Página 02_Retorno'!B$7:B$108,'Página 01_Cadastro'!B$2)</f>
        <v>0</v>
      </c>
      <c r="K34" s="21">
        <f>COUNTIFS('Página 02_Retorno'!I$7:I$108,'Pag 06_Bolsas_APROVADO'!A34,'Página 02_Retorno'!C$7:C$108,"S",'Página 02_Retorno'!L$7:L$108,'Pag 08_Legendas'!C$3,'Página 02_Retorno'!B$7:B$108,'Página 01_Cadastro'!B$2)</f>
        <v>0</v>
      </c>
    </row>
    <row r="35" spans="1:11" x14ac:dyDescent="0.2">
      <c r="A35" s="20" t="s">
        <v>2</v>
      </c>
      <c r="B35" s="21">
        <f>COUNTIFS('Página 02_Retorno'!I$7:I$108,'Pag 06_Bolsas_APROVADO'!A35,'Página 02_Retorno'!C$7:C$108,"S",'Página 02_Retorno'!L$7:L$108,'Pag 08_Legendas'!C$3)</f>
        <v>0</v>
      </c>
      <c r="C35" s="22">
        <f>SUMIFS('Página 02_Retorno'!O$7:O$108,'Página 02_Retorno'!I$7:I$108,'Pag 06_Bolsas_APROVADO'!A35,'Página 02_Retorno'!L$7:L$108,'Pag 08_Legendas'!C$3)</f>
        <v>0</v>
      </c>
      <c r="D35" s="22">
        <f>SUMIFS('Página 02_Retorno'!P$7:P$108,'Página 02_Retorno'!I$7:I$108,'Pag 06_Bolsas_APROVADO'!A35,'Página 02_Retorno'!L$7:L$108,'Pag 08_Legendas'!C$3)</f>
        <v>0</v>
      </c>
      <c r="E35" s="22">
        <f>SUMIFS('Página 02_Retorno'!Q$7:Q$108,'Página 02_Retorno'!I$7:I$108,'Pag 06_Bolsas_APROVADO'!A35,'Página 02_Retorno'!L$7:L$108,'Pag 08_Legendas'!C$3)</f>
        <v>0</v>
      </c>
      <c r="F35" s="22">
        <f>SUMIFS('Página 02_Retorno'!R$7:R$108,'Página 02_Retorno'!I$7:I$108,'Pag 06_Bolsas_APROVADO'!A35,'Página 02_Retorno'!L$7:L$108,'Pag 08_Legendas'!C$3)</f>
        <v>0</v>
      </c>
      <c r="G35" s="22">
        <f>SUMIFS('Página 02_Retorno'!S$7:S$108,'Página 02_Retorno'!I$7:I$108,'Pag 06_Bolsas_APROVADO'!A35,'Página 02_Retorno'!L$7:L$108,'Pag 08_Legendas'!C$3)</f>
        <v>0</v>
      </c>
      <c r="H35" s="22">
        <f>SUMIFS('Página 02_Retorno'!T$7:T$108,'Página 02_Retorno'!I$7:I$108,'Pag 06_Bolsas_APROVADO'!A35,'Página 02_Retorno'!L$7:L$108,'Pag 08_Legendas'!C$3)</f>
        <v>0</v>
      </c>
      <c r="I35" s="22">
        <f t="shared" si="4"/>
        <v>0</v>
      </c>
      <c r="J35" s="86">
        <f>SUMIFS('Página 02_Retorno'!U$7:U$108,'Página 02_Retorno'!I$7:I$108,'Pag 06_Bolsas_APROVADO'!A35,'Página 02_Retorno'!L$7:L$108,'Pag 08_Legendas'!C$3,'Página 02_Retorno'!B$7:B$108,'Página 01_Cadastro'!B$2)</f>
        <v>0</v>
      </c>
      <c r="K35" s="21">
        <f>COUNTIFS('Página 02_Retorno'!I$7:I$108,'Pag 06_Bolsas_APROVADO'!A35,'Página 02_Retorno'!C$7:C$108,"S",'Página 02_Retorno'!L$7:L$108,'Pag 08_Legendas'!C$3,'Página 02_Retorno'!B$7:B$108,'Página 01_Cadastro'!B$2)</f>
        <v>0</v>
      </c>
    </row>
    <row r="36" spans="1:11" x14ac:dyDescent="0.2">
      <c r="A36" s="20" t="s">
        <v>4</v>
      </c>
      <c r="B36" s="21">
        <f>COUNTIFS('Página 02_Retorno'!I$7:I$108,'Pag 06_Bolsas_APROVADO'!A36,'Página 02_Retorno'!C$7:C$108,"S",'Página 02_Retorno'!L$7:L$108,'Pag 08_Legendas'!C$3)</f>
        <v>0</v>
      </c>
      <c r="C36" s="22">
        <f>SUMIFS('Página 02_Retorno'!O$7:O$108,'Página 02_Retorno'!I$7:I$108,'Pag 06_Bolsas_APROVADO'!A36,'Página 02_Retorno'!L$7:L$108,'Pag 08_Legendas'!C$3)</f>
        <v>0</v>
      </c>
      <c r="D36" s="22">
        <f>SUMIFS('Página 02_Retorno'!P$7:P$108,'Página 02_Retorno'!I$7:I$108,'Pag 06_Bolsas_APROVADO'!A36,'Página 02_Retorno'!L$7:L$108,'Pag 08_Legendas'!C$3)</f>
        <v>0</v>
      </c>
      <c r="E36" s="22">
        <f>SUMIFS('Página 02_Retorno'!Q$7:Q$108,'Página 02_Retorno'!I$7:I$108,'Pag 06_Bolsas_APROVADO'!A36,'Página 02_Retorno'!L$7:L$108,'Pag 08_Legendas'!C$3)</f>
        <v>0</v>
      </c>
      <c r="F36" s="22">
        <f>SUMIFS('Página 02_Retorno'!R$7:R$108,'Página 02_Retorno'!I$7:I$108,'Pag 06_Bolsas_APROVADO'!A36,'Página 02_Retorno'!L$7:L$108,'Pag 08_Legendas'!C$3)</f>
        <v>0</v>
      </c>
      <c r="G36" s="22">
        <f>SUMIFS('Página 02_Retorno'!S$7:S$108,'Página 02_Retorno'!I$7:I$108,'Pag 06_Bolsas_APROVADO'!A36,'Página 02_Retorno'!L$7:L$108,'Pag 08_Legendas'!C$3)</f>
        <v>0</v>
      </c>
      <c r="H36" s="22">
        <f>SUMIFS('Página 02_Retorno'!T$7:T$108,'Página 02_Retorno'!I$7:I$108,'Pag 06_Bolsas_APROVADO'!A36,'Página 02_Retorno'!L$7:L$108,'Pag 08_Legendas'!C$3)</f>
        <v>0</v>
      </c>
      <c r="I36" s="22">
        <f t="shared" si="4"/>
        <v>0</v>
      </c>
      <c r="J36" s="86">
        <f>SUMIFS('Página 02_Retorno'!U$7:U$108,'Página 02_Retorno'!I$7:I$108,'Pag 06_Bolsas_APROVADO'!A36,'Página 02_Retorno'!L$7:L$108,'Pag 08_Legendas'!C$3,'Página 02_Retorno'!B$7:B$108,'Página 01_Cadastro'!B$2)</f>
        <v>0</v>
      </c>
      <c r="K36" s="21">
        <f>COUNTIFS('Página 02_Retorno'!I$7:I$108,'Pag 06_Bolsas_APROVADO'!A36,'Página 02_Retorno'!C$7:C$108,"S",'Página 02_Retorno'!L$7:L$108,'Pag 08_Legendas'!C$3,'Página 02_Retorno'!B$7:B$108,'Página 01_Cadastro'!B$2)</f>
        <v>0</v>
      </c>
    </row>
    <row r="37" spans="1:11" x14ac:dyDescent="0.2">
      <c r="A37" s="20" t="s">
        <v>3</v>
      </c>
      <c r="B37" s="21">
        <f>COUNTIFS('Página 02_Retorno'!I$7:I$108,'Pag 06_Bolsas_APROVADO'!A37,'Página 02_Retorno'!C$7:C$108,"S",'Página 02_Retorno'!L$7:L$108,'Pag 08_Legendas'!C$3)</f>
        <v>0</v>
      </c>
      <c r="C37" s="22">
        <f>SUMIFS('Página 02_Retorno'!O$7:O$108,'Página 02_Retorno'!I$7:I$108,'Pag 06_Bolsas_APROVADO'!A37,'Página 02_Retorno'!L$7:L$108,'Pag 08_Legendas'!C$3)</f>
        <v>0</v>
      </c>
      <c r="D37" s="22">
        <f>SUMIFS('Página 02_Retorno'!P$7:P$108,'Página 02_Retorno'!I$7:I$108,'Pag 06_Bolsas_APROVADO'!A37,'Página 02_Retorno'!L$7:L$108,'Pag 08_Legendas'!C$3)</f>
        <v>0</v>
      </c>
      <c r="E37" s="22">
        <f>SUMIFS('Página 02_Retorno'!Q$7:Q$108,'Página 02_Retorno'!I$7:I$108,'Pag 06_Bolsas_APROVADO'!A37,'Página 02_Retorno'!L$7:L$108,'Pag 08_Legendas'!C$3)</f>
        <v>0</v>
      </c>
      <c r="F37" s="22">
        <f>SUMIFS('Página 02_Retorno'!R$7:R$108,'Página 02_Retorno'!I$7:I$108,'Pag 06_Bolsas_APROVADO'!A37,'Página 02_Retorno'!L$7:L$108,'Pag 08_Legendas'!C$3)</f>
        <v>0</v>
      </c>
      <c r="G37" s="22">
        <f>SUMIFS('Página 02_Retorno'!S$7:S$108,'Página 02_Retorno'!I$7:I$108,'Pag 06_Bolsas_APROVADO'!A37,'Página 02_Retorno'!L$7:L$108,'Pag 08_Legendas'!C$3)</f>
        <v>0</v>
      </c>
      <c r="H37" s="22">
        <f>SUMIFS('Página 02_Retorno'!T$7:T$108,'Página 02_Retorno'!I$7:I$108,'Pag 06_Bolsas_APROVADO'!A37,'Página 02_Retorno'!L$7:L$108,'Pag 08_Legendas'!C$3)</f>
        <v>0</v>
      </c>
      <c r="I37" s="22">
        <f t="shared" si="4"/>
        <v>0</v>
      </c>
      <c r="J37" s="86">
        <f>SUMIFS('Página 02_Retorno'!U$7:U$108,'Página 02_Retorno'!I$7:I$108,'Pag 06_Bolsas_APROVADO'!A37,'Página 02_Retorno'!L$7:L$108,'Pag 08_Legendas'!C$3,'Página 02_Retorno'!B$7:B$108,'Página 01_Cadastro'!B$2)</f>
        <v>0</v>
      </c>
      <c r="K37" s="21">
        <f>COUNTIFS('Página 02_Retorno'!I$7:I$108,'Pag 06_Bolsas_APROVADO'!A37,'Página 02_Retorno'!C$7:C$108,"S",'Página 02_Retorno'!L$7:L$108,'Pag 08_Legendas'!C$3,'Página 02_Retorno'!B$7:B$108,'Página 01_Cadastro'!B$2)</f>
        <v>0</v>
      </c>
    </row>
    <row r="38" spans="1:11" x14ac:dyDescent="0.2">
      <c r="A38" s="32" t="s">
        <v>6</v>
      </c>
      <c r="B38" s="31">
        <f t="shared" ref="B38:H38" si="5">SUM(B31:B37)</f>
        <v>0</v>
      </c>
      <c r="C38" s="33">
        <f t="shared" si="5"/>
        <v>0</v>
      </c>
      <c r="D38" s="33">
        <f t="shared" si="5"/>
        <v>0</v>
      </c>
      <c r="E38" s="33">
        <f t="shared" si="5"/>
        <v>0</v>
      </c>
      <c r="F38" s="33">
        <f t="shared" si="5"/>
        <v>0</v>
      </c>
      <c r="G38" s="33">
        <f t="shared" si="5"/>
        <v>0</v>
      </c>
      <c r="H38" s="33">
        <f t="shared" si="5"/>
        <v>0</v>
      </c>
      <c r="I38" s="33">
        <f t="shared" si="4"/>
        <v>0</v>
      </c>
      <c r="J38" s="34">
        <f>SUM(J31:J37)</f>
        <v>0</v>
      </c>
      <c r="K38" s="31">
        <f>SUM(K31:K37)</f>
        <v>0</v>
      </c>
    </row>
    <row r="40" spans="1:11" x14ac:dyDescent="0.2">
      <c r="A40" s="174" t="s">
        <v>132</v>
      </c>
      <c r="B40" s="174"/>
      <c r="C40" s="174"/>
      <c r="D40" s="174"/>
      <c r="E40" s="174"/>
      <c r="F40" s="174"/>
      <c r="G40" s="174"/>
      <c r="H40" s="174"/>
      <c r="I40" s="174"/>
    </row>
    <row r="42" spans="1:11" ht="51" x14ac:dyDescent="0.2">
      <c r="A42" s="35" t="s">
        <v>25</v>
      </c>
      <c r="B42" s="36" t="s">
        <v>27</v>
      </c>
      <c r="C42" s="36" t="s">
        <v>16</v>
      </c>
      <c r="D42" s="37" t="s">
        <v>17</v>
      </c>
      <c r="E42" s="37" t="s">
        <v>18</v>
      </c>
      <c r="F42" s="37" t="s">
        <v>19</v>
      </c>
      <c r="G42" s="37" t="s">
        <v>20</v>
      </c>
      <c r="H42" s="37" t="s">
        <v>21</v>
      </c>
      <c r="I42" s="37" t="s">
        <v>28</v>
      </c>
      <c r="J42" s="37" t="s">
        <v>126</v>
      </c>
      <c r="K42" s="37" t="s">
        <v>127</v>
      </c>
    </row>
    <row r="43" spans="1:11" x14ac:dyDescent="0.2">
      <c r="A43" s="20" t="s">
        <v>0</v>
      </c>
      <c r="B43" s="21">
        <f>COUNTIFS('Página 02_Retorno'!I$7:I$108,'Pag 06_Bolsas_APROVADO'!A43,'Página 02_Retorno'!C$7:C$108,"S",'Página 02_Retorno'!L$7:L$108,'Pag 08_Legendas'!C$5)</f>
        <v>0</v>
      </c>
      <c r="C43" s="22">
        <f>SUMIFS('Página 02_Retorno'!O$7:O$108,'Página 02_Retorno'!I$7:I$108,'Pag 06_Bolsas_APROVADO'!A43,'Página 02_Retorno'!L$7:L$108,'Pag 08_Legendas'!C$5)</f>
        <v>0</v>
      </c>
      <c r="D43" s="22">
        <f>SUMIFS('Página 02_Retorno'!P$7:P$108,'Página 02_Retorno'!I$7:I$108,'Pag 06_Bolsas_APROVADO'!A43,'Página 02_Retorno'!L$7:L$108,'Pag 08_Legendas'!C$5)</f>
        <v>0</v>
      </c>
      <c r="E43" s="22">
        <f>SUMIFS('Página 02_Retorno'!Q$7:Q$108,'Página 02_Retorno'!I$7:I$108,'Pag 06_Bolsas_APROVADO'!A43,'Página 02_Retorno'!L$7:L$108,'Pag 08_Legendas'!C$5)</f>
        <v>0</v>
      </c>
      <c r="F43" s="22">
        <f>SUMIFS('Página 02_Retorno'!R$7:R$108,'Página 02_Retorno'!I$7:I$108,'Pag 06_Bolsas_APROVADO'!A43,'Página 02_Retorno'!L$7:L$108,'Pag 08_Legendas'!C$5)</f>
        <v>0</v>
      </c>
      <c r="G43" s="22">
        <f>SUMIFS('Página 02_Retorno'!S$7:S$108,'Página 02_Retorno'!I$7:I$108,'Pag 06_Bolsas_APROVADO'!A43,'Página 02_Retorno'!L$7:L$108,'Pag 08_Legendas'!C$5)</f>
        <v>0</v>
      </c>
      <c r="H43" s="22">
        <f>SUMIFS('Página 02_Retorno'!T$7:T$108,'Página 02_Retorno'!I$7:I$108,'Pag 06_Bolsas_APROVADO'!A43,'Página 02_Retorno'!L$7:L$108,'Pag 08_Legendas'!C$5)</f>
        <v>0</v>
      </c>
      <c r="I43" s="22">
        <f>SUM(C43:H43)</f>
        <v>0</v>
      </c>
      <c r="J43" s="86">
        <f>SUMIFS('Página 02_Retorno'!U$7:U$108,'Página 02_Retorno'!I$7:I$108,'Pag 06_Bolsas_APROVADO'!A43,'Página 02_Retorno'!L$7:L$108,'Pag 08_Legendas'!C$5,'Página 02_Retorno'!B$7:B$108,'Página 01_Cadastro'!B$2)</f>
        <v>0</v>
      </c>
      <c r="K43" s="21">
        <f>COUNTIFS('Página 02_Retorno'!I$7:I$108,'Pag 06_Bolsas_APROVADO'!A43,'Página 02_Retorno'!C$7:C$108,"S",'Página 02_Retorno'!L$7:L$108,'Pag 08_Legendas'!C$5,'Página 02_Retorno'!B$7:B$108,'Página 01_Cadastro'!B$2)</f>
        <v>0</v>
      </c>
    </row>
    <row r="44" spans="1:11" x14ac:dyDescent="0.2">
      <c r="A44" s="20" t="s">
        <v>5</v>
      </c>
      <c r="B44" s="21">
        <f>COUNTIFS('Página 02_Retorno'!I$7:I$108,'Pag 06_Bolsas_APROVADO'!A44,'Página 02_Retorno'!C$7:C$108,"S",'Página 02_Retorno'!L$7:L$108,'Pag 08_Legendas'!C$5)</f>
        <v>0</v>
      </c>
      <c r="C44" s="22">
        <f>SUMIFS('Página 02_Retorno'!O$7:O$108,'Página 02_Retorno'!I$7:I$108,'Pag 06_Bolsas_APROVADO'!A44,'Página 02_Retorno'!L$7:L$108,'Pag 08_Legendas'!C$5)</f>
        <v>0</v>
      </c>
      <c r="D44" s="22">
        <f>SUMIFS('Página 02_Retorno'!P$7:P$108,'Página 02_Retorno'!I$7:I$108,'Pag 06_Bolsas_APROVADO'!A44,'Página 02_Retorno'!L$7:L$108,'Pag 08_Legendas'!C$5)</f>
        <v>0</v>
      </c>
      <c r="E44" s="22">
        <f>SUMIFS('Página 02_Retorno'!Q$7:Q$108,'Página 02_Retorno'!I$7:I$108,'Pag 06_Bolsas_APROVADO'!A44,'Página 02_Retorno'!L$7:L$108,'Pag 08_Legendas'!C$5)</f>
        <v>0</v>
      </c>
      <c r="F44" s="22">
        <f>SUMIFS('Página 02_Retorno'!R$7:R$108,'Página 02_Retorno'!I$7:I$108,'Pag 06_Bolsas_APROVADO'!A44,'Página 02_Retorno'!L$7:L$108,'Pag 08_Legendas'!C$5)</f>
        <v>0</v>
      </c>
      <c r="G44" s="22">
        <f>SUMIFS('Página 02_Retorno'!S$7:S$108,'Página 02_Retorno'!I$7:I$108,'Pag 06_Bolsas_APROVADO'!A44,'Página 02_Retorno'!L$7:L$108,'Pag 08_Legendas'!C$5)</f>
        <v>0</v>
      </c>
      <c r="H44" s="22">
        <f>SUMIFS('Página 02_Retorno'!T$7:T$108,'Página 02_Retorno'!I$7:I$108,'Pag 06_Bolsas_APROVADO'!A44,'Página 02_Retorno'!L$7:L$108,'Pag 08_Legendas'!C$5)</f>
        <v>0</v>
      </c>
      <c r="I44" s="22">
        <f t="shared" ref="I44:I50" si="6">SUM(C44:H44)</f>
        <v>0</v>
      </c>
      <c r="J44" s="86">
        <f>SUMIFS('Página 02_Retorno'!U$7:U$108,'Página 02_Retorno'!I$7:I$108,'Pag 06_Bolsas_APROVADO'!A44,'Página 02_Retorno'!L$7:L$108,'Pag 08_Legendas'!C$5,'Página 02_Retorno'!B$7:B$108,'Página 01_Cadastro'!B$2)</f>
        <v>0</v>
      </c>
      <c r="K44" s="21">
        <f>COUNTIFS('Página 02_Retorno'!I$7:I$108,'Pag 06_Bolsas_APROVADO'!A44,'Página 02_Retorno'!C$7:C$108,"S",'Página 02_Retorno'!L$7:L$108,'Pag 08_Legendas'!C$5,'Página 02_Retorno'!B$7:B$108,'Página 01_Cadastro'!B$2)</f>
        <v>0</v>
      </c>
    </row>
    <row r="45" spans="1:11" x14ac:dyDescent="0.2">
      <c r="A45" s="20" t="s">
        <v>1</v>
      </c>
      <c r="B45" s="21">
        <f>COUNTIFS('Página 02_Retorno'!I$7:I$108,'Pag 06_Bolsas_APROVADO'!A45,'Página 02_Retorno'!C$7:C$108,"S",'Página 02_Retorno'!L$7:L$108,'Pag 08_Legendas'!C$5)</f>
        <v>0</v>
      </c>
      <c r="C45" s="22">
        <f>SUMIFS('Página 02_Retorno'!O$7:O$108,'Página 02_Retorno'!I$7:I$108,'Pag 06_Bolsas_APROVADO'!A45,'Página 02_Retorno'!L$7:L$108,'Pag 08_Legendas'!C$5)</f>
        <v>0</v>
      </c>
      <c r="D45" s="22">
        <f>SUMIFS('Página 02_Retorno'!P$7:P$108,'Página 02_Retorno'!I$7:I$108,'Pag 06_Bolsas_APROVADO'!A45,'Página 02_Retorno'!L$7:L$108,'Pag 08_Legendas'!C$5)</f>
        <v>0</v>
      </c>
      <c r="E45" s="22">
        <f>SUMIFS('Página 02_Retorno'!Q$7:Q$108,'Página 02_Retorno'!I$7:I$108,'Pag 06_Bolsas_APROVADO'!A45,'Página 02_Retorno'!L$7:L$108,'Pag 08_Legendas'!C$5)</f>
        <v>0</v>
      </c>
      <c r="F45" s="22">
        <f>SUMIFS('Página 02_Retorno'!R$7:R$108,'Página 02_Retorno'!I$7:I$108,'Pag 06_Bolsas_APROVADO'!A45,'Página 02_Retorno'!L$7:L$108,'Pag 08_Legendas'!C$5)</f>
        <v>0</v>
      </c>
      <c r="G45" s="22">
        <f>SUMIFS('Página 02_Retorno'!S$7:S$108,'Página 02_Retorno'!I$7:I$108,'Pag 06_Bolsas_APROVADO'!A45,'Página 02_Retorno'!L$7:L$108,'Pag 08_Legendas'!C$5)</f>
        <v>0</v>
      </c>
      <c r="H45" s="22">
        <f>SUMIFS('Página 02_Retorno'!T$7:T$108,'Página 02_Retorno'!I$7:I$108,'Pag 06_Bolsas_APROVADO'!A45,'Página 02_Retorno'!L$7:L$108,'Pag 08_Legendas'!C$5)</f>
        <v>0</v>
      </c>
      <c r="I45" s="22">
        <f t="shared" si="6"/>
        <v>0</v>
      </c>
      <c r="J45" s="86">
        <f>SUMIFS('Página 02_Retorno'!U$7:U$108,'Página 02_Retorno'!I$7:I$108,'Pag 06_Bolsas_APROVADO'!A45,'Página 02_Retorno'!L$7:L$108,'Pag 08_Legendas'!C$5,'Página 02_Retorno'!B$7:B$108,'Página 01_Cadastro'!B$2)</f>
        <v>0</v>
      </c>
      <c r="K45" s="21">
        <f>COUNTIFS('Página 02_Retorno'!I$7:I$108,'Pag 06_Bolsas_APROVADO'!A45,'Página 02_Retorno'!C$7:C$108,"S",'Página 02_Retorno'!L$7:L$108,'Pag 08_Legendas'!C$5,'Página 02_Retorno'!B$7:B$108,'Página 01_Cadastro'!B$2)</f>
        <v>0</v>
      </c>
    </row>
    <row r="46" spans="1:11" x14ac:dyDescent="0.2">
      <c r="A46" s="20" t="s">
        <v>26</v>
      </c>
      <c r="B46" s="21">
        <f>COUNTIFS('Página 02_Retorno'!I$7:I$108,'Pag 06_Bolsas_APROVADO'!A46,'Página 02_Retorno'!C$7:C$108,"S",'Página 02_Retorno'!L$7:L$108,'Pag 08_Legendas'!C$5)</f>
        <v>0</v>
      </c>
      <c r="C46" s="22">
        <f>SUMIFS('Página 02_Retorno'!O$7:O$108,'Página 02_Retorno'!I$7:I$108,'Pag 06_Bolsas_APROVADO'!A46,'Página 02_Retorno'!L$7:L$108,'Pag 08_Legendas'!C$5)</f>
        <v>0</v>
      </c>
      <c r="D46" s="22">
        <f>SUMIFS('Página 02_Retorno'!P$7:P$108,'Página 02_Retorno'!I$7:I$108,'Pag 06_Bolsas_APROVADO'!A46,'Página 02_Retorno'!L$7:L$108,'Pag 08_Legendas'!C$5)</f>
        <v>0</v>
      </c>
      <c r="E46" s="22">
        <f>SUMIFS('Página 02_Retorno'!Q$7:Q$108,'Página 02_Retorno'!I$7:I$108,'Pag 06_Bolsas_APROVADO'!A46,'Página 02_Retorno'!L$7:L$108,'Pag 08_Legendas'!C$5)</f>
        <v>0</v>
      </c>
      <c r="F46" s="22">
        <f>SUMIFS('Página 02_Retorno'!R$7:R$108,'Página 02_Retorno'!I$7:I$108,'Pag 06_Bolsas_APROVADO'!A46,'Página 02_Retorno'!L$7:L$108,'Pag 08_Legendas'!C$5)</f>
        <v>0</v>
      </c>
      <c r="G46" s="22">
        <f>SUMIFS('Página 02_Retorno'!S$7:S$108,'Página 02_Retorno'!I$7:I$108,'Pag 06_Bolsas_APROVADO'!A46,'Página 02_Retorno'!L$7:L$108,'Pag 08_Legendas'!C$5)</f>
        <v>0</v>
      </c>
      <c r="H46" s="22">
        <f>SUMIFS('Página 02_Retorno'!T$7:T$108,'Página 02_Retorno'!I$7:I$108,'Pag 06_Bolsas_APROVADO'!A46,'Página 02_Retorno'!L$7:L$108,'Pag 08_Legendas'!C$5)</f>
        <v>0</v>
      </c>
      <c r="I46" s="22">
        <f t="shared" si="6"/>
        <v>0</v>
      </c>
      <c r="J46" s="86">
        <f>SUMIFS('Página 02_Retorno'!U$7:U$108,'Página 02_Retorno'!I$7:I$108,'Pag 06_Bolsas_APROVADO'!A46,'Página 02_Retorno'!L$7:L$108,'Pag 08_Legendas'!C$5,'Página 02_Retorno'!B$7:B$108,'Página 01_Cadastro'!B$2)</f>
        <v>0</v>
      </c>
      <c r="K46" s="21">
        <f>COUNTIFS('Página 02_Retorno'!I$7:I$108,'Pag 06_Bolsas_APROVADO'!A46,'Página 02_Retorno'!C$7:C$108,"S",'Página 02_Retorno'!L$7:L$108,'Pag 08_Legendas'!C$5,'Página 02_Retorno'!B$7:B$108,'Página 01_Cadastro'!B$2)</f>
        <v>0</v>
      </c>
    </row>
    <row r="47" spans="1:11" x14ac:dyDescent="0.2">
      <c r="A47" s="20" t="s">
        <v>2</v>
      </c>
      <c r="B47" s="21">
        <f>COUNTIFS('Página 02_Retorno'!I$7:I$108,'Pag 06_Bolsas_APROVADO'!A47,'Página 02_Retorno'!C$7:C$108,"S",'Página 02_Retorno'!L$7:L$108,'Pag 08_Legendas'!C$5)</f>
        <v>0</v>
      </c>
      <c r="C47" s="22">
        <f>SUMIFS('Página 02_Retorno'!O$7:O$108,'Página 02_Retorno'!I$7:I$108,'Pag 06_Bolsas_APROVADO'!A47,'Página 02_Retorno'!L$7:L$108,'Pag 08_Legendas'!C$5)</f>
        <v>0</v>
      </c>
      <c r="D47" s="22">
        <f>SUMIFS('Página 02_Retorno'!P$7:P$108,'Página 02_Retorno'!I$7:I$108,'Pag 06_Bolsas_APROVADO'!A47,'Página 02_Retorno'!L$7:L$108,'Pag 08_Legendas'!C$5)</f>
        <v>0</v>
      </c>
      <c r="E47" s="22">
        <f>SUMIFS('Página 02_Retorno'!Q$7:Q$108,'Página 02_Retorno'!I$7:I$108,'Pag 06_Bolsas_APROVADO'!A47,'Página 02_Retorno'!L$7:L$108,'Pag 08_Legendas'!C$5)</f>
        <v>0</v>
      </c>
      <c r="F47" s="22">
        <f>SUMIFS('Página 02_Retorno'!R$7:R$108,'Página 02_Retorno'!I$7:I$108,'Pag 06_Bolsas_APROVADO'!A47,'Página 02_Retorno'!L$7:L$108,'Pag 08_Legendas'!C$5)</f>
        <v>0</v>
      </c>
      <c r="G47" s="22">
        <f>SUMIFS('Página 02_Retorno'!S$7:S$108,'Página 02_Retorno'!I$7:I$108,'Pag 06_Bolsas_APROVADO'!A47,'Página 02_Retorno'!L$7:L$108,'Pag 08_Legendas'!C$5)</f>
        <v>0</v>
      </c>
      <c r="H47" s="22">
        <f>SUMIFS('Página 02_Retorno'!T$7:T$108,'Página 02_Retorno'!I$7:I$108,'Pag 06_Bolsas_APROVADO'!A47,'Página 02_Retorno'!L$7:L$108,'Pag 08_Legendas'!C$5)</f>
        <v>0</v>
      </c>
      <c r="I47" s="22">
        <f t="shared" si="6"/>
        <v>0</v>
      </c>
      <c r="J47" s="86">
        <f>SUMIFS('Página 02_Retorno'!U$7:U$108,'Página 02_Retorno'!I$7:I$108,'Pag 06_Bolsas_APROVADO'!A47,'Página 02_Retorno'!L$7:L$108,'Pag 08_Legendas'!C$5,'Página 02_Retorno'!B$7:B$108,'Página 01_Cadastro'!B$2)</f>
        <v>0</v>
      </c>
      <c r="K47" s="21">
        <f>COUNTIFS('Página 02_Retorno'!I$7:I$108,'Pag 06_Bolsas_APROVADO'!A47,'Página 02_Retorno'!C$7:C$108,"S",'Página 02_Retorno'!L$7:L$108,'Pag 08_Legendas'!C$5,'Página 02_Retorno'!B$7:B$108,'Página 01_Cadastro'!B$2)</f>
        <v>0</v>
      </c>
    </row>
    <row r="48" spans="1:11" x14ac:dyDescent="0.2">
      <c r="A48" s="20" t="s">
        <v>4</v>
      </c>
      <c r="B48" s="21">
        <f>COUNTIFS('Página 02_Retorno'!I$7:I$108,'Pag 06_Bolsas_APROVADO'!A48,'Página 02_Retorno'!C$7:C$108,"S",'Página 02_Retorno'!L$7:L$108,'Pag 08_Legendas'!C$5)</f>
        <v>0</v>
      </c>
      <c r="C48" s="22">
        <f>SUMIFS('Página 02_Retorno'!O$7:O$108,'Página 02_Retorno'!I$7:I$108,'Pag 06_Bolsas_APROVADO'!A48,'Página 02_Retorno'!L$7:L$108,'Pag 08_Legendas'!C$5)</f>
        <v>0</v>
      </c>
      <c r="D48" s="22">
        <f>SUMIFS('Página 02_Retorno'!P$7:P$108,'Página 02_Retorno'!I$7:I$108,'Pag 06_Bolsas_APROVADO'!A48,'Página 02_Retorno'!L$7:L$108,'Pag 08_Legendas'!C$5)</f>
        <v>0</v>
      </c>
      <c r="E48" s="22">
        <f>SUMIFS('Página 02_Retorno'!Q$7:Q$108,'Página 02_Retorno'!I$7:I$108,'Pag 06_Bolsas_APROVADO'!A48,'Página 02_Retorno'!L$7:L$108,'Pag 08_Legendas'!C$5)</f>
        <v>0</v>
      </c>
      <c r="F48" s="22">
        <f>SUMIFS('Página 02_Retorno'!R$7:R$108,'Página 02_Retorno'!I$7:I$108,'Pag 06_Bolsas_APROVADO'!A48,'Página 02_Retorno'!L$7:L$108,'Pag 08_Legendas'!C$5)</f>
        <v>0</v>
      </c>
      <c r="G48" s="22">
        <f>SUMIFS('Página 02_Retorno'!S$7:S$108,'Página 02_Retorno'!I$7:I$108,'Pag 06_Bolsas_APROVADO'!A48,'Página 02_Retorno'!L$7:L$108,'Pag 08_Legendas'!C$5)</f>
        <v>0</v>
      </c>
      <c r="H48" s="22">
        <f>SUMIFS('Página 02_Retorno'!T$7:T$108,'Página 02_Retorno'!I$7:I$108,'Pag 06_Bolsas_APROVADO'!A48,'Página 02_Retorno'!L$7:L$108,'Pag 08_Legendas'!C$5)</f>
        <v>0</v>
      </c>
      <c r="I48" s="22">
        <f t="shared" si="6"/>
        <v>0</v>
      </c>
      <c r="J48" s="86">
        <f>SUMIFS('Página 02_Retorno'!U$7:U$108,'Página 02_Retorno'!I$7:I$108,'Pag 06_Bolsas_APROVADO'!A48,'Página 02_Retorno'!L$7:L$108,'Pag 08_Legendas'!C$5,'Página 02_Retorno'!B$7:B$108,'Página 01_Cadastro'!B$2)</f>
        <v>0</v>
      </c>
      <c r="K48" s="21">
        <f>COUNTIFS('Página 02_Retorno'!I$7:I$108,'Pag 06_Bolsas_APROVADO'!A48,'Página 02_Retorno'!C$7:C$108,"S",'Página 02_Retorno'!L$7:L$108,'Pag 08_Legendas'!C$5,'Página 02_Retorno'!B$7:B$108,'Página 01_Cadastro'!B$2)</f>
        <v>0</v>
      </c>
    </row>
    <row r="49" spans="1:11" x14ac:dyDescent="0.2">
      <c r="A49" s="20" t="s">
        <v>3</v>
      </c>
      <c r="B49" s="21">
        <f>COUNTIFS('Página 02_Retorno'!I$7:I$108,'Pag 06_Bolsas_APROVADO'!A49,'Página 02_Retorno'!C$7:C$108,"S",'Página 02_Retorno'!L$7:L$108,'Pag 08_Legendas'!C$5)</f>
        <v>0</v>
      </c>
      <c r="C49" s="22">
        <f>SUMIFS('Página 02_Retorno'!O$7:O$108,'Página 02_Retorno'!I$7:I$108,'Pag 06_Bolsas_APROVADO'!A49,'Página 02_Retorno'!L$7:L$108,'Pag 08_Legendas'!C$5)</f>
        <v>0</v>
      </c>
      <c r="D49" s="22">
        <f>SUMIFS('Página 02_Retorno'!P$7:P$108,'Página 02_Retorno'!I$7:I$108,'Pag 06_Bolsas_APROVADO'!A49,'Página 02_Retorno'!L$7:L$108,'Pag 08_Legendas'!C$5)</f>
        <v>0</v>
      </c>
      <c r="E49" s="22">
        <f>SUMIFS('Página 02_Retorno'!Q$7:Q$108,'Página 02_Retorno'!I$7:I$108,'Pag 06_Bolsas_APROVADO'!A49,'Página 02_Retorno'!L$7:L$108,'Pag 08_Legendas'!C$5)</f>
        <v>0</v>
      </c>
      <c r="F49" s="22">
        <f>SUMIFS('Página 02_Retorno'!R$7:R$108,'Página 02_Retorno'!I$7:I$108,'Pag 06_Bolsas_APROVADO'!A49,'Página 02_Retorno'!L$7:L$108,'Pag 08_Legendas'!C$5)</f>
        <v>0</v>
      </c>
      <c r="G49" s="22">
        <f>SUMIFS('Página 02_Retorno'!S$7:S$108,'Página 02_Retorno'!I$7:I$108,'Pag 06_Bolsas_APROVADO'!A49,'Página 02_Retorno'!L$7:L$108,'Pag 08_Legendas'!C$5)</f>
        <v>0</v>
      </c>
      <c r="H49" s="22">
        <f>SUMIFS('Página 02_Retorno'!T$7:T$108,'Página 02_Retorno'!I$7:I$108,'Pag 06_Bolsas_APROVADO'!A49,'Página 02_Retorno'!L$7:L$108,'Pag 08_Legendas'!C$5)</f>
        <v>0</v>
      </c>
      <c r="I49" s="22">
        <f t="shared" si="6"/>
        <v>0</v>
      </c>
      <c r="J49" s="86">
        <f>SUMIFS('Página 02_Retorno'!U$7:U$108,'Página 02_Retorno'!I$7:I$108,'Pag 06_Bolsas_APROVADO'!A49,'Página 02_Retorno'!L$7:L$108,'Pag 08_Legendas'!C$5,'Página 02_Retorno'!B$7:B$108,'Página 01_Cadastro'!B$2)</f>
        <v>0</v>
      </c>
      <c r="K49" s="21">
        <f>COUNTIFS('Página 02_Retorno'!I$7:I$108,'Pag 06_Bolsas_APROVADO'!A49,'Página 02_Retorno'!C$7:C$108,"S",'Página 02_Retorno'!L$7:L$108,'Pag 08_Legendas'!C$5,'Página 02_Retorno'!B$7:B$108,'Página 01_Cadastro'!B$2)</f>
        <v>0</v>
      </c>
    </row>
    <row r="50" spans="1:11" x14ac:dyDescent="0.2">
      <c r="A50" s="32" t="s">
        <v>6</v>
      </c>
      <c r="B50" s="31">
        <f>SUM(B43:B49)</f>
        <v>0</v>
      </c>
      <c r="C50" s="33">
        <f t="shared" ref="C50:H50" si="7">SUM(C43:C49)</f>
        <v>0</v>
      </c>
      <c r="D50" s="33">
        <f t="shared" si="7"/>
        <v>0</v>
      </c>
      <c r="E50" s="33">
        <f t="shared" si="7"/>
        <v>0</v>
      </c>
      <c r="F50" s="33">
        <f t="shared" si="7"/>
        <v>0</v>
      </c>
      <c r="G50" s="33">
        <f t="shared" si="7"/>
        <v>0</v>
      </c>
      <c r="H50" s="33">
        <f t="shared" si="7"/>
        <v>0</v>
      </c>
      <c r="I50" s="33">
        <f t="shared" si="6"/>
        <v>0</v>
      </c>
      <c r="J50" s="34">
        <f>SUM(J43:J49)</f>
        <v>0</v>
      </c>
      <c r="K50" s="31">
        <f>SUM(K43:K49)</f>
        <v>0</v>
      </c>
    </row>
    <row r="52" spans="1:11" x14ac:dyDescent="0.2">
      <c r="A52" s="174" t="s">
        <v>133</v>
      </c>
      <c r="B52" s="174"/>
      <c r="C52" s="174"/>
      <c r="D52" s="174"/>
      <c r="E52" s="174"/>
      <c r="F52" s="174"/>
      <c r="G52" s="174"/>
      <c r="H52" s="174"/>
      <c r="I52" s="174"/>
    </row>
    <row r="54" spans="1:11" ht="51" x14ac:dyDescent="0.2">
      <c r="A54" s="35" t="s">
        <v>25</v>
      </c>
      <c r="B54" s="36" t="s">
        <v>27</v>
      </c>
      <c r="C54" s="36" t="s">
        <v>16</v>
      </c>
      <c r="D54" s="37" t="s">
        <v>17</v>
      </c>
      <c r="E54" s="37" t="s">
        <v>18</v>
      </c>
      <c r="F54" s="37" t="s">
        <v>19</v>
      </c>
      <c r="G54" s="37" t="s">
        <v>20</v>
      </c>
      <c r="H54" s="37" t="s">
        <v>21</v>
      </c>
      <c r="I54" s="37" t="s">
        <v>28</v>
      </c>
      <c r="J54" s="37" t="s">
        <v>126</v>
      </c>
      <c r="K54" s="37" t="s">
        <v>127</v>
      </c>
    </row>
    <row r="55" spans="1:11" x14ac:dyDescent="0.2">
      <c r="A55" s="20" t="s">
        <v>0</v>
      </c>
      <c r="B55" s="21">
        <f>COUNTIFS('Página 02_Retorno'!I$7:I$108,'Pag 06_Bolsas_APROVADO'!A55,'Página 02_Retorno'!C$7:C$108,"S",'Página 02_Retorno'!L$7:L$108,'Pag 08_Legendas'!C$8)</f>
        <v>0</v>
      </c>
      <c r="C55" s="22">
        <f>SUMIFS('Página 02_Retorno'!O$7:O$108,'Página 02_Retorno'!I$7:I$108,'Pag 06_Bolsas_APROVADO'!A55,'Página 02_Retorno'!L$7:L$108,'Pag 08_Legendas'!C$8)</f>
        <v>0</v>
      </c>
      <c r="D55" s="22">
        <f>SUMIFS('Página 02_Retorno'!P$7:P$108,'Página 02_Retorno'!I$7:I$108,'Pag 06_Bolsas_APROVADO'!A55,'Página 02_Retorno'!L$7:L$108,'Pag 08_Legendas'!C$8)</f>
        <v>0</v>
      </c>
      <c r="E55" s="22">
        <f>SUMIFS('Página 02_Retorno'!Q$7:Q$108,'Página 02_Retorno'!I$7:I$108,'Pag 06_Bolsas_APROVADO'!A55,'Página 02_Retorno'!L$7:L$108,'Pag 08_Legendas'!C$8)</f>
        <v>0</v>
      </c>
      <c r="F55" s="22">
        <f>SUMIFS('Página 02_Retorno'!R$7:R$108,'Página 02_Retorno'!I$7:I$108,'Pag 06_Bolsas_APROVADO'!A55,'Página 02_Retorno'!L$7:L$108,'Pag 08_Legendas'!C$8)</f>
        <v>0</v>
      </c>
      <c r="G55" s="22">
        <f>SUMIFS('Página 02_Retorno'!S$7:S$108,'Página 02_Retorno'!I$7:I$108,'Pag 06_Bolsas_APROVADO'!A55,'Página 02_Retorno'!L$7:L$108,'Pag 08_Legendas'!C$8)</f>
        <v>0</v>
      </c>
      <c r="H55" s="22">
        <f>SUMIFS('Página 02_Retorno'!T$7:T$108,'Página 02_Retorno'!I$7:I$108,'Pag 06_Bolsas_APROVADO'!A55,'Página 02_Retorno'!L$7:L$108,'Pag 08_Legendas'!C$8)</f>
        <v>0</v>
      </c>
      <c r="I55" s="22">
        <f>SUM(C55:H55)</f>
        <v>0</v>
      </c>
      <c r="J55" s="86">
        <f>SUMIFS('Página 02_Retorno'!U$7:U$108,'Página 02_Retorno'!I$7:I$108,'Pag 06_Bolsas_APROVADO'!A55,'Página 02_Retorno'!L$7:L$108,'Pag 08_Legendas'!C$8,'Página 02_Retorno'!B$7:B$108,'Página 01_Cadastro'!B$2)</f>
        <v>0</v>
      </c>
      <c r="K55" s="21">
        <f>COUNTIFS('Página 02_Retorno'!I$7:I$108,'Pag 06_Bolsas_APROVADO'!A55,'Página 02_Retorno'!C$7:C$108,"S",'Página 02_Retorno'!L$7:L$108,'Pag 08_Legendas'!C$8,'Página 02_Retorno'!B$7:B$108,'Página 01_Cadastro'!B$2)</f>
        <v>0</v>
      </c>
    </row>
    <row r="56" spans="1:11" x14ac:dyDescent="0.2">
      <c r="A56" s="20" t="s">
        <v>5</v>
      </c>
      <c r="B56" s="21">
        <f>COUNTIFS('Página 02_Retorno'!I$7:I$108,'Pag 06_Bolsas_APROVADO'!A56,'Página 02_Retorno'!C$7:C$108,"S",'Página 02_Retorno'!L$7:L$108,'Pag 08_Legendas'!C$8)</f>
        <v>0</v>
      </c>
      <c r="C56" s="22">
        <f>SUMIFS('Página 02_Retorno'!O$7:O$108,'Página 02_Retorno'!I$7:I$108,'Pag 06_Bolsas_APROVADO'!A56,'Página 02_Retorno'!L$7:L$108,'Pag 08_Legendas'!C$8)</f>
        <v>0</v>
      </c>
      <c r="D56" s="22">
        <f>SUMIFS('Página 02_Retorno'!P$7:P$108,'Página 02_Retorno'!I$7:I$108,'Pag 06_Bolsas_APROVADO'!A56,'Página 02_Retorno'!L$7:L$108,'Pag 08_Legendas'!C$8)</f>
        <v>0</v>
      </c>
      <c r="E56" s="22">
        <f>SUMIFS('Página 02_Retorno'!Q$7:Q$108,'Página 02_Retorno'!I$7:I$108,'Pag 06_Bolsas_APROVADO'!A56,'Página 02_Retorno'!L$7:L$108,'Pag 08_Legendas'!C$8)</f>
        <v>0</v>
      </c>
      <c r="F56" s="22">
        <f>SUMIFS('Página 02_Retorno'!R$7:R$108,'Página 02_Retorno'!I$7:I$108,'Pag 06_Bolsas_APROVADO'!A56,'Página 02_Retorno'!L$7:L$108,'Pag 08_Legendas'!C$8)</f>
        <v>0</v>
      </c>
      <c r="G56" s="22">
        <f>SUMIFS('Página 02_Retorno'!S$7:S$108,'Página 02_Retorno'!I$7:I$108,'Pag 06_Bolsas_APROVADO'!A56,'Página 02_Retorno'!L$7:L$108,'Pag 08_Legendas'!C$8)</f>
        <v>0</v>
      </c>
      <c r="H56" s="22">
        <f>SUMIFS('Página 02_Retorno'!T$7:T$108,'Página 02_Retorno'!I$7:I$108,'Pag 06_Bolsas_APROVADO'!A56,'Página 02_Retorno'!L$7:L$108,'Pag 08_Legendas'!C$8)</f>
        <v>0</v>
      </c>
      <c r="I56" s="22">
        <f t="shared" ref="I56:I62" si="8">SUM(C56:H56)</f>
        <v>0</v>
      </c>
      <c r="J56" s="86">
        <f>SUMIFS('Página 02_Retorno'!U$7:U$108,'Página 02_Retorno'!I$7:I$108,'Pag 06_Bolsas_APROVADO'!A56,'Página 02_Retorno'!L$7:L$108,'Pag 08_Legendas'!C$8,'Página 02_Retorno'!B$7:B$108,'Página 01_Cadastro'!B$2)</f>
        <v>0</v>
      </c>
      <c r="K56" s="21">
        <f>COUNTIFS('Página 02_Retorno'!I$7:I$108,'Pag 06_Bolsas_APROVADO'!A56,'Página 02_Retorno'!C$7:C$108,"S",'Página 02_Retorno'!L$7:L$108,'Pag 08_Legendas'!C$8,'Página 02_Retorno'!B$7:B$108,'Página 01_Cadastro'!B$2)</f>
        <v>0</v>
      </c>
    </row>
    <row r="57" spans="1:11" x14ac:dyDescent="0.2">
      <c r="A57" s="20" t="s">
        <v>1</v>
      </c>
      <c r="B57" s="21">
        <f>COUNTIFS('Página 02_Retorno'!I$7:I$108,'Pag 06_Bolsas_APROVADO'!A57,'Página 02_Retorno'!C$7:C$108,"S",'Página 02_Retorno'!L$7:L$108,'Pag 08_Legendas'!C$8)</f>
        <v>0</v>
      </c>
      <c r="C57" s="22">
        <f>SUMIFS('Página 02_Retorno'!O$7:O$108,'Página 02_Retorno'!I$7:I$108,'Pag 06_Bolsas_APROVADO'!A57,'Página 02_Retorno'!L$7:L$108,'Pag 08_Legendas'!C$8)</f>
        <v>0</v>
      </c>
      <c r="D57" s="22">
        <f>SUMIFS('Página 02_Retorno'!P$7:P$108,'Página 02_Retorno'!I$7:I$108,'Pag 06_Bolsas_APROVADO'!A57,'Página 02_Retorno'!L$7:L$108,'Pag 08_Legendas'!C$8)</f>
        <v>0</v>
      </c>
      <c r="E57" s="22">
        <f>SUMIFS('Página 02_Retorno'!Q$7:Q$108,'Página 02_Retorno'!I$7:I$108,'Pag 06_Bolsas_APROVADO'!A57,'Página 02_Retorno'!L$7:L$108,'Pag 08_Legendas'!C$8)</f>
        <v>0</v>
      </c>
      <c r="F57" s="22">
        <f>SUMIFS('Página 02_Retorno'!R$7:R$108,'Página 02_Retorno'!I$7:I$108,'Pag 06_Bolsas_APROVADO'!A57,'Página 02_Retorno'!L$7:L$108,'Pag 08_Legendas'!C$8)</f>
        <v>0</v>
      </c>
      <c r="G57" s="22">
        <f>SUMIFS('Página 02_Retorno'!S$7:S$108,'Página 02_Retorno'!I$7:I$108,'Pag 06_Bolsas_APROVADO'!A57,'Página 02_Retorno'!L$7:L$108,'Pag 08_Legendas'!C$8)</f>
        <v>0</v>
      </c>
      <c r="H57" s="22">
        <f>SUMIFS('Página 02_Retorno'!T$7:T$108,'Página 02_Retorno'!I$7:I$108,'Pag 06_Bolsas_APROVADO'!A57,'Página 02_Retorno'!L$7:L$108,'Pag 08_Legendas'!C$8)</f>
        <v>0</v>
      </c>
      <c r="I57" s="22">
        <f t="shared" si="8"/>
        <v>0</v>
      </c>
      <c r="J57" s="86">
        <f>SUMIFS('Página 02_Retorno'!U$7:U$108,'Página 02_Retorno'!I$7:I$108,'Pag 06_Bolsas_APROVADO'!A57,'Página 02_Retorno'!L$7:L$108,'Pag 08_Legendas'!C$8,'Página 02_Retorno'!B$7:B$108,'Página 01_Cadastro'!B$2)</f>
        <v>0</v>
      </c>
      <c r="K57" s="21">
        <f>COUNTIFS('Página 02_Retorno'!I$7:I$108,'Pag 06_Bolsas_APROVADO'!A57,'Página 02_Retorno'!C$7:C$108,"S",'Página 02_Retorno'!L$7:L$108,'Pag 08_Legendas'!C$8,'Página 02_Retorno'!B$7:B$108,'Página 01_Cadastro'!B$2)</f>
        <v>0</v>
      </c>
    </row>
    <row r="58" spans="1:11" x14ac:dyDescent="0.2">
      <c r="A58" s="20" t="s">
        <v>26</v>
      </c>
      <c r="B58" s="21">
        <f>COUNTIFS('Página 02_Retorno'!I$7:I$108,'Pag 06_Bolsas_APROVADO'!A58,'Página 02_Retorno'!C$7:C$108,"S",'Página 02_Retorno'!L$7:L$108,'Pag 08_Legendas'!C$8)</f>
        <v>0</v>
      </c>
      <c r="C58" s="22">
        <f>SUMIFS('Página 02_Retorno'!O$7:O$108,'Página 02_Retorno'!I$7:I$108,'Pag 06_Bolsas_APROVADO'!A58,'Página 02_Retorno'!L$7:L$108,'Pag 08_Legendas'!C$8)</f>
        <v>0</v>
      </c>
      <c r="D58" s="22">
        <f>SUMIFS('Página 02_Retorno'!P$7:P$108,'Página 02_Retorno'!I$7:I$108,'Pag 06_Bolsas_APROVADO'!A58,'Página 02_Retorno'!L$7:L$108,'Pag 08_Legendas'!C$8)</f>
        <v>0</v>
      </c>
      <c r="E58" s="22">
        <f>SUMIFS('Página 02_Retorno'!Q$7:Q$108,'Página 02_Retorno'!I$7:I$108,'Pag 06_Bolsas_APROVADO'!A58,'Página 02_Retorno'!L$7:L$108,'Pag 08_Legendas'!C$8)</f>
        <v>0</v>
      </c>
      <c r="F58" s="22">
        <f>SUMIFS('Página 02_Retorno'!R$7:R$108,'Página 02_Retorno'!I$7:I$108,'Pag 06_Bolsas_APROVADO'!A58,'Página 02_Retorno'!L$7:L$108,'Pag 08_Legendas'!C$8)</f>
        <v>0</v>
      </c>
      <c r="G58" s="22">
        <f>SUMIFS('Página 02_Retorno'!S$7:S$108,'Página 02_Retorno'!I$7:I$108,'Pag 06_Bolsas_APROVADO'!A58,'Página 02_Retorno'!L$7:L$108,'Pag 08_Legendas'!C$8)</f>
        <v>0</v>
      </c>
      <c r="H58" s="22">
        <f>SUMIFS('Página 02_Retorno'!T$7:T$108,'Página 02_Retorno'!I$7:I$108,'Pag 06_Bolsas_APROVADO'!A58,'Página 02_Retorno'!L$7:L$108,'Pag 08_Legendas'!C$8)</f>
        <v>0</v>
      </c>
      <c r="I58" s="22">
        <f t="shared" si="8"/>
        <v>0</v>
      </c>
      <c r="J58" s="86">
        <f>SUMIFS('Página 02_Retorno'!U$7:U$108,'Página 02_Retorno'!I$7:I$108,'Pag 06_Bolsas_APROVADO'!A58,'Página 02_Retorno'!L$7:L$108,'Pag 08_Legendas'!C$8,'Página 02_Retorno'!B$7:B$108,'Página 01_Cadastro'!B$2)</f>
        <v>0</v>
      </c>
      <c r="K58" s="21">
        <f>COUNTIFS('Página 02_Retorno'!I$7:I$108,'Pag 06_Bolsas_APROVADO'!A58,'Página 02_Retorno'!C$7:C$108,"S",'Página 02_Retorno'!L$7:L$108,'Pag 08_Legendas'!C$8,'Página 02_Retorno'!B$7:B$108,'Página 01_Cadastro'!B$2)</f>
        <v>0</v>
      </c>
    </row>
    <row r="59" spans="1:11" x14ac:dyDescent="0.2">
      <c r="A59" s="20" t="s">
        <v>2</v>
      </c>
      <c r="B59" s="21">
        <f>COUNTIFS('Página 02_Retorno'!I$7:I$108,'Pag 06_Bolsas_APROVADO'!A59,'Página 02_Retorno'!C$7:C$108,"S",'Página 02_Retorno'!L$7:L$108,'Pag 08_Legendas'!C$8)</f>
        <v>0</v>
      </c>
      <c r="C59" s="22">
        <f>SUMIFS('Página 02_Retorno'!O$7:O$108,'Página 02_Retorno'!I$7:I$108,'Pag 06_Bolsas_APROVADO'!A59,'Página 02_Retorno'!L$7:L$108,'Pag 08_Legendas'!C$8)</f>
        <v>0</v>
      </c>
      <c r="D59" s="22">
        <f>SUMIFS('Página 02_Retorno'!P$7:P$108,'Página 02_Retorno'!I$7:I$108,'Pag 06_Bolsas_APROVADO'!A59,'Página 02_Retorno'!L$7:L$108,'Pag 08_Legendas'!C$8)</f>
        <v>0</v>
      </c>
      <c r="E59" s="22">
        <f>SUMIFS('Página 02_Retorno'!Q$7:Q$108,'Página 02_Retorno'!I$7:I$108,'Pag 06_Bolsas_APROVADO'!A59,'Página 02_Retorno'!L$7:L$108,'Pag 08_Legendas'!C$8)</f>
        <v>0</v>
      </c>
      <c r="F59" s="22">
        <f>SUMIFS('Página 02_Retorno'!R$7:R$108,'Página 02_Retorno'!I$7:I$108,'Pag 06_Bolsas_APROVADO'!A59,'Página 02_Retorno'!L$7:L$108,'Pag 08_Legendas'!C$8)</f>
        <v>0</v>
      </c>
      <c r="G59" s="22">
        <f>SUMIFS('Página 02_Retorno'!S$7:S$108,'Página 02_Retorno'!I$7:I$108,'Pag 06_Bolsas_APROVADO'!A59,'Página 02_Retorno'!L$7:L$108,'Pag 08_Legendas'!C$8)</f>
        <v>0</v>
      </c>
      <c r="H59" s="22">
        <f>SUMIFS('Página 02_Retorno'!T$7:T$108,'Página 02_Retorno'!I$7:I$108,'Pag 06_Bolsas_APROVADO'!A59,'Página 02_Retorno'!L$7:L$108,'Pag 08_Legendas'!C$8)</f>
        <v>0</v>
      </c>
      <c r="I59" s="22">
        <f t="shared" si="8"/>
        <v>0</v>
      </c>
      <c r="J59" s="86">
        <f>SUMIFS('Página 02_Retorno'!U$7:U$108,'Página 02_Retorno'!I$7:I$108,'Pag 06_Bolsas_APROVADO'!A59,'Página 02_Retorno'!L$7:L$108,'Pag 08_Legendas'!C$8,'Página 02_Retorno'!B$7:B$108,'Página 01_Cadastro'!B$2)</f>
        <v>0</v>
      </c>
      <c r="K59" s="21">
        <f>COUNTIFS('Página 02_Retorno'!I$7:I$108,'Pag 06_Bolsas_APROVADO'!A59,'Página 02_Retorno'!C$7:C$108,"S",'Página 02_Retorno'!L$7:L$108,'Pag 08_Legendas'!C$8,'Página 02_Retorno'!B$7:B$108,'Página 01_Cadastro'!B$2)</f>
        <v>0</v>
      </c>
    </row>
    <row r="60" spans="1:11" x14ac:dyDescent="0.2">
      <c r="A60" s="20" t="s">
        <v>4</v>
      </c>
      <c r="B60" s="21">
        <f>COUNTIFS('Página 02_Retorno'!I$7:I$108,'Pag 06_Bolsas_APROVADO'!A60,'Página 02_Retorno'!C$7:C$108,"S",'Página 02_Retorno'!L$7:L$108,'Pag 08_Legendas'!C$8)</f>
        <v>0</v>
      </c>
      <c r="C60" s="22">
        <f>SUMIFS('Página 02_Retorno'!O$7:O$108,'Página 02_Retorno'!I$7:I$108,'Pag 06_Bolsas_APROVADO'!A60,'Página 02_Retorno'!L$7:L$108,'Pag 08_Legendas'!C$8)</f>
        <v>0</v>
      </c>
      <c r="D60" s="22">
        <f>SUMIFS('Página 02_Retorno'!P$7:P$108,'Página 02_Retorno'!I$7:I$108,'Pag 06_Bolsas_APROVADO'!A60,'Página 02_Retorno'!L$7:L$108,'Pag 08_Legendas'!C$8)</f>
        <v>0</v>
      </c>
      <c r="E60" s="22">
        <f>SUMIFS('Página 02_Retorno'!Q$7:Q$108,'Página 02_Retorno'!I$7:I$108,'Pag 06_Bolsas_APROVADO'!A60,'Página 02_Retorno'!L$7:L$108,'Pag 08_Legendas'!C$8)</f>
        <v>0</v>
      </c>
      <c r="F60" s="22">
        <f>SUMIFS('Página 02_Retorno'!R$7:R$108,'Página 02_Retorno'!I$7:I$108,'Pag 06_Bolsas_APROVADO'!A60,'Página 02_Retorno'!L$7:L$108,'Pag 08_Legendas'!C$8)</f>
        <v>0</v>
      </c>
      <c r="G60" s="22">
        <f>SUMIFS('Página 02_Retorno'!S$7:S$108,'Página 02_Retorno'!I$7:I$108,'Pag 06_Bolsas_APROVADO'!A60,'Página 02_Retorno'!L$7:L$108,'Pag 08_Legendas'!C$8)</f>
        <v>0</v>
      </c>
      <c r="H60" s="22">
        <f>SUMIFS('Página 02_Retorno'!T$7:T$108,'Página 02_Retorno'!I$7:I$108,'Pag 06_Bolsas_APROVADO'!A60,'Página 02_Retorno'!L$7:L$108,'Pag 08_Legendas'!C$8)</f>
        <v>0</v>
      </c>
      <c r="I60" s="22">
        <f t="shared" si="8"/>
        <v>0</v>
      </c>
      <c r="J60" s="86">
        <f>SUMIFS('Página 02_Retorno'!U$7:U$108,'Página 02_Retorno'!I$7:I$108,'Pag 06_Bolsas_APROVADO'!A60,'Página 02_Retorno'!L$7:L$108,'Pag 08_Legendas'!C$8,'Página 02_Retorno'!B$7:B$108,'Página 01_Cadastro'!B$2)</f>
        <v>0</v>
      </c>
      <c r="K60" s="21">
        <f>COUNTIFS('Página 02_Retorno'!I$7:I$108,'Pag 06_Bolsas_APROVADO'!A60,'Página 02_Retorno'!C$7:C$108,"S",'Página 02_Retorno'!L$7:L$108,'Pag 08_Legendas'!C$8,'Página 02_Retorno'!B$7:B$108,'Página 01_Cadastro'!B$2)</f>
        <v>0</v>
      </c>
    </row>
    <row r="61" spans="1:11" x14ac:dyDescent="0.2">
      <c r="A61" s="20" t="s">
        <v>3</v>
      </c>
      <c r="B61" s="21">
        <f>COUNTIFS('Página 02_Retorno'!I$7:I$108,'Pag 06_Bolsas_APROVADO'!A61,'Página 02_Retorno'!C$7:C$108,"S",'Página 02_Retorno'!L$7:L$108,'Pag 08_Legendas'!C$8)</f>
        <v>0</v>
      </c>
      <c r="C61" s="22">
        <f>SUMIFS('Página 02_Retorno'!O$7:O$108,'Página 02_Retorno'!I$7:I$108,'Pag 06_Bolsas_APROVADO'!A61,'Página 02_Retorno'!L$7:L$108,'Pag 08_Legendas'!C$8)</f>
        <v>0</v>
      </c>
      <c r="D61" s="22">
        <f>SUMIFS('Página 02_Retorno'!P$7:P$108,'Página 02_Retorno'!I$7:I$108,'Pag 06_Bolsas_APROVADO'!A61,'Página 02_Retorno'!L$7:L$108,'Pag 08_Legendas'!C$8)</f>
        <v>0</v>
      </c>
      <c r="E61" s="22">
        <f>SUMIFS('Página 02_Retorno'!Q$7:Q$108,'Página 02_Retorno'!I$7:I$108,'Pag 06_Bolsas_APROVADO'!A61,'Página 02_Retorno'!L$7:L$108,'Pag 08_Legendas'!C$8)</f>
        <v>0</v>
      </c>
      <c r="F61" s="22">
        <f>SUMIFS('Página 02_Retorno'!R$7:R$108,'Página 02_Retorno'!I$7:I$108,'Pag 06_Bolsas_APROVADO'!A61,'Página 02_Retorno'!L$7:L$108,'Pag 08_Legendas'!C$8)</f>
        <v>0</v>
      </c>
      <c r="G61" s="22">
        <f>SUMIFS('Página 02_Retorno'!S$7:S$108,'Página 02_Retorno'!I$7:I$108,'Pag 06_Bolsas_APROVADO'!A61,'Página 02_Retorno'!L$7:L$108,'Pag 08_Legendas'!C$8)</f>
        <v>0</v>
      </c>
      <c r="H61" s="22">
        <f>SUMIFS('Página 02_Retorno'!T$7:T$108,'Página 02_Retorno'!I$7:I$108,'Pag 06_Bolsas_APROVADO'!A61,'Página 02_Retorno'!L$7:L$108,'Pag 08_Legendas'!C$8)</f>
        <v>0</v>
      </c>
      <c r="I61" s="22">
        <f t="shared" si="8"/>
        <v>0</v>
      </c>
      <c r="J61" s="86">
        <f>SUMIFS('Página 02_Retorno'!U$7:U$108,'Página 02_Retorno'!I$7:I$108,'Pag 06_Bolsas_APROVADO'!A61,'Página 02_Retorno'!L$7:L$108,'Pag 08_Legendas'!C$8,'Página 02_Retorno'!B$7:B$108,'Página 01_Cadastro'!B$2)</f>
        <v>0</v>
      </c>
      <c r="K61" s="21">
        <f>COUNTIFS('Página 02_Retorno'!I$7:I$108,'Pag 06_Bolsas_APROVADO'!A61,'Página 02_Retorno'!C$7:C$108,"S",'Página 02_Retorno'!L$7:L$108,'Pag 08_Legendas'!C$8,'Página 02_Retorno'!B$7:B$108,'Página 01_Cadastro'!B$2)</f>
        <v>0</v>
      </c>
    </row>
    <row r="62" spans="1:11" x14ac:dyDescent="0.2">
      <c r="A62" s="32" t="s">
        <v>6</v>
      </c>
      <c r="B62" s="31">
        <f>SUM(B55:B61)</f>
        <v>0</v>
      </c>
      <c r="C62" s="33">
        <f t="shared" ref="C62:H62" si="9">SUM(C55:C61)</f>
        <v>0</v>
      </c>
      <c r="D62" s="33">
        <f t="shared" si="9"/>
        <v>0</v>
      </c>
      <c r="E62" s="33">
        <f t="shared" si="9"/>
        <v>0</v>
      </c>
      <c r="F62" s="33">
        <f t="shared" si="9"/>
        <v>0</v>
      </c>
      <c r="G62" s="33">
        <f t="shared" si="9"/>
        <v>0</v>
      </c>
      <c r="H62" s="33">
        <f t="shared" si="9"/>
        <v>0</v>
      </c>
      <c r="I62" s="33">
        <f t="shared" si="8"/>
        <v>0</v>
      </c>
      <c r="J62" s="34">
        <f>SUM(J55:J61)</f>
        <v>0</v>
      </c>
      <c r="K62" s="31">
        <f>SUM(K55:K61)</f>
        <v>0</v>
      </c>
    </row>
    <row r="64" spans="1:11" x14ac:dyDescent="0.2">
      <c r="A64" s="174" t="s">
        <v>134</v>
      </c>
      <c r="B64" s="174"/>
      <c r="C64" s="174"/>
      <c r="D64" s="174"/>
      <c r="E64" s="174"/>
      <c r="F64" s="174"/>
      <c r="G64" s="174"/>
      <c r="H64" s="174"/>
      <c r="I64" s="174"/>
    </row>
    <row r="66" spans="1:11" ht="51" x14ac:dyDescent="0.2">
      <c r="A66" s="35" t="s">
        <v>25</v>
      </c>
      <c r="B66" s="36" t="s">
        <v>27</v>
      </c>
      <c r="C66" s="36" t="s">
        <v>16</v>
      </c>
      <c r="D66" s="37" t="s">
        <v>17</v>
      </c>
      <c r="E66" s="37" t="s">
        <v>18</v>
      </c>
      <c r="F66" s="37" t="s">
        <v>19</v>
      </c>
      <c r="G66" s="37" t="s">
        <v>20</v>
      </c>
      <c r="H66" s="37" t="s">
        <v>21</v>
      </c>
      <c r="I66" s="37" t="s">
        <v>28</v>
      </c>
      <c r="J66" s="37" t="s">
        <v>126</v>
      </c>
      <c r="K66" s="37" t="s">
        <v>127</v>
      </c>
    </row>
    <row r="67" spans="1:11" x14ac:dyDescent="0.2">
      <c r="A67" s="20" t="s">
        <v>0</v>
      </c>
      <c r="B67" s="21">
        <f>COUNTIFS('Página 02_Retorno'!I$7:I$108,'Pag 06_Bolsas_APROVADO'!A67,'Página 02_Retorno'!C$7:C$108,"S",'Página 02_Retorno'!L$7:L$108,'Pag 08_Legendas'!C$9)</f>
        <v>0</v>
      </c>
      <c r="C67" s="22">
        <f>SUMIFS('Página 02_Retorno'!O$7:O$108,'Página 02_Retorno'!I$7:I$108,'Pag 06_Bolsas_APROVADO'!A67,'Página 02_Retorno'!L$7:L$108,'Pag 08_Legendas'!C$9)</f>
        <v>0</v>
      </c>
      <c r="D67" s="22">
        <f>SUMIFS('Página 02_Retorno'!P$7:P$108,'Página 02_Retorno'!I$7:I$108,'Pag 06_Bolsas_APROVADO'!A67,'Página 02_Retorno'!L$7:L$108,'Pag 08_Legendas'!C$9)</f>
        <v>0</v>
      </c>
      <c r="E67" s="22">
        <f>SUMIFS('Página 02_Retorno'!Q$7:Q$108,'Página 02_Retorno'!I$7:I$108,'Pag 06_Bolsas_APROVADO'!A67,'Página 02_Retorno'!L$7:L$108,'Pag 08_Legendas'!C$9)</f>
        <v>0</v>
      </c>
      <c r="F67" s="22">
        <f>SUMIFS('Página 02_Retorno'!R$7:R$108,'Página 02_Retorno'!I$7:I$108,'Pag 06_Bolsas_APROVADO'!A67,'Página 02_Retorno'!L$7:L$108,'Pag 08_Legendas'!C$9)</f>
        <v>0</v>
      </c>
      <c r="G67" s="22">
        <f>SUMIFS('Página 02_Retorno'!S$7:S$108,'Página 02_Retorno'!I$7:I$108,'Pag 06_Bolsas_APROVADO'!A67,'Página 02_Retorno'!L$7:L$108,'Pag 08_Legendas'!C$9)</f>
        <v>0</v>
      </c>
      <c r="H67" s="22">
        <f>SUMIFS('Página 02_Retorno'!T$7:T$108,'Página 02_Retorno'!I$7:I$108,'Pag 06_Bolsas_APROVADO'!A67,'Página 02_Retorno'!L$7:L$108,'Pag 08_Legendas'!C$9)</f>
        <v>0</v>
      </c>
      <c r="I67" s="22">
        <f>SUM(C67:H67)</f>
        <v>0</v>
      </c>
      <c r="J67" s="86">
        <f>SUMIFS('Página 02_Retorno'!U$7:U$108,'Página 02_Retorno'!I$7:I$108,'Pag 06_Bolsas_APROVADO'!A67,'Página 02_Retorno'!L$7:L$108,'Pag 08_Legendas'!C$9,'Página 02_Retorno'!B$7:B$108,'Página 01_Cadastro'!B$2)</f>
        <v>0</v>
      </c>
      <c r="K67" s="21">
        <f>COUNTIFS('Página 02_Retorno'!I$7:I$108,'Pag 06_Bolsas_APROVADO'!A67,'Página 02_Retorno'!C$7:C$108,"S",'Página 02_Retorno'!L$7:L$108,'Pag 08_Legendas'!C$9,'Página 02_Retorno'!B$7:B$108,'Página 01_Cadastro'!B$2)</f>
        <v>0</v>
      </c>
    </row>
    <row r="68" spans="1:11" x14ac:dyDescent="0.2">
      <c r="A68" s="20" t="s">
        <v>5</v>
      </c>
      <c r="B68" s="21">
        <f>COUNTIFS('Página 02_Retorno'!I$7:I$108,'Pag 06_Bolsas_APROVADO'!A68,'Página 02_Retorno'!C$7:C$108,"S",'Página 02_Retorno'!L$7:L$108,'Pag 08_Legendas'!C$9)</f>
        <v>0</v>
      </c>
      <c r="C68" s="22">
        <f>SUMIFS('Página 02_Retorno'!O$7:O$108,'Página 02_Retorno'!I$7:I$108,'Pag 06_Bolsas_APROVADO'!A68,'Página 02_Retorno'!L$7:L$108,'Pag 08_Legendas'!C$9)</f>
        <v>0</v>
      </c>
      <c r="D68" s="22">
        <f>SUMIFS('Página 02_Retorno'!P$7:P$108,'Página 02_Retorno'!I$7:I$108,'Pag 06_Bolsas_APROVADO'!A68,'Página 02_Retorno'!L$7:L$108,'Pag 08_Legendas'!C$9)</f>
        <v>0</v>
      </c>
      <c r="E68" s="22">
        <f>SUMIFS('Página 02_Retorno'!Q$7:Q$108,'Página 02_Retorno'!I$7:I$108,'Pag 06_Bolsas_APROVADO'!A68,'Página 02_Retorno'!L$7:L$108,'Pag 08_Legendas'!C$9)</f>
        <v>0</v>
      </c>
      <c r="F68" s="22">
        <f>SUMIFS('Página 02_Retorno'!R$7:R$108,'Página 02_Retorno'!I$7:I$108,'Pag 06_Bolsas_APROVADO'!A68,'Página 02_Retorno'!L$7:L$108,'Pag 08_Legendas'!C$9)</f>
        <v>0</v>
      </c>
      <c r="G68" s="22">
        <f>SUMIFS('Página 02_Retorno'!S$7:S$108,'Página 02_Retorno'!I$7:I$108,'Pag 06_Bolsas_APROVADO'!A68,'Página 02_Retorno'!L$7:L$108,'Pag 08_Legendas'!C$9)</f>
        <v>0</v>
      </c>
      <c r="H68" s="22">
        <f>SUMIFS('Página 02_Retorno'!T$7:T$108,'Página 02_Retorno'!I$7:I$108,'Pag 06_Bolsas_APROVADO'!A68,'Página 02_Retorno'!L$7:L$108,'Pag 08_Legendas'!C$9)</f>
        <v>0</v>
      </c>
      <c r="I68" s="22">
        <f t="shared" ref="I68:I74" si="10">SUM(C68:H68)</f>
        <v>0</v>
      </c>
      <c r="J68" s="86">
        <f>SUMIFS('Página 02_Retorno'!U$7:U$108,'Página 02_Retorno'!I$7:I$108,'Pag 06_Bolsas_APROVADO'!A68,'Página 02_Retorno'!L$7:L$108,'Pag 08_Legendas'!C$9,'Página 02_Retorno'!B$7:B$108,'Página 01_Cadastro'!B$2)</f>
        <v>0</v>
      </c>
      <c r="K68" s="21">
        <f>COUNTIFS('Página 02_Retorno'!I$7:I$108,'Pag 06_Bolsas_APROVADO'!A68,'Página 02_Retorno'!C$7:C$108,"S",'Página 02_Retorno'!L$7:L$108,'Pag 08_Legendas'!C$9,'Página 02_Retorno'!B$7:B$108,'Página 01_Cadastro'!B$2)</f>
        <v>0</v>
      </c>
    </row>
    <row r="69" spans="1:11" x14ac:dyDescent="0.2">
      <c r="A69" s="20" t="s">
        <v>1</v>
      </c>
      <c r="B69" s="21">
        <f>COUNTIFS('Página 02_Retorno'!I$7:I$108,'Pag 06_Bolsas_APROVADO'!A69,'Página 02_Retorno'!C$7:C$108,"S",'Página 02_Retorno'!L$7:L$108,'Pag 08_Legendas'!C$9)</f>
        <v>0</v>
      </c>
      <c r="C69" s="22">
        <f>SUMIFS('Página 02_Retorno'!O$7:O$108,'Página 02_Retorno'!I$7:I$108,'Pag 06_Bolsas_APROVADO'!A69,'Página 02_Retorno'!L$7:L$108,'Pag 08_Legendas'!C$9)</f>
        <v>0</v>
      </c>
      <c r="D69" s="22">
        <f>SUMIFS('Página 02_Retorno'!P$7:P$108,'Página 02_Retorno'!I$7:I$108,'Pag 06_Bolsas_APROVADO'!A69,'Página 02_Retorno'!L$7:L$108,'Pag 08_Legendas'!C$9)</f>
        <v>0</v>
      </c>
      <c r="E69" s="22">
        <f>SUMIFS('Página 02_Retorno'!Q$7:Q$108,'Página 02_Retorno'!I$7:I$108,'Pag 06_Bolsas_APROVADO'!A69,'Página 02_Retorno'!L$7:L$108,'Pag 08_Legendas'!C$9)</f>
        <v>0</v>
      </c>
      <c r="F69" s="22">
        <f>SUMIFS('Página 02_Retorno'!R$7:R$108,'Página 02_Retorno'!I$7:I$108,'Pag 06_Bolsas_APROVADO'!A69,'Página 02_Retorno'!L$7:L$108,'Pag 08_Legendas'!C$9)</f>
        <v>0</v>
      </c>
      <c r="G69" s="22">
        <f>SUMIFS('Página 02_Retorno'!S$7:S$108,'Página 02_Retorno'!I$7:I$108,'Pag 06_Bolsas_APROVADO'!A69,'Página 02_Retorno'!L$7:L$108,'Pag 08_Legendas'!C$9)</f>
        <v>0</v>
      </c>
      <c r="H69" s="22">
        <f>SUMIFS('Página 02_Retorno'!T$7:T$108,'Página 02_Retorno'!I$7:I$108,'Pag 06_Bolsas_APROVADO'!A69,'Página 02_Retorno'!L$7:L$108,'Pag 08_Legendas'!C$9)</f>
        <v>0</v>
      </c>
      <c r="I69" s="22">
        <f t="shared" si="10"/>
        <v>0</v>
      </c>
      <c r="J69" s="86">
        <f>SUMIFS('Página 02_Retorno'!U$7:U$108,'Página 02_Retorno'!I$7:I$108,'Pag 06_Bolsas_APROVADO'!A69,'Página 02_Retorno'!L$7:L$108,'Pag 08_Legendas'!C$9,'Página 02_Retorno'!B$7:B$108,'Página 01_Cadastro'!B$2)</f>
        <v>0</v>
      </c>
      <c r="K69" s="21">
        <f>COUNTIFS('Página 02_Retorno'!I$7:I$108,'Pag 06_Bolsas_APROVADO'!A69,'Página 02_Retorno'!C$7:C$108,"S",'Página 02_Retorno'!L$7:L$108,'Pag 08_Legendas'!C$9,'Página 02_Retorno'!B$7:B$108,'Página 01_Cadastro'!B$2)</f>
        <v>0</v>
      </c>
    </row>
    <row r="70" spans="1:11" x14ac:dyDescent="0.2">
      <c r="A70" s="20" t="s">
        <v>26</v>
      </c>
      <c r="B70" s="21">
        <f>COUNTIFS('Página 02_Retorno'!I$7:I$108,'Pag 06_Bolsas_APROVADO'!A70,'Página 02_Retorno'!C$7:C$108,"S",'Página 02_Retorno'!L$7:L$108,'Pag 08_Legendas'!C$9)</f>
        <v>0</v>
      </c>
      <c r="C70" s="22">
        <f>SUMIFS('Página 02_Retorno'!O$7:O$108,'Página 02_Retorno'!I$7:I$108,'Pag 06_Bolsas_APROVADO'!A70,'Página 02_Retorno'!L$7:L$108,'Pag 08_Legendas'!C$9)</f>
        <v>0</v>
      </c>
      <c r="D70" s="22">
        <f>SUMIFS('Página 02_Retorno'!P$7:P$108,'Página 02_Retorno'!I$7:I$108,'Pag 06_Bolsas_APROVADO'!A70,'Página 02_Retorno'!L$7:L$108,'Pag 08_Legendas'!C$9)</f>
        <v>0</v>
      </c>
      <c r="E70" s="22">
        <f>SUMIFS('Página 02_Retorno'!Q$7:Q$108,'Página 02_Retorno'!I$7:I$108,'Pag 06_Bolsas_APROVADO'!A70,'Página 02_Retorno'!L$7:L$108,'Pag 08_Legendas'!C$9)</f>
        <v>0</v>
      </c>
      <c r="F70" s="22">
        <f>SUMIFS('Página 02_Retorno'!R$7:R$108,'Página 02_Retorno'!I$7:I$108,'Pag 06_Bolsas_APROVADO'!A70,'Página 02_Retorno'!L$7:L$108,'Pag 08_Legendas'!C$9)</f>
        <v>0</v>
      </c>
      <c r="G70" s="22">
        <f>SUMIFS('Página 02_Retorno'!S$7:S$108,'Página 02_Retorno'!I$7:I$108,'Pag 06_Bolsas_APROVADO'!A70,'Página 02_Retorno'!L$7:L$108,'Pag 08_Legendas'!C$9)</f>
        <v>0</v>
      </c>
      <c r="H70" s="22">
        <f>SUMIFS('Página 02_Retorno'!T$7:T$108,'Página 02_Retorno'!I$7:I$108,'Pag 06_Bolsas_APROVADO'!A70,'Página 02_Retorno'!L$7:L$108,'Pag 08_Legendas'!C$9)</f>
        <v>0</v>
      </c>
      <c r="I70" s="22">
        <f t="shared" si="10"/>
        <v>0</v>
      </c>
      <c r="J70" s="86">
        <f>SUMIFS('Página 02_Retorno'!U$7:U$108,'Página 02_Retorno'!I$7:I$108,'Pag 06_Bolsas_APROVADO'!A70,'Página 02_Retorno'!L$7:L$108,'Pag 08_Legendas'!C$9,'Página 02_Retorno'!B$7:B$108,'Página 01_Cadastro'!B$2)</f>
        <v>0</v>
      </c>
      <c r="K70" s="21">
        <f>COUNTIFS('Página 02_Retorno'!I$7:I$108,'Pag 06_Bolsas_APROVADO'!A70,'Página 02_Retorno'!C$7:C$108,"S",'Página 02_Retorno'!L$7:L$108,'Pag 08_Legendas'!C$9,'Página 02_Retorno'!B$7:B$108,'Página 01_Cadastro'!B$2)</f>
        <v>0</v>
      </c>
    </row>
    <row r="71" spans="1:11" x14ac:dyDescent="0.2">
      <c r="A71" s="20" t="s">
        <v>2</v>
      </c>
      <c r="B71" s="21">
        <f>COUNTIFS('Página 02_Retorno'!I$7:I$108,'Pag 06_Bolsas_APROVADO'!A71,'Página 02_Retorno'!C$7:C$108,"S",'Página 02_Retorno'!L$7:L$108,'Pag 08_Legendas'!C$9)</f>
        <v>0</v>
      </c>
      <c r="C71" s="22">
        <f>SUMIFS('Página 02_Retorno'!O$7:O$108,'Página 02_Retorno'!I$7:I$108,'Pag 06_Bolsas_APROVADO'!A71,'Página 02_Retorno'!L$7:L$108,'Pag 08_Legendas'!C$9)</f>
        <v>0</v>
      </c>
      <c r="D71" s="22">
        <f>SUMIFS('Página 02_Retorno'!P$7:P$108,'Página 02_Retorno'!I$7:I$108,'Pag 06_Bolsas_APROVADO'!A71,'Página 02_Retorno'!L$7:L$108,'Pag 08_Legendas'!C$9)</f>
        <v>0</v>
      </c>
      <c r="E71" s="22">
        <f>SUMIFS('Página 02_Retorno'!Q$7:Q$108,'Página 02_Retorno'!I$7:I$108,'Pag 06_Bolsas_APROVADO'!A71,'Página 02_Retorno'!L$7:L$108,'Pag 08_Legendas'!C$9)</f>
        <v>0</v>
      </c>
      <c r="F71" s="22">
        <f>SUMIFS('Página 02_Retorno'!R$7:R$108,'Página 02_Retorno'!I$7:I$108,'Pag 06_Bolsas_APROVADO'!A71,'Página 02_Retorno'!L$7:L$108,'Pag 08_Legendas'!C$9)</f>
        <v>0</v>
      </c>
      <c r="G71" s="22">
        <f>SUMIFS('Página 02_Retorno'!S$7:S$108,'Página 02_Retorno'!I$7:I$108,'Pag 06_Bolsas_APROVADO'!A71,'Página 02_Retorno'!L$7:L$108,'Pag 08_Legendas'!C$9)</f>
        <v>0</v>
      </c>
      <c r="H71" s="22">
        <f>SUMIFS('Página 02_Retorno'!T$7:T$108,'Página 02_Retorno'!I$7:I$108,'Pag 06_Bolsas_APROVADO'!A71,'Página 02_Retorno'!L$7:L$108,'Pag 08_Legendas'!C$9)</f>
        <v>0</v>
      </c>
      <c r="I71" s="22">
        <f t="shared" si="10"/>
        <v>0</v>
      </c>
      <c r="J71" s="86">
        <f>SUMIFS('Página 02_Retorno'!U$7:U$108,'Página 02_Retorno'!I$7:I$108,'Pag 06_Bolsas_APROVADO'!A71,'Página 02_Retorno'!L$7:L$108,'Pag 08_Legendas'!C$9,'Página 02_Retorno'!B$7:B$108,'Página 01_Cadastro'!B$2)</f>
        <v>0</v>
      </c>
      <c r="K71" s="21">
        <f>COUNTIFS('Página 02_Retorno'!I$7:I$108,'Pag 06_Bolsas_APROVADO'!A71,'Página 02_Retorno'!C$7:C$108,"S",'Página 02_Retorno'!L$7:L$108,'Pag 08_Legendas'!C$9,'Página 02_Retorno'!B$7:B$108,'Página 01_Cadastro'!B$2)</f>
        <v>0</v>
      </c>
    </row>
    <row r="72" spans="1:11" x14ac:dyDescent="0.2">
      <c r="A72" s="20" t="s">
        <v>4</v>
      </c>
      <c r="B72" s="21">
        <f>COUNTIFS('Página 02_Retorno'!I$7:I$108,'Pag 06_Bolsas_APROVADO'!A72,'Página 02_Retorno'!C$7:C$108,"S",'Página 02_Retorno'!L$7:L$108,'Pag 08_Legendas'!C$9)</f>
        <v>0</v>
      </c>
      <c r="C72" s="22">
        <f>SUMIFS('Página 02_Retorno'!O$7:O$108,'Página 02_Retorno'!I$7:I$108,'Pag 06_Bolsas_APROVADO'!A72,'Página 02_Retorno'!L$7:L$108,'Pag 08_Legendas'!C$9)</f>
        <v>0</v>
      </c>
      <c r="D72" s="22">
        <f>SUMIFS('Página 02_Retorno'!P$7:P$108,'Página 02_Retorno'!I$7:I$108,'Pag 06_Bolsas_APROVADO'!A72,'Página 02_Retorno'!L$7:L$108,'Pag 08_Legendas'!C$9)</f>
        <v>0</v>
      </c>
      <c r="E72" s="22">
        <f>SUMIFS('Página 02_Retorno'!Q$7:Q$108,'Página 02_Retorno'!I$7:I$108,'Pag 06_Bolsas_APROVADO'!A72,'Página 02_Retorno'!L$7:L$108,'Pag 08_Legendas'!C$9)</f>
        <v>0</v>
      </c>
      <c r="F72" s="22">
        <f>SUMIFS('Página 02_Retorno'!R$7:R$108,'Página 02_Retorno'!I$7:I$108,'Pag 06_Bolsas_APROVADO'!A72,'Página 02_Retorno'!L$7:L$108,'Pag 08_Legendas'!C$9)</f>
        <v>0</v>
      </c>
      <c r="G72" s="22">
        <f>SUMIFS('Página 02_Retorno'!S$7:S$108,'Página 02_Retorno'!I$7:I$108,'Pag 06_Bolsas_APROVADO'!A72,'Página 02_Retorno'!L$7:L$108,'Pag 08_Legendas'!C$9)</f>
        <v>0</v>
      </c>
      <c r="H72" s="22">
        <f>SUMIFS('Página 02_Retorno'!T$7:T$108,'Página 02_Retorno'!I$7:I$108,'Pag 06_Bolsas_APROVADO'!A72,'Página 02_Retorno'!L$7:L$108,'Pag 08_Legendas'!C$9)</f>
        <v>0</v>
      </c>
      <c r="I72" s="22">
        <f t="shared" si="10"/>
        <v>0</v>
      </c>
      <c r="J72" s="86">
        <f>SUMIFS('Página 02_Retorno'!U$7:U$108,'Página 02_Retorno'!I$7:I$108,'Pag 06_Bolsas_APROVADO'!A72,'Página 02_Retorno'!L$7:L$108,'Pag 08_Legendas'!C$9,'Página 02_Retorno'!B$7:B$108,'Página 01_Cadastro'!B$2)</f>
        <v>0</v>
      </c>
      <c r="K72" s="21">
        <f>COUNTIFS('Página 02_Retorno'!I$7:I$108,'Pag 06_Bolsas_APROVADO'!A72,'Página 02_Retorno'!C$7:C$108,"S",'Página 02_Retorno'!L$7:L$108,'Pag 08_Legendas'!C$9,'Página 02_Retorno'!B$7:B$108,'Página 01_Cadastro'!B$2)</f>
        <v>0</v>
      </c>
    </row>
    <row r="73" spans="1:11" x14ac:dyDescent="0.2">
      <c r="A73" s="20" t="s">
        <v>3</v>
      </c>
      <c r="B73" s="21">
        <f>COUNTIFS('Página 02_Retorno'!I$7:I$108,'Pag 06_Bolsas_APROVADO'!A73,'Página 02_Retorno'!C$7:C$108,"S",'Página 02_Retorno'!L$7:L$108,'Pag 08_Legendas'!C$9)</f>
        <v>0</v>
      </c>
      <c r="C73" s="22">
        <f>SUMIFS('Página 02_Retorno'!O$7:O$108,'Página 02_Retorno'!I$7:I$108,'Pag 06_Bolsas_APROVADO'!A73,'Página 02_Retorno'!L$7:L$108,'Pag 08_Legendas'!C$9)</f>
        <v>0</v>
      </c>
      <c r="D73" s="22">
        <f>SUMIFS('Página 02_Retorno'!P$7:P$108,'Página 02_Retorno'!I$7:I$108,'Pag 06_Bolsas_APROVADO'!A73,'Página 02_Retorno'!L$7:L$108,'Pag 08_Legendas'!C$9)</f>
        <v>0</v>
      </c>
      <c r="E73" s="22">
        <f>SUMIFS('Página 02_Retorno'!Q$7:Q$108,'Página 02_Retorno'!I$7:I$108,'Pag 06_Bolsas_APROVADO'!A73,'Página 02_Retorno'!L$7:L$108,'Pag 08_Legendas'!C$9)</f>
        <v>0</v>
      </c>
      <c r="F73" s="22">
        <f>SUMIFS('Página 02_Retorno'!R$7:R$108,'Página 02_Retorno'!I$7:I$108,'Pag 06_Bolsas_APROVADO'!A73,'Página 02_Retorno'!L$7:L$108,'Pag 08_Legendas'!C$9)</f>
        <v>0</v>
      </c>
      <c r="G73" s="22">
        <f>SUMIFS('Página 02_Retorno'!S$7:S$108,'Página 02_Retorno'!I$7:I$108,'Pag 06_Bolsas_APROVADO'!A73,'Página 02_Retorno'!L$7:L$108,'Pag 08_Legendas'!C$9)</f>
        <v>0</v>
      </c>
      <c r="H73" s="22">
        <f>SUMIFS('Página 02_Retorno'!T$7:T$108,'Página 02_Retorno'!I$7:I$108,'Pag 06_Bolsas_APROVADO'!A73,'Página 02_Retorno'!L$7:L$108,'Pag 08_Legendas'!C$9)</f>
        <v>0</v>
      </c>
      <c r="I73" s="22">
        <f t="shared" si="10"/>
        <v>0</v>
      </c>
      <c r="J73" s="86">
        <f>SUMIFS('Página 02_Retorno'!U$7:U$108,'Página 02_Retorno'!I$7:I$108,'Pag 06_Bolsas_APROVADO'!A73,'Página 02_Retorno'!L$7:L$108,'Pag 08_Legendas'!C$9,'Página 02_Retorno'!B$7:B$108,'Página 01_Cadastro'!B$2)</f>
        <v>0</v>
      </c>
      <c r="K73" s="21">
        <f>COUNTIFS('Página 02_Retorno'!I$7:I$108,'Pag 06_Bolsas_APROVADO'!A73,'Página 02_Retorno'!C$7:C$108,"S",'Página 02_Retorno'!L$7:L$108,'Pag 08_Legendas'!C$9,'Página 02_Retorno'!B$7:B$108,'Página 01_Cadastro'!B$2)</f>
        <v>0</v>
      </c>
    </row>
    <row r="74" spans="1:11" x14ac:dyDescent="0.2">
      <c r="A74" s="32" t="s">
        <v>6</v>
      </c>
      <c r="B74" s="31">
        <f>SUM(B67:B73)</f>
        <v>0</v>
      </c>
      <c r="C74" s="33">
        <f t="shared" ref="C74:H74" si="11">SUM(C67:C73)</f>
        <v>0</v>
      </c>
      <c r="D74" s="33">
        <f t="shared" si="11"/>
        <v>0</v>
      </c>
      <c r="E74" s="33">
        <f t="shared" si="11"/>
        <v>0</v>
      </c>
      <c r="F74" s="33">
        <f t="shared" si="11"/>
        <v>0</v>
      </c>
      <c r="G74" s="33">
        <f t="shared" si="11"/>
        <v>0</v>
      </c>
      <c r="H74" s="33">
        <f t="shared" si="11"/>
        <v>0</v>
      </c>
      <c r="I74" s="33">
        <f t="shared" si="10"/>
        <v>0</v>
      </c>
      <c r="J74" s="34">
        <f>SUM(J67:J73)</f>
        <v>0</v>
      </c>
      <c r="K74" s="31">
        <f>SUM(K67:K73)</f>
        <v>0</v>
      </c>
    </row>
    <row r="76" spans="1:11" x14ac:dyDescent="0.2">
      <c r="A76" s="174" t="s">
        <v>135</v>
      </c>
      <c r="B76" s="174"/>
      <c r="C76" s="174"/>
      <c r="D76" s="174"/>
      <c r="E76" s="174"/>
      <c r="F76" s="174"/>
      <c r="G76" s="174"/>
      <c r="H76" s="174"/>
      <c r="I76" s="174"/>
    </row>
    <row r="78" spans="1:11" ht="51" x14ac:dyDescent="0.2">
      <c r="A78" s="35" t="s">
        <v>25</v>
      </c>
      <c r="B78" s="36" t="s">
        <v>27</v>
      </c>
      <c r="C78" s="36" t="s">
        <v>16</v>
      </c>
      <c r="D78" s="37" t="s">
        <v>17</v>
      </c>
      <c r="E78" s="37" t="s">
        <v>18</v>
      </c>
      <c r="F78" s="37" t="s">
        <v>19</v>
      </c>
      <c r="G78" s="37" t="s">
        <v>20</v>
      </c>
      <c r="H78" s="37" t="s">
        <v>21</v>
      </c>
      <c r="I78" s="37" t="s">
        <v>28</v>
      </c>
      <c r="J78" s="37" t="s">
        <v>126</v>
      </c>
      <c r="K78" s="37" t="s">
        <v>127</v>
      </c>
    </row>
    <row r="79" spans="1:11" x14ac:dyDescent="0.2">
      <c r="A79" s="20" t="s">
        <v>0</v>
      </c>
      <c r="B79" s="21">
        <f>COUNTIFS('Página 02_Retorno'!I$7:I$108,'Pag 06_Bolsas_APROVADO'!A79,'Página 02_Retorno'!C$7:C$108,"S",'Página 02_Retorno'!L$7:L$108,'Pag 08_Legendas'!C$4)</f>
        <v>0</v>
      </c>
      <c r="C79" s="22">
        <f>SUMIFS('Página 02_Retorno'!O$7:O$108,'Página 02_Retorno'!I$7:I$108,'Pag 06_Bolsas_APROVADO'!A79,'Página 02_Retorno'!L$7:L$108,'Pag 08_Legendas'!C$4)</f>
        <v>0</v>
      </c>
      <c r="D79" s="22">
        <f>SUMIFS('Página 02_Retorno'!P$7:P$108,'Página 02_Retorno'!I$7:I$108,'Pag 06_Bolsas_APROVADO'!A79,'Página 02_Retorno'!L$7:L$108,'Pag 08_Legendas'!C$4)</f>
        <v>0</v>
      </c>
      <c r="E79" s="22">
        <f>SUMIFS('Página 02_Retorno'!Q$7:Q$108,'Página 02_Retorno'!I$7:I$108,'Pag 06_Bolsas_APROVADO'!A79,'Página 02_Retorno'!L$7:L$108,'Pag 08_Legendas'!C$4)</f>
        <v>0</v>
      </c>
      <c r="F79" s="22">
        <f>SUMIFS('Página 02_Retorno'!R$7:R$108,'Página 02_Retorno'!I$7:I$108,'Pag 06_Bolsas_APROVADO'!A79,'Página 02_Retorno'!L$7:L$108,'Pag 08_Legendas'!C$4)</f>
        <v>0</v>
      </c>
      <c r="G79" s="22">
        <f>SUMIFS('Página 02_Retorno'!S$7:S$108,'Página 02_Retorno'!I$7:I$108,'Pag 06_Bolsas_APROVADO'!A79,'Página 02_Retorno'!L$7:L$108,'Pag 08_Legendas'!C$4)</f>
        <v>0</v>
      </c>
      <c r="H79" s="22">
        <f>SUMIFS('Página 02_Retorno'!T$7:T$108,'Página 02_Retorno'!I$7:I$108,'Pag 06_Bolsas_APROVADO'!A79,'Página 02_Retorno'!L$7:L$108,'Pag 08_Legendas'!C$4)</f>
        <v>0</v>
      </c>
      <c r="I79" s="22">
        <f>SUM(C79:H79)</f>
        <v>0</v>
      </c>
      <c r="J79" s="86">
        <f>SUMIFS('Página 02_Retorno'!U$7:U$108,'Página 02_Retorno'!I$7:I$108,'Pag 06_Bolsas_APROVADO'!A79,'Página 02_Retorno'!L$7:L$108,'Pag 08_Legendas'!C$4,'Página 02_Retorno'!B$7:B$108,'Página 01_Cadastro'!B$2)</f>
        <v>0</v>
      </c>
      <c r="K79" s="21">
        <f>COUNTIFS('Página 02_Retorno'!I$7:I$108,'Pag 06_Bolsas_APROVADO'!A79,'Página 02_Retorno'!C$7:C$108,"S",'Página 02_Retorno'!L$7:L$108,'Pag 08_Legendas'!C$4,'Página 02_Retorno'!B$7:B$108,'Página 01_Cadastro'!B$2)</f>
        <v>0</v>
      </c>
    </row>
    <row r="80" spans="1:11" x14ac:dyDescent="0.2">
      <c r="A80" s="20" t="s">
        <v>5</v>
      </c>
      <c r="B80" s="21">
        <f>COUNTIFS('Página 02_Retorno'!I$7:I$108,'Pag 06_Bolsas_APROVADO'!A80,'Página 02_Retorno'!C$7:C$108,"S",'Página 02_Retorno'!L$7:L$108,'Pag 08_Legendas'!C$4)</f>
        <v>0</v>
      </c>
      <c r="C80" s="22">
        <f>SUMIFS('Página 02_Retorno'!O$7:O$108,'Página 02_Retorno'!I$7:I$108,'Pag 06_Bolsas_APROVADO'!A80,'Página 02_Retorno'!L$7:L$108,'Pag 08_Legendas'!C$4)</f>
        <v>0</v>
      </c>
      <c r="D80" s="22">
        <f>SUMIFS('Página 02_Retorno'!P$7:P$108,'Página 02_Retorno'!I$7:I$108,'Pag 06_Bolsas_APROVADO'!A80,'Página 02_Retorno'!L$7:L$108,'Pag 08_Legendas'!C$4)</f>
        <v>0</v>
      </c>
      <c r="E80" s="22">
        <f>SUMIFS('Página 02_Retorno'!Q$7:Q$108,'Página 02_Retorno'!I$7:I$108,'Pag 06_Bolsas_APROVADO'!A80,'Página 02_Retorno'!L$7:L$108,'Pag 08_Legendas'!C$4)</f>
        <v>0</v>
      </c>
      <c r="F80" s="22">
        <f>SUMIFS('Página 02_Retorno'!R$7:R$108,'Página 02_Retorno'!I$7:I$108,'Pag 06_Bolsas_APROVADO'!A80,'Página 02_Retorno'!L$7:L$108,'Pag 08_Legendas'!C$4)</f>
        <v>0</v>
      </c>
      <c r="G80" s="22">
        <f>SUMIFS('Página 02_Retorno'!S$7:S$108,'Página 02_Retorno'!I$7:I$108,'Pag 06_Bolsas_APROVADO'!A80,'Página 02_Retorno'!L$7:L$108,'Pag 08_Legendas'!C$4)</f>
        <v>0</v>
      </c>
      <c r="H80" s="22">
        <f>SUMIFS('Página 02_Retorno'!T$7:T$108,'Página 02_Retorno'!I$7:I$108,'Pag 06_Bolsas_APROVADO'!A80,'Página 02_Retorno'!L$7:L$108,'Pag 08_Legendas'!C$4)</f>
        <v>0</v>
      </c>
      <c r="I80" s="22">
        <f t="shared" ref="I80:I86" si="12">SUM(C80:H80)</f>
        <v>0</v>
      </c>
      <c r="J80" s="86">
        <f>SUMIFS('Página 02_Retorno'!U$7:U$108,'Página 02_Retorno'!I$7:I$108,'Pag 06_Bolsas_APROVADO'!A80,'Página 02_Retorno'!L$7:L$108,'Pag 08_Legendas'!C$4,'Página 02_Retorno'!B$7:B$108,'Página 01_Cadastro'!B$2)</f>
        <v>0</v>
      </c>
      <c r="K80" s="21">
        <f>COUNTIFS('Página 02_Retorno'!I$7:I$108,'Pag 06_Bolsas_APROVADO'!A80,'Página 02_Retorno'!C$7:C$108,"S",'Página 02_Retorno'!L$7:L$108,'Pag 08_Legendas'!C$4,'Página 02_Retorno'!B$7:B$108,'Página 01_Cadastro'!B$2)</f>
        <v>0</v>
      </c>
    </row>
    <row r="81" spans="1:11" x14ac:dyDescent="0.2">
      <c r="A81" s="20" t="s">
        <v>1</v>
      </c>
      <c r="B81" s="21">
        <f>COUNTIFS('Página 02_Retorno'!I$7:I$108,'Pag 06_Bolsas_APROVADO'!A81,'Página 02_Retorno'!C$7:C$108,"S",'Página 02_Retorno'!L$7:L$108,'Pag 08_Legendas'!C$4)</f>
        <v>0</v>
      </c>
      <c r="C81" s="22">
        <f>SUMIFS('Página 02_Retorno'!O$7:O$108,'Página 02_Retorno'!I$7:I$108,'Pag 06_Bolsas_APROVADO'!A81,'Página 02_Retorno'!L$7:L$108,'Pag 08_Legendas'!C$4)</f>
        <v>0</v>
      </c>
      <c r="D81" s="22">
        <f>SUMIFS('Página 02_Retorno'!P$7:P$108,'Página 02_Retorno'!I$7:I$108,'Pag 06_Bolsas_APROVADO'!A81,'Página 02_Retorno'!L$7:L$108,'Pag 08_Legendas'!C$4)</f>
        <v>0</v>
      </c>
      <c r="E81" s="22">
        <f>SUMIFS('Página 02_Retorno'!Q$7:Q$108,'Página 02_Retorno'!I$7:I$108,'Pag 06_Bolsas_APROVADO'!A81,'Página 02_Retorno'!L$7:L$108,'Pag 08_Legendas'!C$4)</f>
        <v>0</v>
      </c>
      <c r="F81" s="22">
        <f>SUMIFS('Página 02_Retorno'!R$7:R$108,'Página 02_Retorno'!I$7:I$108,'Pag 06_Bolsas_APROVADO'!A81,'Página 02_Retorno'!L$7:L$108,'Pag 08_Legendas'!C$4)</f>
        <v>0</v>
      </c>
      <c r="G81" s="22">
        <f>SUMIFS('Página 02_Retorno'!S$7:S$108,'Página 02_Retorno'!I$7:I$108,'Pag 06_Bolsas_APROVADO'!A81,'Página 02_Retorno'!L$7:L$108,'Pag 08_Legendas'!C$4)</f>
        <v>0</v>
      </c>
      <c r="H81" s="22">
        <f>SUMIFS('Página 02_Retorno'!T$7:T$108,'Página 02_Retorno'!I$7:I$108,'Pag 06_Bolsas_APROVADO'!A81,'Página 02_Retorno'!L$7:L$108,'Pag 08_Legendas'!C$4)</f>
        <v>0</v>
      </c>
      <c r="I81" s="22">
        <f t="shared" si="12"/>
        <v>0</v>
      </c>
      <c r="J81" s="86">
        <f>SUMIFS('Página 02_Retorno'!U$7:U$108,'Página 02_Retorno'!I$7:I$108,'Pag 06_Bolsas_APROVADO'!A81,'Página 02_Retorno'!L$7:L$108,'Pag 08_Legendas'!C$4,'Página 02_Retorno'!B$7:B$108,'Página 01_Cadastro'!B$2)</f>
        <v>0</v>
      </c>
      <c r="K81" s="21">
        <f>COUNTIFS('Página 02_Retorno'!I$7:I$108,'Pag 06_Bolsas_APROVADO'!A81,'Página 02_Retorno'!C$7:C$108,"S",'Página 02_Retorno'!L$7:L$108,'Pag 08_Legendas'!C$4,'Página 02_Retorno'!B$7:B$108,'Página 01_Cadastro'!B$2)</f>
        <v>0</v>
      </c>
    </row>
    <row r="82" spans="1:11" x14ac:dyDescent="0.2">
      <c r="A82" s="20" t="s">
        <v>26</v>
      </c>
      <c r="B82" s="21">
        <f>COUNTIFS('Página 02_Retorno'!I$7:I$108,'Pag 06_Bolsas_APROVADO'!A82,'Página 02_Retorno'!C$7:C$108,"S",'Página 02_Retorno'!L$7:L$108,'Pag 08_Legendas'!C$4)</f>
        <v>0</v>
      </c>
      <c r="C82" s="22">
        <f>SUMIFS('Página 02_Retorno'!O$7:O$108,'Página 02_Retorno'!I$7:I$108,'Pag 06_Bolsas_APROVADO'!A82,'Página 02_Retorno'!L$7:L$108,'Pag 08_Legendas'!C$4)</f>
        <v>0</v>
      </c>
      <c r="D82" s="22">
        <f>SUMIFS('Página 02_Retorno'!P$7:P$108,'Página 02_Retorno'!I$7:I$108,'Pag 06_Bolsas_APROVADO'!A82,'Página 02_Retorno'!L$7:L$108,'Pag 08_Legendas'!C$4)</f>
        <v>0</v>
      </c>
      <c r="E82" s="22">
        <f>SUMIFS('Página 02_Retorno'!Q$7:Q$108,'Página 02_Retorno'!I$7:I$108,'Pag 06_Bolsas_APROVADO'!A82,'Página 02_Retorno'!L$7:L$108,'Pag 08_Legendas'!C$4)</f>
        <v>0</v>
      </c>
      <c r="F82" s="22">
        <f>SUMIFS('Página 02_Retorno'!R$7:R$108,'Página 02_Retorno'!I$7:I$108,'Pag 06_Bolsas_APROVADO'!A82,'Página 02_Retorno'!L$7:L$108,'Pag 08_Legendas'!C$4)</f>
        <v>0</v>
      </c>
      <c r="G82" s="22">
        <f>SUMIFS('Página 02_Retorno'!S$7:S$108,'Página 02_Retorno'!I$7:I$108,'Pag 06_Bolsas_APROVADO'!A82,'Página 02_Retorno'!L$7:L$108,'Pag 08_Legendas'!C$4)</f>
        <v>0</v>
      </c>
      <c r="H82" s="22">
        <f>SUMIFS('Página 02_Retorno'!T$7:T$108,'Página 02_Retorno'!I$7:I$108,'Pag 06_Bolsas_APROVADO'!A82,'Página 02_Retorno'!L$7:L$108,'Pag 08_Legendas'!C$4)</f>
        <v>0</v>
      </c>
      <c r="I82" s="22">
        <f t="shared" si="12"/>
        <v>0</v>
      </c>
      <c r="J82" s="86">
        <f>SUMIFS('Página 02_Retorno'!U$7:U$108,'Página 02_Retorno'!I$7:I$108,'Pag 06_Bolsas_APROVADO'!A82,'Página 02_Retorno'!L$7:L$108,'Pag 08_Legendas'!C$4,'Página 02_Retorno'!B$7:B$108,'Página 01_Cadastro'!B$2)</f>
        <v>0</v>
      </c>
      <c r="K82" s="21">
        <f>COUNTIFS('Página 02_Retorno'!I$7:I$108,'Pag 06_Bolsas_APROVADO'!A82,'Página 02_Retorno'!C$7:C$108,"S",'Página 02_Retorno'!L$7:L$108,'Pag 08_Legendas'!C$4,'Página 02_Retorno'!B$7:B$108,'Página 01_Cadastro'!B$2)</f>
        <v>0</v>
      </c>
    </row>
    <row r="83" spans="1:11" x14ac:dyDescent="0.2">
      <c r="A83" s="20" t="s">
        <v>2</v>
      </c>
      <c r="B83" s="21">
        <f>COUNTIFS('Página 02_Retorno'!I$7:I$108,'Pag 06_Bolsas_APROVADO'!A83,'Página 02_Retorno'!C$7:C$108,"S",'Página 02_Retorno'!L$7:L$108,'Pag 08_Legendas'!C$4)</f>
        <v>0</v>
      </c>
      <c r="C83" s="22">
        <f>SUMIFS('Página 02_Retorno'!O$7:O$108,'Página 02_Retorno'!I$7:I$108,'Pag 06_Bolsas_APROVADO'!A83,'Página 02_Retorno'!L$7:L$108,'Pag 08_Legendas'!C$4)</f>
        <v>0</v>
      </c>
      <c r="D83" s="22">
        <f>SUMIFS('Página 02_Retorno'!P$7:P$108,'Página 02_Retorno'!I$7:I$108,'Pag 06_Bolsas_APROVADO'!A83,'Página 02_Retorno'!L$7:L$108,'Pag 08_Legendas'!C$4)</f>
        <v>0</v>
      </c>
      <c r="E83" s="22">
        <f>SUMIFS('Página 02_Retorno'!Q$7:Q$108,'Página 02_Retorno'!I$7:I$108,'Pag 06_Bolsas_APROVADO'!A83,'Página 02_Retorno'!L$7:L$108,'Pag 08_Legendas'!C$4)</f>
        <v>0</v>
      </c>
      <c r="F83" s="22">
        <f>SUMIFS('Página 02_Retorno'!R$7:R$108,'Página 02_Retorno'!I$7:I$108,'Pag 06_Bolsas_APROVADO'!A83,'Página 02_Retorno'!L$7:L$108,'Pag 08_Legendas'!C$4)</f>
        <v>0</v>
      </c>
      <c r="G83" s="22">
        <f>SUMIFS('Página 02_Retorno'!S$7:S$108,'Página 02_Retorno'!I$7:I$108,'Pag 06_Bolsas_APROVADO'!A83,'Página 02_Retorno'!L$7:L$108,'Pag 08_Legendas'!C$4)</f>
        <v>0</v>
      </c>
      <c r="H83" s="22">
        <f>SUMIFS('Página 02_Retorno'!T$7:T$108,'Página 02_Retorno'!I$7:I$108,'Pag 06_Bolsas_APROVADO'!A83,'Página 02_Retorno'!L$7:L$108,'Pag 08_Legendas'!C$4)</f>
        <v>0</v>
      </c>
      <c r="I83" s="22">
        <f t="shared" si="12"/>
        <v>0</v>
      </c>
      <c r="J83" s="86">
        <f>SUMIFS('Página 02_Retorno'!U$7:U$108,'Página 02_Retorno'!I$7:I$108,'Pag 06_Bolsas_APROVADO'!A83,'Página 02_Retorno'!L$7:L$108,'Pag 08_Legendas'!C$4,'Página 02_Retorno'!B$7:B$108,'Página 01_Cadastro'!B$2)</f>
        <v>0</v>
      </c>
      <c r="K83" s="21">
        <f>COUNTIFS('Página 02_Retorno'!I$7:I$108,'Pag 06_Bolsas_APROVADO'!A83,'Página 02_Retorno'!C$7:C$108,"S",'Página 02_Retorno'!L$7:L$108,'Pag 08_Legendas'!C$4,'Página 02_Retorno'!B$7:B$108,'Página 01_Cadastro'!B$2)</f>
        <v>0</v>
      </c>
    </row>
    <row r="84" spans="1:11" x14ac:dyDescent="0.2">
      <c r="A84" s="20" t="s">
        <v>4</v>
      </c>
      <c r="B84" s="21">
        <f>COUNTIFS('Página 02_Retorno'!I$7:I$108,'Pag 06_Bolsas_APROVADO'!A84,'Página 02_Retorno'!C$7:C$108,"S",'Página 02_Retorno'!L$7:L$108,'Pag 08_Legendas'!C$4)</f>
        <v>0</v>
      </c>
      <c r="C84" s="22">
        <f>SUMIFS('Página 02_Retorno'!O$7:O$108,'Página 02_Retorno'!I$7:I$108,'Pag 06_Bolsas_APROVADO'!A84,'Página 02_Retorno'!L$7:L$108,'Pag 08_Legendas'!C$4)</f>
        <v>0</v>
      </c>
      <c r="D84" s="22">
        <f>SUMIFS('Página 02_Retorno'!P$7:P$108,'Página 02_Retorno'!I$7:I$108,'Pag 06_Bolsas_APROVADO'!A84,'Página 02_Retorno'!L$7:L$108,'Pag 08_Legendas'!C$4)</f>
        <v>0</v>
      </c>
      <c r="E84" s="22">
        <f>SUMIFS('Página 02_Retorno'!Q$7:Q$108,'Página 02_Retorno'!I$7:I$108,'Pag 06_Bolsas_APROVADO'!A84,'Página 02_Retorno'!L$7:L$108,'Pag 08_Legendas'!C$4)</f>
        <v>0</v>
      </c>
      <c r="F84" s="22">
        <f>SUMIFS('Página 02_Retorno'!R$7:R$108,'Página 02_Retorno'!I$7:I$108,'Pag 06_Bolsas_APROVADO'!A84,'Página 02_Retorno'!L$7:L$108,'Pag 08_Legendas'!C$4)</f>
        <v>0</v>
      </c>
      <c r="G84" s="22">
        <f>SUMIFS('Página 02_Retorno'!S$7:S$108,'Página 02_Retorno'!I$7:I$108,'Pag 06_Bolsas_APROVADO'!A84,'Página 02_Retorno'!L$7:L$108,'Pag 08_Legendas'!C$4)</f>
        <v>0</v>
      </c>
      <c r="H84" s="22">
        <f>SUMIFS('Página 02_Retorno'!T$7:T$108,'Página 02_Retorno'!I$7:I$108,'Pag 06_Bolsas_APROVADO'!A84,'Página 02_Retorno'!L$7:L$108,'Pag 08_Legendas'!C$4)</f>
        <v>0</v>
      </c>
      <c r="I84" s="22">
        <f t="shared" si="12"/>
        <v>0</v>
      </c>
      <c r="J84" s="86">
        <f>SUMIFS('Página 02_Retorno'!U$7:U$108,'Página 02_Retorno'!I$7:I$108,'Pag 06_Bolsas_APROVADO'!A84,'Página 02_Retorno'!L$7:L$108,'Pag 08_Legendas'!C$4,'Página 02_Retorno'!B$7:B$108,'Página 01_Cadastro'!B$2)</f>
        <v>0</v>
      </c>
      <c r="K84" s="21">
        <f>COUNTIFS('Página 02_Retorno'!I$7:I$108,'Pag 06_Bolsas_APROVADO'!A84,'Página 02_Retorno'!C$7:C$108,"S",'Página 02_Retorno'!L$7:L$108,'Pag 08_Legendas'!C$4,'Página 02_Retorno'!B$7:B$108,'Página 01_Cadastro'!B$2)</f>
        <v>0</v>
      </c>
    </row>
    <row r="85" spans="1:11" x14ac:dyDescent="0.2">
      <c r="A85" s="20" t="s">
        <v>3</v>
      </c>
      <c r="B85" s="21">
        <f>COUNTIFS('Página 02_Retorno'!I$7:I$108,'Pag 06_Bolsas_APROVADO'!A85,'Página 02_Retorno'!C$7:C$108,"S",'Página 02_Retorno'!L$7:L$108,'Pag 08_Legendas'!C$4)</f>
        <v>0</v>
      </c>
      <c r="C85" s="22">
        <f>SUMIFS('Página 02_Retorno'!O$7:O$108,'Página 02_Retorno'!I$7:I$108,'Pag 06_Bolsas_APROVADO'!A85,'Página 02_Retorno'!L$7:L$108,'Pag 08_Legendas'!C$4)</f>
        <v>0</v>
      </c>
      <c r="D85" s="22">
        <f>SUMIFS('Página 02_Retorno'!P$7:P$108,'Página 02_Retorno'!I$7:I$108,'Pag 06_Bolsas_APROVADO'!A85,'Página 02_Retorno'!L$7:L$108,'Pag 08_Legendas'!C$4)</f>
        <v>0</v>
      </c>
      <c r="E85" s="22">
        <f>SUMIFS('Página 02_Retorno'!Q$7:Q$108,'Página 02_Retorno'!I$7:I$108,'Pag 06_Bolsas_APROVADO'!A85,'Página 02_Retorno'!L$7:L$108,'Pag 08_Legendas'!C$4)</f>
        <v>0</v>
      </c>
      <c r="F85" s="22">
        <f>SUMIFS('Página 02_Retorno'!R$7:R$108,'Página 02_Retorno'!I$7:I$108,'Pag 06_Bolsas_APROVADO'!A85,'Página 02_Retorno'!L$7:L$108,'Pag 08_Legendas'!C$4)</f>
        <v>0</v>
      </c>
      <c r="G85" s="22">
        <f>SUMIFS('Página 02_Retorno'!S$7:S$108,'Página 02_Retorno'!I$7:I$108,'Pag 06_Bolsas_APROVADO'!A85,'Página 02_Retorno'!L$7:L$108,'Pag 08_Legendas'!C$4)</f>
        <v>0</v>
      </c>
      <c r="H85" s="22">
        <f>SUMIFS('Página 02_Retorno'!T$7:T$108,'Página 02_Retorno'!I$7:I$108,'Pag 06_Bolsas_APROVADO'!A85,'Página 02_Retorno'!L$7:L$108,'Pag 08_Legendas'!C$4)</f>
        <v>0</v>
      </c>
      <c r="I85" s="22">
        <f t="shared" si="12"/>
        <v>0</v>
      </c>
      <c r="J85" s="86">
        <f>SUMIFS('Página 02_Retorno'!U$7:U$108,'Página 02_Retorno'!I$7:I$108,'Pag 06_Bolsas_APROVADO'!A85,'Página 02_Retorno'!L$7:L$108,'Pag 08_Legendas'!C$4,'Página 02_Retorno'!B$7:B$108,'Página 01_Cadastro'!B$2)</f>
        <v>0</v>
      </c>
      <c r="K85" s="21">
        <f>COUNTIFS('Página 02_Retorno'!I$7:I$108,'Pag 06_Bolsas_APROVADO'!A85,'Página 02_Retorno'!C$7:C$108,"S",'Página 02_Retorno'!L$7:L$108,'Pag 08_Legendas'!C$4,'Página 02_Retorno'!B$7:B$108,'Página 01_Cadastro'!B$2)</f>
        <v>0</v>
      </c>
    </row>
    <row r="86" spans="1:11" x14ac:dyDescent="0.2">
      <c r="A86" s="32" t="s">
        <v>6</v>
      </c>
      <c r="B86" s="31">
        <f>SUM(B79:B85)</f>
        <v>0</v>
      </c>
      <c r="C86" s="33">
        <f t="shared" ref="C86:H86" si="13">SUM(C79:C85)</f>
        <v>0</v>
      </c>
      <c r="D86" s="33">
        <f t="shared" si="13"/>
        <v>0</v>
      </c>
      <c r="E86" s="33">
        <f t="shared" si="13"/>
        <v>0</v>
      </c>
      <c r="F86" s="33">
        <f t="shared" si="13"/>
        <v>0</v>
      </c>
      <c r="G86" s="33">
        <f t="shared" si="13"/>
        <v>0</v>
      </c>
      <c r="H86" s="33">
        <f t="shared" si="13"/>
        <v>0</v>
      </c>
      <c r="I86" s="33">
        <f t="shared" si="12"/>
        <v>0</v>
      </c>
      <c r="J86" s="34">
        <f>SUM(J79:J85)</f>
        <v>0</v>
      </c>
      <c r="K86" s="31">
        <f>SUM(K79:K85)</f>
        <v>0</v>
      </c>
    </row>
    <row r="88" spans="1:11" s="3" customFormat="1" x14ac:dyDescent="0.2">
      <c r="A88" s="176" t="s">
        <v>136</v>
      </c>
      <c r="B88" s="176"/>
      <c r="C88" s="176"/>
      <c r="D88" s="176"/>
      <c r="E88" s="176"/>
      <c r="F88" s="176"/>
      <c r="G88" s="176"/>
      <c r="H88" s="176"/>
      <c r="I88" s="176"/>
      <c r="J88" s="87"/>
      <c r="K88" s="87"/>
    </row>
    <row r="90" spans="1:11" ht="51" x14ac:dyDescent="0.2">
      <c r="A90" s="35" t="s">
        <v>25</v>
      </c>
      <c r="B90" s="36" t="s">
        <v>27</v>
      </c>
      <c r="C90" s="36" t="s">
        <v>16</v>
      </c>
      <c r="D90" s="37" t="s">
        <v>17</v>
      </c>
      <c r="E90" s="37" t="s">
        <v>18</v>
      </c>
      <c r="F90" s="37" t="s">
        <v>19</v>
      </c>
      <c r="G90" s="37" t="s">
        <v>20</v>
      </c>
      <c r="H90" s="37" t="s">
        <v>21</v>
      </c>
      <c r="I90" s="37" t="s">
        <v>28</v>
      </c>
      <c r="J90" s="37" t="s">
        <v>126</v>
      </c>
      <c r="K90" s="37" t="s">
        <v>127</v>
      </c>
    </row>
    <row r="91" spans="1:11" x14ac:dyDescent="0.2">
      <c r="A91" s="20" t="s">
        <v>0</v>
      </c>
      <c r="B91" s="21">
        <f>COUNTIFS('Página 02_Retorno'!I$7:I$108,'Pag 06_Bolsas_APROVADO'!A91,'Página 02_Retorno'!C$7:C$108,"S",'Página 02_Retorno'!L$7:L$108,'Pag 08_Legendas'!C$10)</f>
        <v>0</v>
      </c>
      <c r="C91" s="22">
        <f>SUMIFS('Página 02_Retorno'!O$7:O$108,'Página 02_Retorno'!I$7:I$108,'Pag 06_Bolsas_APROVADO'!A91,'Página 02_Retorno'!L$7:L$108,'Pag 08_Legendas'!C$10)</f>
        <v>0</v>
      </c>
      <c r="D91" s="22">
        <f>SUMIFS('Página 02_Retorno'!P$7:P$108,'Página 02_Retorno'!I$7:I$108,'Pag 06_Bolsas_APROVADO'!A91,'Página 02_Retorno'!L$7:L$108,'Pag 08_Legendas'!C$10)</f>
        <v>0</v>
      </c>
      <c r="E91" s="22">
        <f>SUMIFS('Página 02_Retorno'!Q$7:Q$108,'Página 02_Retorno'!I$7:I$108,'Pag 06_Bolsas_APROVADO'!A91,'Página 02_Retorno'!L$7:L$108,'Pag 08_Legendas'!C$10)</f>
        <v>0</v>
      </c>
      <c r="F91" s="22">
        <f>SUMIFS('Página 02_Retorno'!R$7:R$108,'Página 02_Retorno'!I$7:I$108,'Pag 06_Bolsas_APROVADO'!A91,'Página 02_Retorno'!L$7:L$108,'Pag 08_Legendas'!C$10)</f>
        <v>0</v>
      </c>
      <c r="G91" s="22">
        <f>SUMIFS('Página 02_Retorno'!S$7:S$108,'Página 02_Retorno'!I$7:I$108,'Pag 06_Bolsas_APROVADO'!A91,'Página 02_Retorno'!L$7:L$108,'Pag 08_Legendas'!C$10)</f>
        <v>0</v>
      </c>
      <c r="H91" s="22">
        <f>SUMIFS('Página 02_Retorno'!T$7:T$108,'Página 02_Retorno'!I$7:I$108,'Pag 06_Bolsas_APROVADO'!A91,'Página 02_Retorno'!L$7:L$108,'Pag 08_Legendas'!C$10)</f>
        <v>0</v>
      </c>
      <c r="I91" s="22">
        <f>SUM(C91:H91)</f>
        <v>0</v>
      </c>
      <c r="J91" s="86">
        <f>SUMIFS('Página 02_Retorno'!U$7:U$108,'Página 02_Retorno'!I$7:I$108,'Pag 06_Bolsas_APROVADO'!A91,'Página 02_Retorno'!L$7:L$108,'Pag 08_Legendas'!C$10,'Página 02_Retorno'!B$7:B$108,'Página 01_Cadastro'!B$2)</f>
        <v>0</v>
      </c>
      <c r="K91" s="21">
        <f>COUNTIFS('Página 02_Retorno'!I$7:I$108,'Pag 06_Bolsas_APROVADO'!A91,'Página 02_Retorno'!C$7:C$108,"S",'Página 02_Retorno'!L$7:L$108,'Pag 08_Legendas'!C$10,'Página 02_Retorno'!B$7:B$108,'Página 01_Cadastro'!B$2)</f>
        <v>0</v>
      </c>
    </row>
    <row r="92" spans="1:11" x14ac:dyDescent="0.2">
      <c r="A92" s="20" t="s">
        <v>5</v>
      </c>
      <c r="B92" s="21">
        <f>COUNTIFS('Página 02_Retorno'!I$7:I$108,'Pag 06_Bolsas_APROVADO'!A92,'Página 02_Retorno'!C$7:C$108,"S",'Página 02_Retorno'!L$7:L$108,'Pag 08_Legendas'!C$10)</f>
        <v>0</v>
      </c>
      <c r="C92" s="22">
        <f>SUMIFS('Página 02_Retorno'!O$7:O$108,'Página 02_Retorno'!I$7:I$108,'Pag 06_Bolsas_APROVADO'!A92,'Página 02_Retorno'!L$7:L$108,'Pag 08_Legendas'!C$10)</f>
        <v>0</v>
      </c>
      <c r="D92" s="22">
        <f>SUMIFS('Página 02_Retorno'!P$7:P$108,'Página 02_Retorno'!I$7:I$108,'Pag 06_Bolsas_APROVADO'!A92,'Página 02_Retorno'!L$7:L$108,'Pag 08_Legendas'!C$10)</f>
        <v>0</v>
      </c>
      <c r="E92" s="22">
        <f>SUMIFS('Página 02_Retorno'!Q$7:Q$108,'Página 02_Retorno'!I$7:I$108,'Pag 06_Bolsas_APROVADO'!A92,'Página 02_Retorno'!L$7:L$108,'Pag 08_Legendas'!C$10)</f>
        <v>0</v>
      </c>
      <c r="F92" s="22">
        <f>SUMIFS('Página 02_Retorno'!R$7:R$108,'Página 02_Retorno'!I$7:I$108,'Pag 06_Bolsas_APROVADO'!A92,'Página 02_Retorno'!L$7:L$108,'Pag 08_Legendas'!C$10)</f>
        <v>0</v>
      </c>
      <c r="G92" s="22">
        <f>SUMIFS('Página 02_Retorno'!S$7:S$108,'Página 02_Retorno'!I$7:I$108,'Pag 06_Bolsas_APROVADO'!A92,'Página 02_Retorno'!L$7:L$108,'Pag 08_Legendas'!C$10)</f>
        <v>0</v>
      </c>
      <c r="H92" s="22">
        <f>SUMIFS('Página 02_Retorno'!T$7:T$108,'Página 02_Retorno'!I$7:I$108,'Pag 06_Bolsas_APROVADO'!A92,'Página 02_Retorno'!L$7:L$108,'Pag 08_Legendas'!C$10)</f>
        <v>0</v>
      </c>
      <c r="I92" s="22">
        <f t="shared" ref="I92:I98" si="14">SUM(C92:H92)</f>
        <v>0</v>
      </c>
      <c r="J92" s="86">
        <f>SUMIFS('Página 02_Retorno'!U$7:U$108,'Página 02_Retorno'!I$7:I$108,'Pag 06_Bolsas_APROVADO'!A92,'Página 02_Retorno'!L$7:L$108,'Pag 08_Legendas'!C$10,'Página 02_Retorno'!B$7:B$108,'Página 01_Cadastro'!B$2)</f>
        <v>0</v>
      </c>
      <c r="K92" s="21">
        <f>COUNTIFS('Página 02_Retorno'!I$7:I$108,'Pag 06_Bolsas_APROVADO'!A92,'Página 02_Retorno'!C$7:C$108,"S",'Página 02_Retorno'!L$7:L$108,'Pag 08_Legendas'!C$10,'Página 02_Retorno'!B$7:B$108,'Página 01_Cadastro'!B$2)</f>
        <v>0</v>
      </c>
    </row>
    <row r="93" spans="1:11" x14ac:dyDescent="0.2">
      <c r="A93" s="20" t="s">
        <v>1</v>
      </c>
      <c r="B93" s="21">
        <f>COUNTIFS('Página 02_Retorno'!I$7:I$108,'Pag 06_Bolsas_APROVADO'!A93,'Página 02_Retorno'!C$7:C$108,"S",'Página 02_Retorno'!L$7:L$108,'Pag 08_Legendas'!C$10)</f>
        <v>0</v>
      </c>
      <c r="C93" s="22">
        <f>SUMIFS('Página 02_Retorno'!O$7:O$108,'Página 02_Retorno'!I$7:I$108,'Pag 06_Bolsas_APROVADO'!A93,'Página 02_Retorno'!L$7:L$108,'Pag 08_Legendas'!C$10)</f>
        <v>0</v>
      </c>
      <c r="D93" s="22">
        <f>SUMIFS('Página 02_Retorno'!P$7:P$108,'Página 02_Retorno'!I$7:I$108,'Pag 06_Bolsas_APROVADO'!A93,'Página 02_Retorno'!L$7:L$108,'Pag 08_Legendas'!C$10)</f>
        <v>0</v>
      </c>
      <c r="E93" s="22">
        <f>SUMIFS('Página 02_Retorno'!Q$7:Q$108,'Página 02_Retorno'!I$7:I$108,'Pag 06_Bolsas_APROVADO'!A93,'Página 02_Retorno'!L$7:L$108,'Pag 08_Legendas'!C$10)</f>
        <v>0</v>
      </c>
      <c r="F93" s="22">
        <f>SUMIFS('Página 02_Retorno'!R$7:R$108,'Página 02_Retorno'!I$7:I$108,'Pag 06_Bolsas_APROVADO'!A93,'Página 02_Retorno'!L$7:L$108,'Pag 08_Legendas'!C$10)</f>
        <v>0</v>
      </c>
      <c r="G93" s="22">
        <f>SUMIFS('Página 02_Retorno'!S$7:S$108,'Página 02_Retorno'!I$7:I$108,'Pag 06_Bolsas_APROVADO'!A93,'Página 02_Retorno'!L$7:L$108,'Pag 08_Legendas'!C$10)</f>
        <v>0</v>
      </c>
      <c r="H93" s="22">
        <f>SUMIFS('Página 02_Retorno'!T$7:T$108,'Página 02_Retorno'!I$7:I$108,'Pag 06_Bolsas_APROVADO'!A93,'Página 02_Retorno'!L$7:L$108,'Pag 08_Legendas'!C$10)</f>
        <v>0</v>
      </c>
      <c r="I93" s="22">
        <f t="shared" si="14"/>
        <v>0</v>
      </c>
      <c r="J93" s="86">
        <f>SUMIFS('Página 02_Retorno'!U$7:U$108,'Página 02_Retorno'!I$7:I$108,'Pag 06_Bolsas_APROVADO'!A93,'Página 02_Retorno'!L$7:L$108,'Pag 08_Legendas'!C$10,'Página 02_Retorno'!B$7:B$108,'Página 01_Cadastro'!B$2)</f>
        <v>0</v>
      </c>
      <c r="K93" s="21">
        <f>COUNTIFS('Página 02_Retorno'!I$7:I$108,'Pag 06_Bolsas_APROVADO'!A93,'Página 02_Retorno'!C$7:C$108,"S",'Página 02_Retorno'!L$7:L$108,'Pag 08_Legendas'!C$10,'Página 02_Retorno'!B$7:B$108,'Página 01_Cadastro'!B$2)</f>
        <v>0</v>
      </c>
    </row>
    <row r="94" spans="1:11" x14ac:dyDescent="0.2">
      <c r="A94" s="20" t="s">
        <v>26</v>
      </c>
      <c r="B94" s="21">
        <f>COUNTIFS('Página 02_Retorno'!I$7:I$108,'Pag 06_Bolsas_APROVADO'!A94,'Página 02_Retorno'!C$7:C$108,"S",'Página 02_Retorno'!L$7:L$108,'Pag 08_Legendas'!C$10)</f>
        <v>0</v>
      </c>
      <c r="C94" s="22">
        <f>SUMIFS('Página 02_Retorno'!O$7:O$108,'Página 02_Retorno'!I$7:I$108,'Pag 06_Bolsas_APROVADO'!A94,'Página 02_Retorno'!L$7:L$108,'Pag 08_Legendas'!C$10)</f>
        <v>0</v>
      </c>
      <c r="D94" s="22">
        <f>SUMIFS('Página 02_Retorno'!P$7:P$108,'Página 02_Retorno'!I$7:I$108,'Pag 06_Bolsas_APROVADO'!A94,'Página 02_Retorno'!L$7:L$108,'Pag 08_Legendas'!C$10)</f>
        <v>0</v>
      </c>
      <c r="E94" s="22">
        <f>SUMIFS('Página 02_Retorno'!Q$7:Q$108,'Página 02_Retorno'!I$7:I$108,'Pag 06_Bolsas_APROVADO'!A94,'Página 02_Retorno'!L$7:L$108,'Pag 08_Legendas'!C$10)</f>
        <v>0</v>
      </c>
      <c r="F94" s="22">
        <f>SUMIFS('Página 02_Retorno'!R$7:R$108,'Página 02_Retorno'!I$7:I$108,'Pag 06_Bolsas_APROVADO'!A94,'Página 02_Retorno'!L$7:L$108,'Pag 08_Legendas'!C$10)</f>
        <v>0</v>
      </c>
      <c r="G94" s="22">
        <f>SUMIFS('Página 02_Retorno'!S$7:S$108,'Página 02_Retorno'!I$7:I$108,'Pag 06_Bolsas_APROVADO'!A94,'Página 02_Retorno'!L$7:L$108,'Pag 08_Legendas'!C$10)</f>
        <v>0</v>
      </c>
      <c r="H94" s="22">
        <f>SUMIFS('Página 02_Retorno'!T$7:T$108,'Página 02_Retorno'!I$7:I$108,'Pag 06_Bolsas_APROVADO'!A94,'Página 02_Retorno'!L$7:L$108,'Pag 08_Legendas'!C$10)</f>
        <v>0</v>
      </c>
      <c r="I94" s="22">
        <f t="shared" si="14"/>
        <v>0</v>
      </c>
      <c r="J94" s="86">
        <f>SUMIFS('Página 02_Retorno'!U$7:U$108,'Página 02_Retorno'!I$7:I$108,'Pag 06_Bolsas_APROVADO'!A94,'Página 02_Retorno'!L$7:L$108,'Pag 08_Legendas'!C$10,'Página 02_Retorno'!B$7:B$108,'Página 01_Cadastro'!B$2)</f>
        <v>0</v>
      </c>
      <c r="K94" s="21">
        <f>COUNTIFS('Página 02_Retorno'!I$7:I$108,'Pag 06_Bolsas_APROVADO'!A94,'Página 02_Retorno'!C$7:C$108,"S",'Página 02_Retorno'!L$7:L$108,'Pag 08_Legendas'!C$10,'Página 02_Retorno'!B$7:B$108,'Página 01_Cadastro'!B$2)</f>
        <v>0</v>
      </c>
    </row>
    <row r="95" spans="1:11" x14ac:dyDescent="0.2">
      <c r="A95" s="20" t="s">
        <v>2</v>
      </c>
      <c r="B95" s="21">
        <f>COUNTIFS('Página 02_Retorno'!I$7:I$108,'Pag 06_Bolsas_APROVADO'!A95,'Página 02_Retorno'!C$7:C$108,"S",'Página 02_Retorno'!L$7:L$108,'Pag 08_Legendas'!C$10)</f>
        <v>0</v>
      </c>
      <c r="C95" s="22">
        <f>SUMIFS('Página 02_Retorno'!O$7:O$108,'Página 02_Retorno'!I$7:I$108,'Pag 06_Bolsas_APROVADO'!A95,'Página 02_Retorno'!L$7:L$108,'Pag 08_Legendas'!C$10)</f>
        <v>0</v>
      </c>
      <c r="D95" s="22">
        <f>SUMIFS('Página 02_Retorno'!P$7:P$108,'Página 02_Retorno'!I$7:I$108,'Pag 06_Bolsas_APROVADO'!A95,'Página 02_Retorno'!L$7:L$108,'Pag 08_Legendas'!C$10)</f>
        <v>0</v>
      </c>
      <c r="E95" s="22">
        <f>SUMIFS('Página 02_Retorno'!Q$7:Q$108,'Página 02_Retorno'!I$7:I$108,'Pag 06_Bolsas_APROVADO'!A95,'Página 02_Retorno'!L$7:L$108,'Pag 08_Legendas'!C$10)</f>
        <v>0</v>
      </c>
      <c r="F95" s="22">
        <f>SUMIFS('Página 02_Retorno'!R$7:R$108,'Página 02_Retorno'!I$7:I$108,'Pag 06_Bolsas_APROVADO'!A95,'Página 02_Retorno'!L$7:L$108,'Pag 08_Legendas'!C$10)</f>
        <v>0</v>
      </c>
      <c r="G95" s="22">
        <f>SUMIFS('Página 02_Retorno'!S$7:S$108,'Página 02_Retorno'!I$7:I$108,'Pag 06_Bolsas_APROVADO'!A95,'Página 02_Retorno'!L$7:L$108,'Pag 08_Legendas'!C$10)</f>
        <v>0</v>
      </c>
      <c r="H95" s="22">
        <f>SUMIFS('Página 02_Retorno'!T$7:T$108,'Página 02_Retorno'!I$7:I$108,'Pag 06_Bolsas_APROVADO'!A95,'Página 02_Retorno'!L$7:L$108,'Pag 08_Legendas'!C$10)</f>
        <v>0</v>
      </c>
      <c r="I95" s="22">
        <f t="shared" si="14"/>
        <v>0</v>
      </c>
      <c r="J95" s="86">
        <f>SUMIFS('Página 02_Retorno'!U$7:U$108,'Página 02_Retorno'!I$7:I$108,'Pag 06_Bolsas_APROVADO'!A95,'Página 02_Retorno'!L$7:L$108,'Pag 08_Legendas'!C$10,'Página 02_Retorno'!B$7:B$108,'Página 01_Cadastro'!B$2)</f>
        <v>0</v>
      </c>
      <c r="K95" s="21">
        <f>COUNTIFS('Página 02_Retorno'!I$7:I$108,'Pag 06_Bolsas_APROVADO'!A95,'Página 02_Retorno'!C$7:C$108,"S",'Página 02_Retorno'!L$7:L$108,'Pag 08_Legendas'!C$10,'Página 02_Retorno'!B$7:B$108,'Página 01_Cadastro'!B$2)</f>
        <v>0</v>
      </c>
    </row>
    <row r="96" spans="1:11" x14ac:dyDescent="0.2">
      <c r="A96" s="20" t="s">
        <v>4</v>
      </c>
      <c r="B96" s="21">
        <f>COUNTIFS('Página 02_Retorno'!I$7:I$108,'Pag 06_Bolsas_APROVADO'!A96,'Página 02_Retorno'!C$7:C$108,"S",'Página 02_Retorno'!L$7:L$108,'Pag 08_Legendas'!C$10)</f>
        <v>0</v>
      </c>
      <c r="C96" s="22">
        <f>SUMIFS('Página 02_Retorno'!O$7:O$108,'Página 02_Retorno'!I$7:I$108,'Pag 06_Bolsas_APROVADO'!A96,'Página 02_Retorno'!L$7:L$108,'Pag 08_Legendas'!C$10)</f>
        <v>0</v>
      </c>
      <c r="D96" s="22">
        <f>SUMIFS('Página 02_Retorno'!P$7:P$108,'Página 02_Retorno'!I$7:I$108,'Pag 06_Bolsas_APROVADO'!A96,'Página 02_Retorno'!L$7:L$108,'Pag 08_Legendas'!C$10)</f>
        <v>0</v>
      </c>
      <c r="E96" s="22">
        <f>SUMIFS('Página 02_Retorno'!Q$7:Q$108,'Página 02_Retorno'!I$7:I$108,'Pag 06_Bolsas_APROVADO'!A96,'Página 02_Retorno'!L$7:L$108,'Pag 08_Legendas'!C$10)</f>
        <v>0</v>
      </c>
      <c r="F96" s="22">
        <f>SUMIFS('Página 02_Retorno'!R$7:R$108,'Página 02_Retorno'!I$7:I$108,'Pag 06_Bolsas_APROVADO'!A96,'Página 02_Retorno'!L$7:L$108,'Pag 08_Legendas'!C$10)</f>
        <v>0</v>
      </c>
      <c r="G96" s="22">
        <f>SUMIFS('Página 02_Retorno'!S$7:S$108,'Página 02_Retorno'!I$7:I$108,'Pag 06_Bolsas_APROVADO'!A96,'Página 02_Retorno'!L$7:L$108,'Pag 08_Legendas'!C$10)</f>
        <v>0</v>
      </c>
      <c r="H96" s="22">
        <f>SUMIFS('Página 02_Retorno'!T$7:T$108,'Página 02_Retorno'!I$7:I$108,'Pag 06_Bolsas_APROVADO'!A96,'Página 02_Retorno'!L$7:L$108,'Pag 08_Legendas'!C$10)</f>
        <v>0</v>
      </c>
      <c r="I96" s="22">
        <f t="shared" si="14"/>
        <v>0</v>
      </c>
      <c r="J96" s="86">
        <f>SUMIFS('Página 02_Retorno'!U$7:U$108,'Página 02_Retorno'!I$7:I$108,'Pag 06_Bolsas_APROVADO'!A96,'Página 02_Retorno'!L$7:L$108,'Pag 08_Legendas'!C$10,'Página 02_Retorno'!B$7:B$108,'Página 01_Cadastro'!B$2)</f>
        <v>0</v>
      </c>
      <c r="K96" s="21">
        <f>COUNTIFS('Página 02_Retorno'!I$7:I$108,'Pag 06_Bolsas_APROVADO'!A96,'Página 02_Retorno'!C$7:C$108,"S",'Página 02_Retorno'!L$7:L$108,'Pag 08_Legendas'!C$10,'Página 02_Retorno'!B$7:B$108,'Página 01_Cadastro'!B$2)</f>
        <v>0</v>
      </c>
    </row>
    <row r="97" spans="1:11" x14ac:dyDescent="0.2">
      <c r="A97" s="20" t="s">
        <v>3</v>
      </c>
      <c r="B97" s="21">
        <f>COUNTIFS('Página 02_Retorno'!I$7:I$108,'Pag 06_Bolsas_APROVADO'!A97,'Página 02_Retorno'!C$7:C$108,"S",'Página 02_Retorno'!L$7:L$108,'Pag 08_Legendas'!C$10)</f>
        <v>0</v>
      </c>
      <c r="C97" s="22">
        <f>SUMIFS('Página 02_Retorno'!O$7:O$108,'Página 02_Retorno'!I$7:I$108,'Pag 06_Bolsas_APROVADO'!A97,'Página 02_Retorno'!L$7:L$108,'Pag 08_Legendas'!C$10)</f>
        <v>0</v>
      </c>
      <c r="D97" s="22">
        <f>SUMIFS('Página 02_Retorno'!P$7:P$108,'Página 02_Retorno'!I$7:I$108,'Pag 06_Bolsas_APROVADO'!A97,'Página 02_Retorno'!L$7:L$108,'Pag 08_Legendas'!C$10)</f>
        <v>0</v>
      </c>
      <c r="E97" s="22">
        <f>SUMIFS('Página 02_Retorno'!Q$7:Q$108,'Página 02_Retorno'!I$7:I$108,'Pag 06_Bolsas_APROVADO'!A97,'Página 02_Retorno'!L$7:L$108,'Pag 08_Legendas'!C$10)</f>
        <v>0</v>
      </c>
      <c r="F97" s="22">
        <f>SUMIFS('Página 02_Retorno'!R$7:R$108,'Página 02_Retorno'!I$7:I$108,'Pag 06_Bolsas_APROVADO'!A97,'Página 02_Retorno'!L$7:L$108,'Pag 08_Legendas'!C$10)</f>
        <v>0</v>
      </c>
      <c r="G97" s="22">
        <f>SUMIFS('Página 02_Retorno'!S$7:S$108,'Página 02_Retorno'!I$7:I$108,'Pag 06_Bolsas_APROVADO'!A97,'Página 02_Retorno'!L$7:L$108,'Pag 08_Legendas'!C$10)</f>
        <v>0</v>
      </c>
      <c r="H97" s="22">
        <f>SUMIFS('Página 02_Retorno'!T$7:T$108,'Página 02_Retorno'!I$7:I$108,'Pag 06_Bolsas_APROVADO'!A97,'Página 02_Retorno'!L$7:L$108,'Pag 08_Legendas'!C$10)</f>
        <v>0</v>
      </c>
      <c r="I97" s="22">
        <f t="shared" si="14"/>
        <v>0</v>
      </c>
      <c r="J97" s="86">
        <f>SUMIFS('Página 02_Retorno'!U$7:U$108,'Página 02_Retorno'!I$7:I$108,'Pag 06_Bolsas_APROVADO'!A97,'Página 02_Retorno'!L$7:L$108,'Pag 08_Legendas'!C$10,'Página 02_Retorno'!B$7:B$108,'Página 01_Cadastro'!B$2)</f>
        <v>0</v>
      </c>
      <c r="K97" s="21">
        <f>COUNTIFS('Página 02_Retorno'!I$7:I$108,'Pag 06_Bolsas_APROVADO'!A97,'Página 02_Retorno'!C$7:C$108,"S",'Página 02_Retorno'!L$7:L$108,'Pag 08_Legendas'!C$10,'Página 02_Retorno'!B$7:B$108,'Página 01_Cadastro'!B$2)</f>
        <v>0</v>
      </c>
    </row>
    <row r="98" spans="1:11" x14ac:dyDescent="0.2">
      <c r="A98" s="32" t="s">
        <v>6</v>
      </c>
      <c r="B98" s="31">
        <f>SUM(B91:B97)</f>
        <v>0</v>
      </c>
      <c r="C98" s="33">
        <f t="shared" ref="C98:H98" si="15">SUM(C91:C97)</f>
        <v>0</v>
      </c>
      <c r="D98" s="33">
        <f t="shared" si="15"/>
        <v>0</v>
      </c>
      <c r="E98" s="33">
        <f t="shared" si="15"/>
        <v>0</v>
      </c>
      <c r="F98" s="33">
        <f t="shared" si="15"/>
        <v>0</v>
      </c>
      <c r="G98" s="33">
        <f t="shared" si="15"/>
        <v>0</v>
      </c>
      <c r="H98" s="33">
        <f t="shared" si="15"/>
        <v>0</v>
      </c>
      <c r="I98" s="33">
        <f t="shared" si="14"/>
        <v>0</v>
      </c>
      <c r="J98" s="34">
        <f>SUM(J91:J97)</f>
        <v>0</v>
      </c>
      <c r="K98" s="31">
        <f>SUM(K91:K97)</f>
        <v>0</v>
      </c>
    </row>
    <row r="100" spans="1:11" hidden="1" x14ac:dyDescent="0.2"/>
    <row r="101" spans="1:11" s="3" customFormat="1" x14ac:dyDescent="0.2">
      <c r="A101" s="176" t="s">
        <v>137</v>
      </c>
      <c r="B101" s="176"/>
      <c r="C101" s="176"/>
      <c r="D101" s="176"/>
      <c r="E101" s="176"/>
      <c r="F101" s="176"/>
      <c r="G101" s="176"/>
      <c r="H101" s="176"/>
      <c r="I101" s="176"/>
      <c r="J101" s="87"/>
      <c r="K101" s="87"/>
    </row>
    <row r="103" spans="1:11" ht="51" x14ac:dyDescent="0.2">
      <c r="A103" s="35" t="s">
        <v>25</v>
      </c>
      <c r="B103" s="36" t="s">
        <v>27</v>
      </c>
      <c r="C103" s="36" t="s">
        <v>16</v>
      </c>
      <c r="D103" s="37" t="s">
        <v>17</v>
      </c>
      <c r="E103" s="37" t="s">
        <v>18</v>
      </c>
      <c r="F103" s="37" t="s">
        <v>19</v>
      </c>
      <c r="G103" s="37" t="s">
        <v>20</v>
      </c>
      <c r="H103" s="37" t="s">
        <v>21</v>
      </c>
      <c r="I103" s="37" t="s">
        <v>28</v>
      </c>
      <c r="J103" s="37" t="s">
        <v>126</v>
      </c>
      <c r="K103" s="37" t="s">
        <v>127</v>
      </c>
    </row>
    <row r="104" spans="1:11" x14ac:dyDescent="0.2">
      <c r="A104" s="20" t="s">
        <v>0</v>
      </c>
      <c r="B104" s="21">
        <f>COUNTIFS('Página 02_Retorno'!I$7:I$108,'Pag 06_Bolsas_APROVADO'!A104,'Página 02_Retorno'!C$7:C$108,"S",'Página 02_Retorno'!L$7:L$108,'Pag 08_Legendas'!C$11)</f>
        <v>0</v>
      </c>
      <c r="C104" s="22">
        <f>SUMIFS('Página 02_Retorno'!O$7:O$108,'Página 02_Retorno'!I$7:I$108,'Pag 06_Bolsas_APROVADO'!A104,'Página 02_Retorno'!L$7:L$108,'Pag 08_Legendas'!C$11)</f>
        <v>0</v>
      </c>
      <c r="D104" s="22">
        <f>SUMIFS('Página 02_Retorno'!P$7:P$108,'Página 02_Retorno'!I$7:I$108,'Pag 06_Bolsas_APROVADO'!A104,'Página 02_Retorno'!L$7:L$108,'Pag 08_Legendas'!C$11)</f>
        <v>0</v>
      </c>
      <c r="E104" s="22">
        <f>SUMIFS('Página 02_Retorno'!Q$7:Q$108,'Página 02_Retorno'!I$7:I$108,'Pag 06_Bolsas_APROVADO'!A104,'Página 02_Retorno'!L$7:L$108,'Pag 08_Legendas'!C$11)</f>
        <v>0</v>
      </c>
      <c r="F104" s="22">
        <f>SUMIFS('Página 02_Retorno'!R$7:R$108,'Página 02_Retorno'!I$7:I$108,'Pag 06_Bolsas_APROVADO'!A104,'Página 02_Retorno'!L$7:L$108,'Pag 08_Legendas'!C$11)</f>
        <v>0</v>
      </c>
      <c r="G104" s="22">
        <f>SUMIFS('Página 02_Retorno'!S$7:S$108,'Página 02_Retorno'!I$7:I$108,'Pag 06_Bolsas_APROVADO'!A104,'Página 02_Retorno'!L$7:L$108,'Pag 08_Legendas'!C$11)</f>
        <v>0</v>
      </c>
      <c r="H104" s="22">
        <f>SUMIFS('Página 02_Retorno'!T$7:T$108,'Página 02_Retorno'!I$7:I$108,'Pag 06_Bolsas_APROVADO'!A104,'Página 02_Retorno'!L$7:L$108,'Pag 08_Legendas'!C$11)</f>
        <v>0</v>
      </c>
      <c r="I104" s="22">
        <f>SUM(C104:H104)</f>
        <v>0</v>
      </c>
      <c r="J104" s="86">
        <f>SUMIFS('Página 02_Retorno'!U$7:U$108,'Página 02_Retorno'!I$7:I$108,'Pag 06_Bolsas_APROVADO'!A104,'Página 02_Retorno'!L$7:L$108,'Pag 08_Legendas'!C$11,'Página 02_Retorno'!B$7:B$108,'Página 01_Cadastro'!B$2)</f>
        <v>0</v>
      </c>
      <c r="K104" s="21">
        <f>COUNTIFS('Página 02_Retorno'!I$7:I$108,'Pag 06_Bolsas_APROVADO'!A104,'Página 02_Retorno'!C$7:C$108,"S",'Página 02_Retorno'!L$7:L$108,'Pag 08_Legendas'!C$11,'Página 02_Retorno'!B$7:B$108,'Página 01_Cadastro'!B$2)</f>
        <v>0</v>
      </c>
    </row>
    <row r="105" spans="1:11" x14ac:dyDescent="0.2">
      <c r="A105" s="20" t="s">
        <v>5</v>
      </c>
      <c r="B105" s="21">
        <f>COUNTIFS('Página 02_Retorno'!I$7:I$108,'Pag 06_Bolsas_APROVADO'!A105,'Página 02_Retorno'!C$7:C$108,"S",'Página 02_Retorno'!L$7:L$108,'Pag 08_Legendas'!C$11)</f>
        <v>0</v>
      </c>
      <c r="C105" s="22">
        <f>SUMIFS('Página 02_Retorno'!O$7:O$108,'Página 02_Retorno'!I$7:I$108,'Pag 06_Bolsas_APROVADO'!A105,'Página 02_Retorno'!L$7:L$108,'Pag 08_Legendas'!C$11)</f>
        <v>0</v>
      </c>
      <c r="D105" s="22">
        <f>SUMIFS('Página 02_Retorno'!P$7:P$108,'Página 02_Retorno'!I$7:I$108,'Pag 06_Bolsas_APROVADO'!A105,'Página 02_Retorno'!L$7:L$108,'Pag 08_Legendas'!C$11)</f>
        <v>0</v>
      </c>
      <c r="E105" s="22">
        <f>SUMIFS('Página 02_Retorno'!Q$7:Q$108,'Página 02_Retorno'!I$7:I$108,'Pag 06_Bolsas_APROVADO'!A105,'Página 02_Retorno'!L$7:L$108,'Pag 08_Legendas'!C$11)</f>
        <v>0</v>
      </c>
      <c r="F105" s="22">
        <f>SUMIFS('Página 02_Retorno'!R$7:R$108,'Página 02_Retorno'!I$7:I$108,'Pag 06_Bolsas_APROVADO'!A105,'Página 02_Retorno'!L$7:L$108,'Pag 08_Legendas'!C$11)</f>
        <v>0</v>
      </c>
      <c r="G105" s="22">
        <f>SUMIFS('Página 02_Retorno'!S$7:S$108,'Página 02_Retorno'!I$7:I$108,'Pag 06_Bolsas_APROVADO'!A105,'Página 02_Retorno'!L$7:L$108,'Pag 08_Legendas'!C$11)</f>
        <v>0</v>
      </c>
      <c r="H105" s="22">
        <f>SUMIFS('Página 02_Retorno'!T$7:T$108,'Página 02_Retorno'!I$7:I$108,'Pag 06_Bolsas_APROVADO'!A105,'Página 02_Retorno'!L$7:L$108,'Pag 08_Legendas'!C$11)</f>
        <v>0</v>
      </c>
      <c r="I105" s="22">
        <f t="shared" ref="I105:I111" si="16">SUM(C105:H105)</f>
        <v>0</v>
      </c>
      <c r="J105" s="86">
        <f>SUMIFS('Página 02_Retorno'!U$7:U$108,'Página 02_Retorno'!I$7:I$108,'Pag 06_Bolsas_APROVADO'!A105,'Página 02_Retorno'!L$7:L$108,'Pag 08_Legendas'!C$11,'Página 02_Retorno'!B$7:B$108,'Página 01_Cadastro'!B$2)</f>
        <v>0</v>
      </c>
      <c r="K105" s="21">
        <f>COUNTIFS('Página 02_Retorno'!I$7:I$108,'Pag 06_Bolsas_APROVADO'!A105,'Página 02_Retorno'!C$7:C$108,"S",'Página 02_Retorno'!L$7:L$108,'Pag 08_Legendas'!C$11,'Página 02_Retorno'!B$7:B$108,'Página 01_Cadastro'!B$2)</f>
        <v>0</v>
      </c>
    </row>
    <row r="106" spans="1:11" x14ac:dyDescent="0.2">
      <c r="A106" s="20" t="s">
        <v>1</v>
      </c>
      <c r="B106" s="21">
        <f>COUNTIFS('Página 02_Retorno'!I$7:I$108,'Pag 06_Bolsas_APROVADO'!A106,'Página 02_Retorno'!C$7:C$108,"S",'Página 02_Retorno'!L$7:L$108,'Pag 08_Legendas'!C$11)</f>
        <v>0</v>
      </c>
      <c r="C106" s="22">
        <f>SUMIFS('Página 02_Retorno'!O$7:O$108,'Página 02_Retorno'!I$7:I$108,'Pag 06_Bolsas_APROVADO'!A106,'Página 02_Retorno'!L$7:L$108,'Pag 08_Legendas'!C$11)</f>
        <v>0</v>
      </c>
      <c r="D106" s="22">
        <f>SUMIFS('Página 02_Retorno'!P$7:P$108,'Página 02_Retorno'!I$7:I$108,'Pag 06_Bolsas_APROVADO'!A106,'Página 02_Retorno'!L$7:L$108,'Pag 08_Legendas'!C$11)</f>
        <v>0</v>
      </c>
      <c r="E106" s="22">
        <f>SUMIFS('Página 02_Retorno'!Q$7:Q$108,'Página 02_Retorno'!I$7:I$108,'Pag 06_Bolsas_APROVADO'!A106,'Página 02_Retorno'!L$7:L$108,'Pag 08_Legendas'!C$11)</f>
        <v>0</v>
      </c>
      <c r="F106" s="22">
        <f>SUMIFS('Página 02_Retorno'!R$7:R$108,'Página 02_Retorno'!I$7:I$108,'Pag 06_Bolsas_APROVADO'!A106,'Página 02_Retorno'!L$7:L$108,'Pag 08_Legendas'!C$11)</f>
        <v>0</v>
      </c>
      <c r="G106" s="22">
        <f>SUMIFS('Página 02_Retorno'!S$7:S$108,'Página 02_Retorno'!I$7:I$108,'Pag 06_Bolsas_APROVADO'!A106,'Página 02_Retorno'!L$7:L$108,'Pag 08_Legendas'!C$11)</f>
        <v>0</v>
      </c>
      <c r="H106" s="22">
        <f>SUMIFS('Página 02_Retorno'!T$7:T$108,'Página 02_Retorno'!I$7:I$108,'Pag 06_Bolsas_APROVADO'!A106,'Página 02_Retorno'!L$7:L$108,'Pag 08_Legendas'!C$11)</f>
        <v>0</v>
      </c>
      <c r="I106" s="22">
        <f t="shared" si="16"/>
        <v>0</v>
      </c>
      <c r="J106" s="86">
        <f>SUMIFS('Página 02_Retorno'!U$7:U$108,'Página 02_Retorno'!I$7:I$108,'Pag 06_Bolsas_APROVADO'!A106,'Página 02_Retorno'!L$7:L$108,'Pag 08_Legendas'!C$11,'Página 02_Retorno'!B$7:B$108,'Página 01_Cadastro'!B$2)</f>
        <v>0</v>
      </c>
      <c r="K106" s="21">
        <f>COUNTIFS('Página 02_Retorno'!I$7:I$108,'Pag 06_Bolsas_APROVADO'!A106,'Página 02_Retorno'!C$7:C$108,"S",'Página 02_Retorno'!L$7:L$108,'Pag 08_Legendas'!C$11,'Página 02_Retorno'!B$7:B$108,'Página 01_Cadastro'!B$2)</f>
        <v>0</v>
      </c>
    </row>
    <row r="107" spans="1:11" x14ac:dyDescent="0.2">
      <c r="A107" s="20" t="s">
        <v>26</v>
      </c>
      <c r="B107" s="21">
        <f>COUNTIFS('Página 02_Retorno'!I$7:I$108,'Pag 06_Bolsas_APROVADO'!A107,'Página 02_Retorno'!C$7:C$108,"S",'Página 02_Retorno'!L$7:L$108,'Pag 08_Legendas'!C$11)</f>
        <v>0</v>
      </c>
      <c r="C107" s="22">
        <f>SUMIFS('Página 02_Retorno'!O$7:O$108,'Página 02_Retorno'!I$7:I$108,'Pag 06_Bolsas_APROVADO'!A107,'Página 02_Retorno'!L$7:L$108,'Pag 08_Legendas'!C$11)</f>
        <v>0</v>
      </c>
      <c r="D107" s="22">
        <f>SUMIFS('Página 02_Retorno'!P$7:P$108,'Página 02_Retorno'!I$7:I$108,'Pag 06_Bolsas_APROVADO'!A107,'Página 02_Retorno'!L$7:L$108,'Pag 08_Legendas'!C$11)</f>
        <v>0</v>
      </c>
      <c r="E107" s="22">
        <f>SUMIFS('Página 02_Retorno'!Q$7:Q$108,'Página 02_Retorno'!I$7:I$108,'Pag 06_Bolsas_APROVADO'!A107,'Página 02_Retorno'!L$7:L$108,'Pag 08_Legendas'!C$11)</f>
        <v>0</v>
      </c>
      <c r="F107" s="22">
        <f>SUMIFS('Página 02_Retorno'!R$7:R$108,'Página 02_Retorno'!I$7:I$108,'Pag 06_Bolsas_APROVADO'!A107,'Página 02_Retorno'!L$7:L$108,'Pag 08_Legendas'!C$11)</f>
        <v>0</v>
      </c>
      <c r="G107" s="22">
        <f>SUMIFS('Página 02_Retorno'!S$7:S$108,'Página 02_Retorno'!I$7:I$108,'Pag 06_Bolsas_APROVADO'!A107,'Página 02_Retorno'!L$7:L$108,'Pag 08_Legendas'!C$11)</f>
        <v>0</v>
      </c>
      <c r="H107" s="22">
        <f>SUMIFS('Página 02_Retorno'!T$7:T$108,'Página 02_Retorno'!I$7:I$108,'Pag 06_Bolsas_APROVADO'!A107,'Página 02_Retorno'!L$7:L$108,'Pag 08_Legendas'!C$11)</f>
        <v>0</v>
      </c>
      <c r="I107" s="22">
        <f t="shared" si="16"/>
        <v>0</v>
      </c>
      <c r="J107" s="86">
        <f>SUMIFS('Página 02_Retorno'!U$7:U$108,'Página 02_Retorno'!I$7:I$108,'Pag 06_Bolsas_APROVADO'!A107,'Página 02_Retorno'!L$7:L$108,'Pag 08_Legendas'!C$11,'Página 02_Retorno'!B$7:B$108,'Página 01_Cadastro'!B$2)</f>
        <v>0</v>
      </c>
      <c r="K107" s="21">
        <f>COUNTIFS('Página 02_Retorno'!I$7:I$108,'Pag 06_Bolsas_APROVADO'!A107,'Página 02_Retorno'!C$7:C$108,"S",'Página 02_Retorno'!L$7:L$108,'Pag 08_Legendas'!C$11,'Página 02_Retorno'!B$7:B$108,'Página 01_Cadastro'!B$2)</f>
        <v>0</v>
      </c>
    </row>
    <row r="108" spans="1:11" x14ac:dyDescent="0.2">
      <c r="A108" s="20" t="s">
        <v>2</v>
      </c>
      <c r="B108" s="21">
        <f>COUNTIFS('Página 02_Retorno'!I$7:I$108,'Pag 06_Bolsas_APROVADO'!A108,'Página 02_Retorno'!C$7:C$108,"S",'Página 02_Retorno'!L$7:L$108,'Pag 08_Legendas'!C$11)</f>
        <v>0</v>
      </c>
      <c r="C108" s="22">
        <f>SUMIFS('Página 02_Retorno'!O$7:O$108,'Página 02_Retorno'!I$7:I$108,'Pag 06_Bolsas_APROVADO'!A108,'Página 02_Retorno'!L$7:L$108,'Pag 08_Legendas'!C$11)</f>
        <v>0</v>
      </c>
      <c r="D108" s="22">
        <f>SUMIFS('Página 02_Retorno'!P$7:P$108,'Página 02_Retorno'!I$7:I$108,'Pag 06_Bolsas_APROVADO'!A108,'Página 02_Retorno'!L$7:L$108,'Pag 08_Legendas'!C$11)</f>
        <v>0</v>
      </c>
      <c r="E108" s="22">
        <f>SUMIFS('Página 02_Retorno'!Q$7:Q$108,'Página 02_Retorno'!I$7:I$108,'Pag 06_Bolsas_APROVADO'!A108,'Página 02_Retorno'!L$7:L$108,'Pag 08_Legendas'!C$11)</f>
        <v>0</v>
      </c>
      <c r="F108" s="22">
        <f>SUMIFS('Página 02_Retorno'!R$7:R$108,'Página 02_Retorno'!I$7:I$108,'Pag 06_Bolsas_APROVADO'!A108,'Página 02_Retorno'!L$7:L$108,'Pag 08_Legendas'!C$11)</f>
        <v>0</v>
      </c>
      <c r="G108" s="22">
        <f>SUMIFS('Página 02_Retorno'!S$7:S$108,'Página 02_Retorno'!I$7:I$108,'Pag 06_Bolsas_APROVADO'!A108,'Página 02_Retorno'!L$7:L$108,'Pag 08_Legendas'!C$11)</f>
        <v>0</v>
      </c>
      <c r="H108" s="22">
        <f>SUMIFS('Página 02_Retorno'!T$7:T$108,'Página 02_Retorno'!I$7:I$108,'Pag 06_Bolsas_APROVADO'!A108,'Página 02_Retorno'!L$7:L$108,'Pag 08_Legendas'!C$11)</f>
        <v>0</v>
      </c>
      <c r="I108" s="22">
        <f t="shared" si="16"/>
        <v>0</v>
      </c>
      <c r="J108" s="86">
        <f>SUMIFS('Página 02_Retorno'!U$7:U$108,'Página 02_Retorno'!I$7:I$108,'Pag 06_Bolsas_APROVADO'!A108,'Página 02_Retorno'!L$7:L$108,'Pag 08_Legendas'!C$11,'Página 02_Retorno'!B$7:B$108,'Página 01_Cadastro'!B$2)</f>
        <v>0</v>
      </c>
      <c r="K108" s="21">
        <f>COUNTIFS('Página 02_Retorno'!I$7:I$108,'Pag 06_Bolsas_APROVADO'!A108,'Página 02_Retorno'!C$7:C$108,"S",'Página 02_Retorno'!L$7:L$108,'Pag 08_Legendas'!C$11,'Página 02_Retorno'!B$7:B$108,'Página 01_Cadastro'!B$2)</f>
        <v>0</v>
      </c>
    </row>
    <row r="109" spans="1:11" x14ac:dyDescent="0.2">
      <c r="A109" s="20" t="s">
        <v>4</v>
      </c>
      <c r="B109" s="21">
        <f>COUNTIFS('Página 02_Retorno'!I$7:I$108,'Pag 06_Bolsas_APROVADO'!A109,'Página 02_Retorno'!C$7:C$108,"S",'Página 02_Retorno'!L$7:L$108,'Pag 08_Legendas'!C$11)</f>
        <v>0</v>
      </c>
      <c r="C109" s="22">
        <f>SUMIFS('Página 02_Retorno'!O$7:O$108,'Página 02_Retorno'!I$7:I$108,'Pag 06_Bolsas_APROVADO'!A109,'Página 02_Retorno'!L$7:L$108,'Pag 08_Legendas'!C$11)</f>
        <v>0</v>
      </c>
      <c r="D109" s="22">
        <f>SUMIFS('Página 02_Retorno'!P$7:P$108,'Página 02_Retorno'!I$7:I$108,'Pag 06_Bolsas_APROVADO'!A109,'Página 02_Retorno'!L$7:L$108,'Pag 08_Legendas'!C$11)</f>
        <v>0</v>
      </c>
      <c r="E109" s="22">
        <f>SUMIFS('Página 02_Retorno'!Q$7:Q$108,'Página 02_Retorno'!I$7:I$108,'Pag 06_Bolsas_APROVADO'!A109,'Página 02_Retorno'!L$7:L$108,'Pag 08_Legendas'!C$11)</f>
        <v>0</v>
      </c>
      <c r="F109" s="22">
        <f>SUMIFS('Página 02_Retorno'!R$7:R$108,'Página 02_Retorno'!I$7:I$108,'Pag 06_Bolsas_APROVADO'!A109,'Página 02_Retorno'!L$7:L$108,'Pag 08_Legendas'!C$11)</f>
        <v>0</v>
      </c>
      <c r="G109" s="22">
        <f>SUMIFS('Página 02_Retorno'!S$7:S$108,'Página 02_Retorno'!I$7:I$108,'Pag 06_Bolsas_APROVADO'!A109,'Página 02_Retorno'!L$7:L$108,'Pag 08_Legendas'!C$11)</f>
        <v>0</v>
      </c>
      <c r="H109" s="22">
        <f>SUMIFS('Página 02_Retorno'!T$7:T$108,'Página 02_Retorno'!I$7:I$108,'Pag 06_Bolsas_APROVADO'!A109,'Página 02_Retorno'!L$7:L$108,'Pag 08_Legendas'!C$11)</f>
        <v>0</v>
      </c>
      <c r="I109" s="22">
        <f t="shared" si="16"/>
        <v>0</v>
      </c>
      <c r="J109" s="86">
        <f>SUMIFS('Página 02_Retorno'!U$7:U$108,'Página 02_Retorno'!I$7:I$108,'Pag 06_Bolsas_APROVADO'!A109,'Página 02_Retorno'!L$7:L$108,'Pag 08_Legendas'!C$11,'Página 02_Retorno'!B$7:B$108,'Página 01_Cadastro'!B$2)</f>
        <v>0</v>
      </c>
      <c r="K109" s="21">
        <f>COUNTIFS('Página 02_Retorno'!I$7:I$108,'Pag 06_Bolsas_APROVADO'!A109,'Página 02_Retorno'!C$7:C$108,"S",'Página 02_Retorno'!L$7:L$108,'Pag 08_Legendas'!C$11,'Página 02_Retorno'!B$7:B$108,'Página 01_Cadastro'!B$2)</f>
        <v>0</v>
      </c>
    </row>
    <row r="110" spans="1:11" x14ac:dyDescent="0.2">
      <c r="A110" s="20" t="s">
        <v>3</v>
      </c>
      <c r="B110" s="21">
        <f>COUNTIFS('Página 02_Retorno'!I$7:I$108,'Pag 06_Bolsas_APROVADO'!A110,'Página 02_Retorno'!C$7:C$108,"S",'Página 02_Retorno'!L$7:L$108,'Pag 08_Legendas'!C$11)</f>
        <v>0</v>
      </c>
      <c r="C110" s="22">
        <f>SUMIFS('Página 02_Retorno'!O$7:O$108,'Página 02_Retorno'!I$7:I$108,'Pag 06_Bolsas_APROVADO'!A110,'Página 02_Retorno'!L$7:L$108,'Pag 08_Legendas'!C$11)</f>
        <v>0</v>
      </c>
      <c r="D110" s="22">
        <f>SUMIFS('Página 02_Retorno'!P$7:P$108,'Página 02_Retorno'!I$7:I$108,'Pag 06_Bolsas_APROVADO'!A110,'Página 02_Retorno'!L$7:L$108,'Pag 08_Legendas'!C$11)</f>
        <v>0</v>
      </c>
      <c r="E110" s="22">
        <f>SUMIFS('Página 02_Retorno'!Q$7:Q$108,'Página 02_Retorno'!I$7:I$108,'Pag 06_Bolsas_APROVADO'!A110,'Página 02_Retorno'!L$7:L$108,'Pag 08_Legendas'!C$11)</f>
        <v>0</v>
      </c>
      <c r="F110" s="22">
        <f>SUMIFS('Página 02_Retorno'!R$7:R$108,'Página 02_Retorno'!I$7:I$108,'Pag 06_Bolsas_APROVADO'!A110,'Página 02_Retorno'!L$7:L$108,'Pag 08_Legendas'!C$11)</f>
        <v>0</v>
      </c>
      <c r="G110" s="22">
        <f>SUMIFS('Página 02_Retorno'!S$7:S$108,'Página 02_Retorno'!I$7:I$108,'Pag 06_Bolsas_APROVADO'!A110,'Página 02_Retorno'!L$7:L$108,'Pag 08_Legendas'!C$11)</f>
        <v>0</v>
      </c>
      <c r="H110" s="22">
        <f>SUMIFS('Página 02_Retorno'!T$7:T$108,'Página 02_Retorno'!I$7:I$108,'Pag 06_Bolsas_APROVADO'!A110,'Página 02_Retorno'!L$7:L$108,'Pag 08_Legendas'!C$11)</f>
        <v>0</v>
      </c>
      <c r="I110" s="22">
        <f t="shared" si="16"/>
        <v>0</v>
      </c>
      <c r="J110" s="86">
        <f>SUMIFS('Página 02_Retorno'!U$7:U$108,'Página 02_Retorno'!I$7:I$108,'Pag 06_Bolsas_APROVADO'!A110,'Página 02_Retorno'!L$7:L$108,'Pag 08_Legendas'!C$11,'Página 02_Retorno'!B$7:B$108,'Página 01_Cadastro'!B$2)</f>
        <v>0</v>
      </c>
      <c r="K110" s="21">
        <f>COUNTIFS('Página 02_Retorno'!I$7:I$108,'Pag 06_Bolsas_APROVADO'!A110,'Página 02_Retorno'!C$7:C$108,"S",'Página 02_Retorno'!L$7:L$108,'Pag 08_Legendas'!C$11,'Página 02_Retorno'!B$7:B$108,'Página 01_Cadastro'!B$2)</f>
        <v>0</v>
      </c>
    </row>
    <row r="111" spans="1:11" x14ac:dyDescent="0.2">
      <c r="A111" s="32" t="s">
        <v>6</v>
      </c>
      <c r="B111" s="31">
        <f>SUM(B104:B110)</f>
        <v>0</v>
      </c>
      <c r="C111" s="33">
        <f t="shared" ref="C111:H111" si="17">SUM(C104:C110)</f>
        <v>0</v>
      </c>
      <c r="D111" s="33">
        <f t="shared" si="17"/>
        <v>0</v>
      </c>
      <c r="E111" s="33">
        <f t="shared" si="17"/>
        <v>0</v>
      </c>
      <c r="F111" s="33">
        <f t="shared" si="17"/>
        <v>0</v>
      </c>
      <c r="G111" s="33">
        <f t="shared" si="17"/>
        <v>0</v>
      </c>
      <c r="H111" s="33">
        <f t="shared" si="17"/>
        <v>0</v>
      </c>
      <c r="I111" s="33">
        <f t="shared" si="16"/>
        <v>0</v>
      </c>
      <c r="J111" s="34">
        <f>SUM(J104:J110)</f>
        <v>0</v>
      </c>
      <c r="K111" s="31">
        <f>SUM(K104:K110)</f>
        <v>0</v>
      </c>
    </row>
    <row r="113" spans="1:11" x14ac:dyDescent="0.2">
      <c r="A113" s="174" t="s">
        <v>138</v>
      </c>
      <c r="B113" s="174"/>
      <c r="C113" s="174"/>
      <c r="D113" s="174"/>
      <c r="E113" s="174"/>
      <c r="F113" s="174"/>
      <c r="G113" s="174"/>
      <c r="H113" s="174"/>
      <c r="I113" s="174"/>
    </row>
    <row r="115" spans="1:11" ht="51" x14ac:dyDescent="0.2">
      <c r="A115" s="35" t="s">
        <v>25</v>
      </c>
      <c r="B115" s="36" t="s">
        <v>27</v>
      </c>
      <c r="C115" s="36" t="s">
        <v>16</v>
      </c>
      <c r="D115" s="37" t="s">
        <v>17</v>
      </c>
      <c r="E115" s="37" t="s">
        <v>18</v>
      </c>
      <c r="F115" s="37" t="s">
        <v>19</v>
      </c>
      <c r="G115" s="37" t="s">
        <v>20</v>
      </c>
      <c r="H115" s="37" t="s">
        <v>21</v>
      </c>
      <c r="I115" s="37" t="s">
        <v>28</v>
      </c>
      <c r="J115" s="37" t="s">
        <v>126</v>
      </c>
      <c r="K115" s="37" t="s">
        <v>127</v>
      </c>
    </row>
    <row r="116" spans="1:11" x14ac:dyDescent="0.2">
      <c r="A116" s="20" t="s">
        <v>0</v>
      </c>
      <c r="B116" s="21">
        <f>COUNTIFS('Página 02_Retorno'!I$7:I$108,'Pag 06_Bolsas_APROVADO'!A116,'Página 02_Retorno'!C$7:C$108,"S",'Página 02_Retorno'!L$7:L$108,'Pag 08_Legendas'!C$12)</f>
        <v>0</v>
      </c>
      <c r="C116" s="22">
        <f>SUMIFS('Página 02_Retorno'!O$7:O$108,'Página 02_Retorno'!I$7:I$108,'Pag 06_Bolsas_APROVADO'!A116,'Página 02_Retorno'!L$7:L$108,'Pag 08_Legendas'!C$12)</f>
        <v>0</v>
      </c>
      <c r="D116" s="22">
        <f>SUMIFS('Página 02_Retorno'!P$7:P$108,'Página 02_Retorno'!I$7:I$108,'Pag 06_Bolsas_APROVADO'!A116,'Página 02_Retorno'!L$7:L$108,'Pag 08_Legendas'!C$12)</f>
        <v>0</v>
      </c>
      <c r="E116" s="22">
        <f>SUMIFS('Página 02_Retorno'!Q$7:Q$108,'Página 02_Retorno'!I$7:I$108,'Pag 06_Bolsas_APROVADO'!A116,'Página 02_Retorno'!L$7:L$108,'Pag 08_Legendas'!C$12)</f>
        <v>0</v>
      </c>
      <c r="F116" s="22">
        <f>SUMIFS('Página 02_Retorno'!R$7:R$108,'Página 02_Retorno'!I$7:I$108,'Pag 06_Bolsas_APROVADO'!A116,'Página 02_Retorno'!L$7:L$108,'Pag 08_Legendas'!C$12)</f>
        <v>0</v>
      </c>
      <c r="G116" s="22">
        <f>SUMIFS('Página 02_Retorno'!S$7:S$108,'Página 02_Retorno'!I$7:I$108,'Pag 06_Bolsas_APROVADO'!A116,'Página 02_Retorno'!L$7:L$108,'Pag 08_Legendas'!C$12)</f>
        <v>0</v>
      </c>
      <c r="H116" s="22">
        <f>SUMIFS('Página 02_Retorno'!T$7:T$108,'Página 02_Retorno'!I$7:I$108,'Pag 06_Bolsas_APROVADO'!A116,'Página 02_Retorno'!L$7:L$108,'Pag 08_Legendas'!C$12)</f>
        <v>0</v>
      </c>
      <c r="I116" s="22">
        <f>SUM(C116:H116)</f>
        <v>0</v>
      </c>
      <c r="J116" s="86">
        <f>SUMIFS('Página 02_Retorno'!U$7:U$108,'Página 02_Retorno'!I$7:I$108,'Pag 06_Bolsas_APROVADO'!A116,'Página 02_Retorno'!L$7:L$108,'Pag 08_Legendas'!C$12,'Página 02_Retorno'!B$7:B$108,'Página 01_Cadastro'!B$2)</f>
        <v>0</v>
      </c>
      <c r="K116" s="21">
        <f>COUNTIFS('Página 02_Retorno'!I$7:I$108,'Pag 06_Bolsas_APROVADO'!A116,'Página 02_Retorno'!C$7:C$108,"S",'Página 02_Retorno'!L$7:L$108,'Pag 08_Legendas'!C$12,'Página 02_Retorno'!B$7:B$108,'Página 01_Cadastro'!B$2)</f>
        <v>0</v>
      </c>
    </row>
    <row r="117" spans="1:11" x14ac:dyDescent="0.2">
      <c r="A117" s="20" t="s">
        <v>5</v>
      </c>
      <c r="B117" s="21">
        <f>COUNTIFS('Página 02_Retorno'!I$7:I$108,'Pag 06_Bolsas_APROVADO'!A117,'Página 02_Retorno'!C$7:C$108,"S",'Página 02_Retorno'!L$7:L$108,'Pag 08_Legendas'!C$12)</f>
        <v>0</v>
      </c>
      <c r="C117" s="22">
        <f>SUMIFS('Página 02_Retorno'!O$7:O$108,'Página 02_Retorno'!I$7:I$108,'Pag 06_Bolsas_APROVADO'!A117,'Página 02_Retorno'!L$7:L$108,'Pag 08_Legendas'!C$12)</f>
        <v>0</v>
      </c>
      <c r="D117" s="22">
        <f>SUMIFS('Página 02_Retorno'!P$7:P$108,'Página 02_Retorno'!I$7:I$108,'Pag 06_Bolsas_APROVADO'!A117,'Página 02_Retorno'!L$7:L$108,'Pag 08_Legendas'!C$12)</f>
        <v>0</v>
      </c>
      <c r="E117" s="22">
        <f>SUMIFS('Página 02_Retorno'!Q$7:Q$108,'Página 02_Retorno'!I$7:I$108,'Pag 06_Bolsas_APROVADO'!A117,'Página 02_Retorno'!L$7:L$108,'Pag 08_Legendas'!C$12)</f>
        <v>0</v>
      </c>
      <c r="F117" s="22">
        <f>SUMIFS('Página 02_Retorno'!R$7:R$108,'Página 02_Retorno'!I$7:I$108,'Pag 06_Bolsas_APROVADO'!A117,'Página 02_Retorno'!L$7:L$108,'Pag 08_Legendas'!C$12)</f>
        <v>0</v>
      </c>
      <c r="G117" s="22">
        <f>SUMIFS('Página 02_Retorno'!S$7:S$108,'Página 02_Retorno'!I$7:I$108,'Pag 06_Bolsas_APROVADO'!A117,'Página 02_Retorno'!L$7:L$108,'Pag 08_Legendas'!C$12)</f>
        <v>0</v>
      </c>
      <c r="H117" s="22">
        <f>SUMIFS('Página 02_Retorno'!T$7:T$108,'Página 02_Retorno'!I$7:I$108,'Pag 06_Bolsas_APROVADO'!A117,'Página 02_Retorno'!L$7:L$108,'Pag 08_Legendas'!C$12)</f>
        <v>0</v>
      </c>
      <c r="I117" s="22">
        <f t="shared" ref="I117:I123" si="18">SUM(C117:H117)</f>
        <v>0</v>
      </c>
      <c r="J117" s="86">
        <f>SUMIFS('Página 02_Retorno'!U$7:U$108,'Página 02_Retorno'!I$7:I$108,'Pag 06_Bolsas_APROVADO'!A117,'Página 02_Retorno'!L$7:L$108,'Pag 08_Legendas'!C$12,'Página 02_Retorno'!B$7:B$108,'Página 01_Cadastro'!B$2)</f>
        <v>0</v>
      </c>
      <c r="K117" s="21">
        <f>COUNTIFS('Página 02_Retorno'!I$7:I$108,'Pag 06_Bolsas_APROVADO'!A117,'Página 02_Retorno'!C$7:C$108,"S",'Página 02_Retorno'!L$7:L$108,'Pag 08_Legendas'!C$12,'Página 02_Retorno'!B$7:B$108,'Página 01_Cadastro'!B$2)</f>
        <v>0</v>
      </c>
    </row>
    <row r="118" spans="1:11" x14ac:dyDescent="0.2">
      <c r="A118" s="20" t="s">
        <v>1</v>
      </c>
      <c r="B118" s="21">
        <f>COUNTIFS('Página 02_Retorno'!I$7:I$108,'Pag 06_Bolsas_APROVADO'!A118,'Página 02_Retorno'!C$7:C$108,"S",'Página 02_Retorno'!L$7:L$108,'Pag 08_Legendas'!C$12)</f>
        <v>0</v>
      </c>
      <c r="C118" s="22">
        <f>SUMIFS('Página 02_Retorno'!O$7:O$108,'Página 02_Retorno'!I$7:I$108,'Pag 06_Bolsas_APROVADO'!A118,'Página 02_Retorno'!L$7:L$108,'Pag 08_Legendas'!C$12)</f>
        <v>0</v>
      </c>
      <c r="D118" s="22">
        <f>SUMIFS('Página 02_Retorno'!P$7:P$108,'Página 02_Retorno'!I$7:I$108,'Pag 06_Bolsas_APROVADO'!A118,'Página 02_Retorno'!L$7:L$108,'Pag 08_Legendas'!C$12)</f>
        <v>0</v>
      </c>
      <c r="E118" s="22">
        <f>SUMIFS('Página 02_Retorno'!Q$7:Q$108,'Página 02_Retorno'!I$7:I$108,'Pag 06_Bolsas_APROVADO'!A118,'Página 02_Retorno'!L$7:L$108,'Pag 08_Legendas'!C$12)</f>
        <v>0</v>
      </c>
      <c r="F118" s="22">
        <f>SUMIFS('Página 02_Retorno'!R$7:R$108,'Página 02_Retorno'!I$7:I$108,'Pag 06_Bolsas_APROVADO'!A118,'Página 02_Retorno'!L$7:L$108,'Pag 08_Legendas'!C$12)</f>
        <v>0</v>
      </c>
      <c r="G118" s="22">
        <f>SUMIFS('Página 02_Retorno'!S$7:S$108,'Página 02_Retorno'!I$7:I$108,'Pag 06_Bolsas_APROVADO'!A118,'Página 02_Retorno'!L$7:L$108,'Pag 08_Legendas'!C$12)</f>
        <v>0</v>
      </c>
      <c r="H118" s="22">
        <f>SUMIFS('Página 02_Retorno'!T$7:T$108,'Página 02_Retorno'!I$7:I$108,'Pag 06_Bolsas_APROVADO'!A118,'Página 02_Retorno'!L$7:L$108,'Pag 08_Legendas'!C$12)</f>
        <v>0</v>
      </c>
      <c r="I118" s="22">
        <f t="shared" si="18"/>
        <v>0</v>
      </c>
      <c r="J118" s="86">
        <f>SUMIFS('Página 02_Retorno'!U$7:U$108,'Página 02_Retorno'!I$7:I$108,'Pag 06_Bolsas_APROVADO'!A118,'Página 02_Retorno'!L$7:L$108,'Pag 08_Legendas'!C$12,'Página 02_Retorno'!B$7:B$108,'Página 01_Cadastro'!B$2)</f>
        <v>0</v>
      </c>
      <c r="K118" s="21">
        <f>COUNTIFS('Página 02_Retorno'!I$7:I$108,'Pag 06_Bolsas_APROVADO'!A118,'Página 02_Retorno'!C$7:C$108,"S",'Página 02_Retorno'!L$7:L$108,'Pag 08_Legendas'!C$12,'Página 02_Retorno'!B$7:B$108,'Página 01_Cadastro'!B$2)</f>
        <v>0</v>
      </c>
    </row>
    <row r="119" spans="1:11" x14ac:dyDescent="0.2">
      <c r="A119" s="20" t="s">
        <v>26</v>
      </c>
      <c r="B119" s="21">
        <f>COUNTIFS('Página 02_Retorno'!I$7:I$108,'Pag 06_Bolsas_APROVADO'!A119,'Página 02_Retorno'!C$7:C$108,"S",'Página 02_Retorno'!L$7:L$108,'Pag 08_Legendas'!C$12)</f>
        <v>0</v>
      </c>
      <c r="C119" s="22">
        <f>SUMIFS('Página 02_Retorno'!O$7:O$108,'Página 02_Retorno'!I$7:I$108,'Pag 06_Bolsas_APROVADO'!A119,'Página 02_Retorno'!L$7:L$108,'Pag 08_Legendas'!C$12)</f>
        <v>0</v>
      </c>
      <c r="D119" s="22">
        <f>SUMIFS('Página 02_Retorno'!P$7:P$108,'Página 02_Retorno'!I$7:I$108,'Pag 06_Bolsas_APROVADO'!A119,'Página 02_Retorno'!L$7:L$108,'Pag 08_Legendas'!C$12)</f>
        <v>0</v>
      </c>
      <c r="E119" s="22">
        <f>SUMIFS('Página 02_Retorno'!Q$7:Q$108,'Página 02_Retorno'!I$7:I$108,'Pag 06_Bolsas_APROVADO'!A119,'Página 02_Retorno'!L$7:L$108,'Pag 08_Legendas'!C$12)</f>
        <v>0</v>
      </c>
      <c r="F119" s="22">
        <f>SUMIFS('Página 02_Retorno'!R$7:R$108,'Página 02_Retorno'!I$7:I$108,'Pag 06_Bolsas_APROVADO'!A119,'Página 02_Retorno'!L$7:L$108,'Pag 08_Legendas'!C$12)</f>
        <v>0</v>
      </c>
      <c r="G119" s="22">
        <f>SUMIFS('Página 02_Retorno'!S$7:S$108,'Página 02_Retorno'!I$7:I$108,'Pag 06_Bolsas_APROVADO'!A119,'Página 02_Retorno'!L$7:L$108,'Pag 08_Legendas'!C$12)</f>
        <v>0</v>
      </c>
      <c r="H119" s="22">
        <f>SUMIFS('Página 02_Retorno'!T$7:T$108,'Página 02_Retorno'!I$7:I$108,'Pag 06_Bolsas_APROVADO'!A119,'Página 02_Retorno'!L$7:L$108,'Pag 08_Legendas'!C$12)</f>
        <v>0</v>
      </c>
      <c r="I119" s="22">
        <f t="shared" si="18"/>
        <v>0</v>
      </c>
      <c r="J119" s="86">
        <f>SUMIFS('Página 02_Retorno'!U$7:U$108,'Página 02_Retorno'!I$7:I$108,'Pag 06_Bolsas_APROVADO'!A119,'Página 02_Retorno'!L$7:L$108,'Pag 08_Legendas'!C$12,'Página 02_Retorno'!B$7:B$108,'Página 01_Cadastro'!B$2)</f>
        <v>0</v>
      </c>
      <c r="K119" s="21">
        <f>COUNTIFS('Página 02_Retorno'!I$7:I$108,'Pag 06_Bolsas_APROVADO'!A119,'Página 02_Retorno'!C$7:C$108,"S",'Página 02_Retorno'!L$7:L$108,'Pag 08_Legendas'!C$12,'Página 02_Retorno'!B$7:B$108,'Página 01_Cadastro'!B$2)</f>
        <v>0</v>
      </c>
    </row>
    <row r="120" spans="1:11" x14ac:dyDescent="0.2">
      <c r="A120" s="20" t="s">
        <v>2</v>
      </c>
      <c r="B120" s="21">
        <f>COUNTIFS('Página 02_Retorno'!I$7:I$108,'Pag 06_Bolsas_APROVADO'!A120,'Página 02_Retorno'!C$7:C$108,"S",'Página 02_Retorno'!L$7:L$108,'Pag 08_Legendas'!C$12)</f>
        <v>0</v>
      </c>
      <c r="C120" s="22">
        <f>SUMIFS('Página 02_Retorno'!O$7:O$108,'Página 02_Retorno'!I$7:I$108,'Pag 06_Bolsas_APROVADO'!A120,'Página 02_Retorno'!L$7:L$108,'Pag 08_Legendas'!C$12)</f>
        <v>0</v>
      </c>
      <c r="D120" s="22">
        <f>SUMIFS('Página 02_Retorno'!P$7:P$108,'Página 02_Retorno'!I$7:I$108,'Pag 06_Bolsas_APROVADO'!A120,'Página 02_Retorno'!L$7:L$108,'Pag 08_Legendas'!C$12)</f>
        <v>0</v>
      </c>
      <c r="E120" s="22">
        <f>SUMIFS('Página 02_Retorno'!Q$7:Q$108,'Página 02_Retorno'!I$7:I$108,'Pag 06_Bolsas_APROVADO'!A120,'Página 02_Retorno'!L$7:L$108,'Pag 08_Legendas'!C$12)</f>
        <v>0</v>
      </c>
      <c r="F120" s="22">
        <f>SUMIFS('Página 02_Retorno'!R$7:R$108,'Página 02_Retorno'!I$7:I$108,'Pag 06_Bolsas_APROVADO'!A120,'Página 02_Retorno'!L$7:L$108,'Pag 08_Legendas'!C$12)</f>
        <v>0</v>
      </c>
      <c r="G120" s="22">
        <f>SUMIFS('Página 02_Retorno'!S$7:S$108,'Página 02_Retorno'!I$7:I$108,'Pag 06_Bolsas_APROVADO'!A120,'Página 02_Retorno'!L$7:L$108,'Pag 08_Legendas'!C$12)</f>
        <v>0</v>
      </c>
      <c r="H120" s="22">
        <f>SUMIFS('Página 02_Retorno'!T$7:T$108,'Página 02_Retorno'!I$7:I$108,'Pag 06_Bolsas_APROVADO'!A120,'Página 02_Retorno'!L$7:L$108,'Pag 08_Legendas'!C$12)</f>
        <v>0</v>
      </c>
      <c r="I120" s="22">
        <f t="shared" si="18"/>
        <v>0</v>
      </c>
      <c r="J120" s="86">
        <f>SUMIFS('Página 02_Retorno'!U$7:U$108,'Página 02_Retorno'!I$7:I$108,'Pag 06_Bolsas_APROVADO'!A120,'Página 02_Retorno'!L$7:L$108,'Pag 08_Legendas'!C$12,'Página 02_Retorno'!B$7:B$108,'Página 01_Cadastro'!B$2)</f>
        <v>0</v>
      </c>
      <c r="K120" s="21">
        <f>COUNTIFS('Página 02_Retorno'!I$7:I$108,'Pag 06_Bolsas_APROVADO'!A120,'Página 02_Retorno'!C$7:C$108,"S",'Página 02_Retorno'!L$7:L$108,'Pag 08_Legendas'!C$12,'Página 02_Retorno'!B$7:B$108,'Página 01_Cadastro'!B$2)</f>
        <v>0</v>
      </c>
    </row>
    <row r="121" spans="1:11" x14ac:dyDescent="0.2">
      <c r="A121" s="20" t="s">
        <v>4</v>
      </c>
      <c r="B121" s="21">
        <f>COUNTIFS('Página 02_Retorno'!I$7:I$108,'Pag 06_Bolsas_APROVADO'!A121,'Página 02_Retorno'!C$7:C$108,"S",'Página 02_Retorno'!L$7:L$108,'Pag 08_Legendas'!C$12)</f>
        <v>0</v>
      </c>
      <c r="C121" s="22">
        <f>SUMIFS('Página 02_Retorno'!O$7:O$108,'Página 02_Retorno'!I$7:I$108,'Pag 06_Bolsas_APROVADO'!A121,'Página 02_Retorno'!L$7:L$108,'Pag 08_Legendas'!C$12)</f>
        <v>0</v>
      </c>
      <c r="D121" s="22">
        <f>SUMIFS('Página 02_Retorno'!P$7:P$108,'Página 02_Retorno'!I$7:I$108,'Pag 06_Bolsas_APROVADO'!A121,'Página 02_Retorno'!L$7:L$108,'Pag 08_Legendas'!C$12)</f>
        <v>0</v>
      </c>
      <c r="E121" s="22">
        <f>SUMIFS('Página 02_Retorno'!Q$7:Q$108,'Página 02_Retorno'!I$7:I$108,'Pag 06_Bolsas_APROVADO'!A121,'Página 02_Retorno'!L$7:L$108,'Pag 08_Legendas'!C$12)</f>
        <v>0</v>
      </c>
      <c r="F121" s="22">
        <f>SUMIFS('Página 02_Retorno'!R$7:R$108,'Página 02_Retorno'!I$7:I$108,'Pag 06_Bolsas_APROVADO'!A121,'Página 02_Retorno'!L$7:L$108,'Pag 08_Legendas'!C$12)</f>
        <v>0</v>
      </c>
      <c r="G121" s="22">
        <f>SUMIFS('Página 02_Retorno'!S$7:S$108,'Página 02_Retorno'!I$7:I$108,'Pag 06_Bolsas_APROVADO'!A121,'Página 02_Retorno'!L$7:L$108,'Pag 08_Legendas'!C$12)</f>
        <v>0</v>
      </c>
      <c r="H121" s="22">
        <f>SUMIFS('Página 02_Retorno'!T$7:T$108,'Página 02_Retorno'!I$7:I$108,'Pag 06_Bolsas_APROVADO'!A121,'Página 02_Retorno'!L$7:L$108,'Pag 08_Legendas'!C$12)</f>
        <v>0</v>
      </c>
      <c r="I121" s="22">
        <f t="shared" si="18"/>
        <v>0</v>
      </c>
      <c r="J121" s="86">
        <f>SUMIFS('Página 02_Retorno'!U$7:U$108,'Página 02_Retorno'!I$7:I$108,'Pag 06_Bolsas_APROVADO'!A121,'Página 02_Retorno'!L$7:L$108,'Pag 08_Legendas'!C$12,'Página 02_Retorno'!B$7:B$108,'Página 01_Cadastro'!B$2)</f>
        <v>0</v>
      </c>
      <c r="K121" s="21">
        <f>COUNTIFS('Página 02_Retorno'!I$7:I$108,'Pag 06_Bolsas_APROVADO'!A121,'Página 02_Retorno'!C$7:C$108,"S",'Página 02_Retorno'!L$7:L$108,'Pag 08_Legendas'!C$12,'Página 02_Retorno'!B$7:B$108,'Página 01_Cadastro'!B$2)</f>
        <v>0</v>
      </c>
    </row>
    <row r="122" spans="1:11" x14ac:dyDescent="0.2">
      <c r="A122" s="20" t="s">
        <v>3</v>
      </c>
      <c r="B122" s="21">
        <f>COUNTIFS('Página 02_Retorno'!I$7:I$108,'Pag 06_Bolsas_APROVADO'!A122,'Página 02_Retorno'!C$7:C$108,"S",'Página 02_Retorno'!L$7:L$108,'Pag 08_Legendas'!C$12)</f>
        <v>0</v>
      </c>
      <c r="C122" s="22">
        <f>SUMIFS('Página 02_Retorno'!O$7:O$108,'Página 02_Retorno'!I$7:I$108,'Pag 06_Bolsas_APROVADO'!A122,'Página 02_Retorno'!L$7:L$108,'Pag 08_Legendas'!C$12)</f>
        <v>0</v>
      </c>
      <c r="D122" s="22">
        <f>SUMIFS('Página 02_Retorno'!P$7:P$108,'Página 02_Retorno'!I$7:I$108,'Pag 06_Bolsas_APROVADO'!A122,'Página 02_Retorno'!L$7:L$108,'Pag 08_Legendas'!C$12)</f>
        <v>0</v>
      </c>
      <c r="E122" s="22">
        <f>SUMIFS('Página 02_Retorno'!Q$7:Q$108,'Página 02_Retorno'!I$7:I$108,'Pag 06_Bolsas_APROVADO'!A122,'Página 02_Retorno'!L$7:L$108,'Pag 08_Legendas'!C$12)</f>
        <v>0</v>
      </c>
      <c r="F122" s="22">
        <f>SUMIFS('Página 02_Retorno'!R$7:R$108,'Página 02_Retorno'!I$7:I$108,'Pag 06_Bolsas_APROVADO'!A122,'Página 02_Retorno'!L$7:L$108,'Pag 08_Legendas'!C$12)</f>
        <v>0</v>
      </c>
      <c r="G122" s="22">
        <f>SUMIFS('Página 02_Retorno'!S$7:S$108,'Página 02_Retorno'!I$7:I$108,'Pag 06_Bolsas_APROVADO'!A122,'Página 02_Retorno'!L$7:L$108,'Pag 08_Legendas'!C$12)</f>
        <v>0</v>
      </c>
      <c r="H122" s="22">
        <f>SUMIFS('Página 02_Retorno'!T$7:T$108,'Página 02_Retorno'!I$7:I$108,'Pag 06_Bolsas_APROVADO'!A122,'Página 02_Retorno'!L$7:L$108,'Pag 08_Legendas'!C$12)</f>
        <v>0</v>
      </c>
      <c r="I122" s="22">
        <f t="shared" si="18"/>
        <v>0</v>
      </c>
      <c r="J122" s="86">
        <f>SUMIFS('Página 02_Retorno'!U$7:U$108,'Página 02_Retorno'!I$7:I$108,'Pag 06_Bolsas_APROVADO'!A122,'Página 02_Retorno'!L$7:L$108,'Pag 08_Legendas'!C$12,'Página 02_Retorno'!B$7:B$108,'Página 01_Cadastro'!B$2)</f>
        <v>0</v>
      </c>
      <c r="K122" s="21">
        <f>COUNTIFS('Página 02_Retorno'!I$7:I$108,'Pag 06_Bolsas_APROVADO'!A122,'Página 02_Retorno'!C$7:C$108,"S",'Página 02_Retorno'!L$7:L$108,'Pag 08_Legendas'!C$12,'Página 02_Retorno'!B$7:B$108,'Página 01_Cadastro'!B$2)</f>
        <v>0</v>
      </c>
    </row>
    <row r="123" spans="1:11" x14ac:dyDescent="0.2">
      <c r="A123" s="32" t="s">
        <v>6</v>
      </c>
      <c r="B123" s="31">
        <f>SUM(B116:B122)</f>
        <v>0</v>
      </c>
      <c r="C123" s="33">
        <f t="shared" ref="C123:H123" si="19">SUM(C116:C122)</f>
        <v>0</v>
      </c>
      <c r="D123" s="33">
        <f t="shared" si="19"/>
        <v>0</v>
      </c>
      <c r="E123" s="33">
        <f t="shared" si="19"/>
        <v>0</v>
      </c>
      <c r="F123" s="33">
        <f t="shared" si="19"/>
        <v>0</v>
      </c>
      <c r="G123" s="33">
        <f t="shared" si="19"/>
        <v>0</v>
      </c>
      <c r="H123" s="33">
        <f t="shared" si="19"/>
        <v>0</v>
      </c>
      <c r="I123" s="33">
        <f t="shared" si="18"/>
        <v>0</v>
      </c>
      <c r="J123" s="34">
        <f>SUM(J116:J122)</f>
        <v>0</v>
      </c>
      <c r="K123" s="31">
        <f>SUM(K116:K122)</f>
        <v>0</v>
      </c>
    </row>
    <row r="126" spans="1:11" x14ac:dyDescent="0.2">
      <c r="A126" s="174" t="s">
        <v>145</v>
      </c>
      <c r="B126" s="174"/>
      <c r="C126" s="174"/>
      <c r="D126" s="174"/>
      <c r="E126" s="174"/>
      <c r="F126" s="174"/>
      <c r="G126" s="174"/>
      <c r="H126" s="174"/>
      <c r="I126" s="174"/>
    </row>
    <row r="128" spans="1:11" ht="51" x14ac:dyDescent="0.2">
      <c r="A128" s="35" t="s">
        <v>25</v>
      </c>
      <c r="B128" s="36" t="s">
        <v>27</v>
      </c>
      <c r="C128" s="36" t="s">
        <v>16</v>
      </c>
      <c r="D128" s="37" t="s">
        <v>17</v>
      </c>
      <c r="E128" s="37" t="s">
        <v>18</v>
      </c>
      <c r="F128" s="37" t="s">
        <v>19</v>
      </c>
      <c r="G128" s="37" t="s">
        <v>20</v>
      </c>
      <c r="H128" s="37" t="s">
        <v>21</v>
      </c>
      <c r="I128" s="37" t="s">
        <v>28</v>
      </c>
      <c r="J128" s="37" t="s">
        <v>126</v>
      </c>
      <c r="K128" s="37" t="s">
        <v>127</v>
      </c>
    </row>
    <row r="129" spans="1:11" x14ac:dyDescent="0.2">
      <c r="A129" s="20" t="s">
        <v>0</v>
      </c>
      <c r="B129" s="21">
        <f>SUM(B116,B79,B67,B55,B43,B19,B6,B31,B104,B91)</f>
        <v>0</v>
      </c>
      <c r="C129" s="23">
        <f>SUM(C116,C79,C67,C55,C43,C19,C6,C31,C104,C91)</f>
        <v>0</v>
      </c>
      <c r="D129" s="23">
        <f t="shared" ref="D129:J129" si="20">SUM(D116,D79,D67,D55,D43,D19,D6,D31,D104,D91)</f>
        <v>0</v>
      </c>
      <c r="E129" s="23">
        <f t="shared" si="20"/>
        <v>0</v>
      </c>
      <c r="F129" s="23">
        <f t="shared" si="20"/>
        <v>0</v>
      </c>
      <c r="G129" s="23">
        <f t="shared" si="20"/>
        <v>0</v>
      </c>
      <c r="H129" s="23">
        <f t="shared" si="20"/>
        <v>0</v>
      </c>
      <c r="I129" s="23">
        <f t="shared" si="20"/>
        <v>0</v>
      </c>
      <c r="J129" s="23">
        <f t="shared" si="20"/>
        <v>0</v>
      </c>
      <c r="K129" s="88">
        <f>SUM(K116,K104,K91,K79,K67,K55,K43,K31,K19,K6)</f>
        <v>0</v>
      </c>
    </row>
    <row r="130" spans="1:11" x14ac:dyDescent="0.2">
      <c r="A130" s="20" t="s">
        <v>5</v>
      </c>
      <c r="B130" s="21">
        <f t="shared" ref="B130:C135" si="21">SUM(B117,B80,B68,B56,B44,B20,B7,B32,B105,B92)</f>
        <v>0</v>
      </c>
      <c r="C130" s="23">
        <f t="shared" si="21"/>
        <v>0</v>
      </c>
      <c r="D130" s="23">
        <f t="shared" ref="D130:J130" si="22">SUM(D117,D80,D68,D56,D44,D20,D7,D32,D105,D92)</f>
        <v>0</v>
      </c>
      <c r="E130" s="23">
        <f t="shared" si="22"/>
        <v>0</v>
      </c>
      <c r="F130" s="23">
        <f t="shared" si="22"/>
        <v>0</v>
      </c>
      <c r="G130" s="23">
        <f t="shared" si="22"/>
        <v>0</v>
      </c>
      <c r="H130" s="23">
        <f t="shared" si="22"/>
        <v>0</v>
      </c>
      <c r="I130" s="23">
        <f t="shared" si="22"/>
        <v>0</v>
      </c>
      <c r="J130" s="23">
        <f t="shared" si="22"/>
        <v>0</v>
      </c>
      <c r="K130" s="88">
        <f t="shared" ref="K130:K135" si="23">SUM(K117,K105,K92,K80,K68,K56,K44,K32,K20,K7)</f>
        <v>0</v>
      </c>
    </row>
    <row r="131" spans="1:11" x14ac:dyDescent="0.2">
      <c r="A131" s="20" t="s">
        <v>1</v>
      </c>
      <c r="B131" s="21">
        <f t="shared" si="21"/>
        <v>0</v>
      </c>
      <c r="C131" s="23">
        <f t="shared" si="21"/>
        <v>0</v>
      </c>
      <c r="D131" s="23">
        <f t="shared" ref="D131:J131" si="24">SUM(D118,D81,D69,D57,D45,D21,D8,D33,D106,D93)</f>
        <v>0</v>
      </c>
      <c r="E131" s="23">
        <f t="shared" si="24"/>
        <v>0</v>
      </c>
      <c r="F131" s="23">
        <f t="shared" si="24"/>
        <v>0</v>
      </c>
      <c r="G131" s="23">
        <f t="shared" si="24"/>
        <v>0</v>
      </c>
      <c r="H131" s="23">
        <f t="shared" si="24"/>
        <v>0</v>
      </c>
      <c r="I131" s="23">
        <f t="shared" si="24"/>
        <v>0</v>
      </c>
      <c r="J131" s="23">
        <f t="shared" si="24"/>
        <v>0</v>
      </c>
      <c r="K131" s="88">
        <f t="shared" si="23"/>
        <v>0</v>
      </c>
    </row>
    <row r="132" spans="1:11" x14ac:dyDescent="0.2">
      <c r="A132" s="20" t="s">
        <v>26</v>
      </c>
      <c r="B132" s="21">
        <f t="shared" si="21"/>
        <v>0</v>
      </c>
      <c r="C132" s="23">
        <f t="shared" si="21"/>
        <v>0</v>
      </c>
      <c r="D132" s="23">
        <f t="shared" ref="D132:J132" si="25">SUM(D119,D82,D70,D58,D46,D22,D9,D34,D107,D94)</f>
        <v>0</v>
      </c>
      <c r="E132" s="23">
        <f t="shared" si="25"/>
        <v>0</v>
      </c>
      <c r="F132" s="23">
        <f t="shared" si="25"/>
        <v>0</v>
      </c>
      <c r="G132" s="23">
        <f t="shared" si="25"/>
        <v>0</v>
      </c>
      <c r="H132" s="23">
        <f t="shared" si="25"/>
        <v>0</v>
      </c>
      <c r="I132" s="23">
        <f t="shared" si="25"/>
        <v>0</v>
      </c>
      <c r="J132" s="23">
        <f t="shared" si="25"/>
        <v>0</v>
      </c>
      <c r="K132" s="88">
        <f t="shared" si="23"/>
        <v>0</v>
      </c>
    </row>
    <row r="133" spans="1:11" x14ac:dyDescent="0.2">
      <c r="A133" s="20" t="s">
        <v>2</v>
      </c>
      <c r="B133" s="21">
        <f t="shared" si="21"/>
        <v>0</v>
      </c>
      <c r="C133" s="23">
        <f t="shared" si="21"/>
        <v>0</v>
      </c>
      <c r="D133" s="23">
        <f t="shared" ref="D133:J133" si="26">SUM(D120,D83,D71,D59,D47,D23,D10,D35,D108,D95)</f>
        <v>0</v>
      </c>
      <c r="E133" s="23">
        <f t="shared" si="26"/>
        <v>0</v>
      </c>
      <c r="F133" s="23">
        <f t="shared" si="26"/>
        <v>0</v>
      </c>
      <c r="G133" s="23">
        <f t="shared" si="26"/>
        <v>0</v>
      </c>
      <c r="H133" s="23">
        <f t="shared" si="26"/>
        <v>0</v>
      </c>
      <c r="I133" s="23">
        <f t="shared" si="26"/>
        <v>0</v>
      </c>
      <c r="J133" s="23">
        <f t="shared" si="26"/>
        <v>0</v>
      </c>
      <c r="K133" s="88">
        <f t="shared" si="23"/>
        <v>0</v>
      </c>
    </row>
    <row r="134" spans="1:11" x14ac:dyDescent="0.2">
      <c r="A134" s="20" t="s">
        <v>4</v>
      </c>
      <c r="B134" s="21">
        <f t="shared" si="21"/>
        <v>0</v>
      </c>
      <c r="C134" s="23">
        <f t="shared" si="21"/>
        <v>0</v>
      </c>
      <c r="D134" s="23">
        <f t="shared" ref="D134:J134" si="27">SUM(D121,D84,D72,D60,D48,D24,D11,D36,D109,D96)</f>
        <v>0</v>
      </c>
      <c r="E134" s="23">
        <f t="shared" si="27"/>
        <v>0</v>
      </c>
      <c r="F134" s="23">
        <f t="shared" si="27"/>
        <v>0</v>
      </c>
      <c r="G134" s="23">
        <f t="shared" si="27"/>
        <v>0</v>
      </c>
      <c r="H134" s="23">
        <f t="shared" si="27"/>
        <v>0</v>
      </c>
      <c r="I134" s="23">
        <f t="shared" si="27"/>
        <v>0</v>
      </c>
      <c r="J134" s="23">
        <f t="shared" si="27"/>
        <v>0</v>
      </c>
      <c r="K134" s="88">
        <f t="shared" si="23"/>
        <v>0</v>
      </c>
    </row>
    <row r="135" spans="1:11" x14ac:dyDescent="0.2">
      <c r="A135" s="20" t="s">
        <v>3</v>
      </c>
      <c r="B135" s="21">
        <f t="shared" si="21"/>
        <v>0</v>
      </c>
      <c r="C135" s="23">
        <f t="shared" si="21"/>
        <v>0</v>
      </c>
      <c r="D135" s="23">
        <f t="shared" ref="D135:J135" si="28">SUM(D122,D85,D73,D61,D49,D25,D12,D37,D110,D97)</f>
        <v>0</v>
      </c>
      <c r="E135" s="23">
        <f t="shared" si="28"/>
        <v>0</v>
      </c>
      <c r="F135" s="23">
        <f t="shared" si="28"/>
        <v>0</v>
      </c>
      <c r="G135" s="23">
        <f t="shared" si="28"/>
        <v>0</v>
      </c>
      <c r="H135" s="23">
        <f t="shared" si="28"/>
        <v>0</v>
      </c>
      <c r="I135" s="23">
        <f t="shared" si="28"/>
        <v>0</v>
      </c>
      <c r="J135" s="23">
        <f t="shared" si="28"/>
        <v>0</v>
      </c>
      <c r="K135" s="88">
        <f t="shared" si="23"/>
        <v>0</v>
      </c>
    </row>
    <row r="136" spans="1:11" x14ac:dyDescent="0.2">
      <c r="A136" s="32" t="s">
        <v>6</v>
      </c>
      <c r="B136" s="31">
        <f>SUM(B129:B135)</f>
        <v>0</v>
      </c>
      <c r="C136" s="33">
        <f t="shared" ref="C136:H136" si="29">SUM(C129:C135)</f>
        <v>0</v>
      </c>
      <c r="D136" s="33">
        <f t="shared" si="29"/>
        <v>0</v>
      </c>
      <c r="E136" s="33">
        <f t="shared" si="29"/>
        <v>0</v>
      </c>
      <c r="F136" s="33">
        <f t="shared" si="29"/>
        <v>0</v>
      </c>
      <c r="G136" s="33">
        <f t="shared" si="29"/>
        <v>0</v>
      </c>
      <c r="H136" s="33">
        <f t="shared" si="29"/>
        <v>0</v>
      </c>
      <c r="I136" s="33">
        <f>SUM(C136:H136)</f>
        <v>0</v>
      </c>
      <c r="J136" s="34">
        <f>SUM(J129:J135)</f>
        <v>0</v>
      </c>
      <c r="K136" s="98">
        <f>SUM(K129:K135)</f>
        <v>0</v>
      </c>
    </row>
    <row r="137" spans="1:11" x14ac:dyDescent="0.2">
      <c r="A137" s="172" t="s">
        <v>157</v>
      </c>
      <c r="B137" s="173"/>
      <c r="C137" s="173"/>
      <c r="D137" s="173"/>
      <c r="E137" s="173"/>
      <c r="F137" s="173"/>
      <c r="G137" s="173"/>
      <c r="H137" s="173"/>
      <c r="I137" s="173"/>
      <c r="J137" s="173"/>
      <c r="K137" s="173"/>
    </row>
  </sheetData>
  <sheetProtection algorithmName="SHA-512" hashValue="pTD+TsBnCP9/0ztnpU8svMj3X46TPse0Ovlx+Or7MmvC+0SzsZqX4NhijQ0NFQSy69cERjZNUSval1366vzPNw==" saltValue="kjzePozQfMnVZFB3AmYmtg==" spinCount="100000" sheet="1" objects="1" scenarios="1"/>
  <mergeCells count="13">
    <mergeCell ref="A52:I52"/>
    <mergeCell ref="A88:I88"/>
    <mergeCell ref="A101:I101"/>
    <mergeCell ref="A1:I1"/>
    <mergeCell ref="A3:I3"/>
    <mergeCell ref="A16:I16"/>
    <mergeCell ref="A28:I28"/>
    <mergeCell ref="A40:I40"/>
    <mergeCell ref="A137:K137"/>
    <mergeCell ref="A64:I64"/>
    <mergeCell ref="A76:I76"/>
    <mergeCell ref="A113:I113"/>
    <mergeCell ref="A126:I126"/>
  </mergeCells>
  <pageMargins left="0.51181102362204722" right="0.51181102362204722" top="0.78740157480314965" bottom="0.78740157480314965" header="0.31496062992125984" footer="0.31496062992125984"/>
  <pageSetup paperSize="9" scale="35" orientation="portrait" r:id="rId1"/>
  <headerFooter>
    <oddHeader>&amp;R&amp;P/&amp;N</oddHeader>
    <oddFooter>&amp;LFQ-07.54 (anexo ao PQ-07.02) - RA - revisão 03 de 02/02/26 -  Página 6/8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68"/>
  <sheetViews>
    <sheetView tabSelected="1" view="pageBreakPreview" topLeftCell="A26" zoomScale="60" zoomScaleNormal="140" workbookViewId="0">
      <selection activeCell="A16" sqref="A16"/>
    </sheetView>
  </sheetViews>
  <sheetFormatPr defaultRowHeight="12.75" x14ac:dyDescent="0.2"/>
  <cols>
    <col min="1" max="1" width="16.42578125" customWidth="1"/>
    <col min="2" max="2" width="11.85546875" bestFit="1" customWidth="1"/>
    <col min="3" max="3" width="12.28515625" customWidth="1"/>
    <col min="4" max="4" width="11.85546875" customWidth="1"/>
    <col min="5" max="5" width="12.5703125" customWidth="1"/>
    <col min="6" max="6" width="13" customWidth="1"/>
    <col min="7" max="7" width="9.5703125" customWidth="1"/>
  </cols>
  <sheetData>
    <row r="1" spans="1:9" ht="13.5" thickBot="1" x14ac:dyDescent="0.25">
      <c r="A1" s="175" t="s">
        <v>96</v>
      </c>
      <c r="B1" s="175"/>
      <c r="C1" s="175"/>
      <c r="D1" s="175"/>
      <c r="E1" s="175"/>
      <c r="F1" s="175"/>
      <c r="G1" s="175"/>
      <c r="H1" s="175"/>
      <c r="I1" s="175"/>
    </row>
    <row r="2" spans="1:9" ht="16.5" thickBot="1" x14ac:dyDescent="0.3">
      <c r="G2" s="68">
        <f>'Página 01_Cadastro'!B2</f>
        <v>0</v>
      </c>
    </row>
    <row r="3" spans="1:9" x14ac:dyDescent="0.2">
      <c r="A3" s="175" t="s">
        <v>102</v>
      </c>
      <c r="B3" s="175"/>
      <c r="C3" s="175"/>
      <c r="D3" s="175"/>
      <c r="E3" s="175"/>
      <c r="F3" s="175"/>
      <c r="G3" s="175"/>
    </row>
    <row r="5" spans="1:9" x14ac:dyDescent="0.2">
      <c r="A5" s="180" t="s">
        <v>25</v>
      </c>
      <c r="B5" s="177" t="s">
        <v>27</v>
      </c>
      <c r="C5" s="177"/>
      <c r="D5" s="177"/>
      <c r="E5" s="177" t="s">
        <v>100</v>
      </c>
      <c r="F5" s="177"/>
      <c r="G5" s="177"/>
    </row>
    <row r="6" spans="1:9" x14ac:dyDescent="0.2">
      <c r="A6" s="180"/>
      <c r="B6" s="31" t="s">
        <v>97</v>
      </c>
      <c r="C6" s="31" t="s">
        <v>98</v>
      </c>
      <c r="D6" s="31" t="s">
        <v>99</v>
      </c>
      <c r="E6" s="31" t="s">
        <v>101</v>
      </c>
      <c r="F6" s="31" t="s">
        <v>72</v>
      </c>
      <c r="G6" s="31" t="s">
        <v>99</v>
      </c>
    </row>
    <row r="7" spans="1:9" x14ac:dyDescent="0.2">
      <c r="A7" s="20" t="s">
        <v>0</v>
      </c>
      <c r="B7" s="28">
        <f>'Página 03_Envio_Modalidade'!B151</f>
        <v>0</v>
      </c>
      <c r="C7" s="29">
        <f>'Pag 05_Modalidade_APROVADO'!K151</f>
        <v>0</v>
      </c>
      <c r="D7" s="109" t="str">
        <f>IFERROR((C7/B7)*100,"-")</f>
        <v>-</v>
      </c>
      <c r="E7" s="22">
        <f>'Página 03_Envio_Modalidade'!I151</f>
        <v>0</v>
      </c>
      <c r="F7" s="30">
        <f>'Pag 05_Modalidade_APROVADO'!J151</f>
        <v>0</v>
      </c>
      <c r="G7" s="109" t="str">
        <f>IFERROR((F7/E7)*100,"-")</f>
        <v>-</v>
      </c>
    </row>
    <row r="8" spans="1:9" x14ac:dyDescent="0.2">
      <c r="A8" s="20" t="s">
        <v>5</v>
      </c>
      <c r="B8" s="28">
        <f>'Página 03_Envio_Modalidade'!B152</f>
        <v>0</v>
      </c>
      <c r="C8" s="29">
        <f>'Pag 05_Modalidade_APROVADO'!K152</f>
        <v>0</v>
      </c>
      <c r="D8" s="109" t="str">
        <f t="shared" ref="D8:D14" si="0">IFERROR((C8/B8)*100,"-")</f>
        <v>-</v>
      </c>
      <c r="E8" s="22">
        <f>'Página 03_Envio_Modalidade'!I152</f>
        <v>0</v>
      </c>
      <c r="F8" s="30">
        <f>'Pag 05_Modalidade_APROVADO'!J152</f>
        <v>0</v>
      </c>
      <c r="G8" s="109" t="str">
        <f t="shared" ref="G8:G14" si="1">IFERROR((F8/E8)*100,"-")</f>
        <v>-</v>
      </c>
    </row>
    <row r="9" spans="1:9" x14ac:dyDescent="0.2">
      <c r="A9" s="20" t="s">
        <v>1</v>
      </c>
      <c r="B9" s="28">
        <f>'Página 03_Envio_Modalidade'!B153</f>
        <v>0</v>
      </c>
      <c r="C9" s="29">
        <f>'Pag 05_Modalidade_APROVADO'!K153</f>
        <v>0</v>
      </c>
      <c r="D9" s="109" t="str">
        <f t="shared" si="0"/>
        <v>-</v>
      </c>
      <c r="E9" s="22">
        <f>'Página 03_Envio_Modalidade'!I153</f>
        <v>0</v>
      </c>
      <c r="F9" s="30">
        <f>'Pag 05_Modalidade_APROVADO'!J153</f>
        <v>0</v>
      </c>
      <c r="G9" s="109" t="str">
        <f t="shared" si="1"/>
        <v>-</v>
      </c>
    </row>
    <row r="10" spans="1:9" x14ac:dyDescent="0.2">
      <c r="A10" s="20" t="s">
        <v>26</v>
      </c>
      <c r="B10" s="28">
        <f>'Página 03_Envio_Modalidade'!B154</f>
        <v>0</v>
      </c>
      <c r="C10" s="29">
        <f>'Pag 05_Modalidade_APROVADO'!K154</f>
        <v>0</v>
      </c>
      <c r="D10" s="109" t="str">
        <f t="shared" si="0"/>
        <v>-</v>
      </c>
      <c r="E10" s="22">
        <f>'Página 03_Envio_Modalidade'!I154</f>
        <v>0</v>
      </c>
      <c r="F10" s="30">
        <f>'Pag 05_Modalidade_APROVADO'!J154</f>
        <v>0</v>
      </c>
      <c r="G10" s="109" t="str">
        <f t="shared" si="1"/>
        <v>-</v>
      </c>
    </row>
    <row r="11" spans="1:9" x14ac:dyDescent="0.2">
      <c r="A11" s="20" t="s">
        <v>2</v>
      </c>
      <c r="B11" s="28">
        <f>'Página 03_Envio_Modalidade'!B155</f>
        <v>0</v>
      </c>
      <c r="C11" s="29">
        <f>'Pag 05_Modalidade_APROVADO'!K155</f>
        <v>0</v>
      </c>
      <c r="D11" s="109" t="str">
        <f t="shared" si="0"/>
        <v>-</v>
      </c>
      <c r="E11" s="22">
        <f>'Página 03_Envio_Modalidade'!I155</f>
        <v>0</v>
      </c>
      <c r="F11" s="30">
        <f>'Pag 05_Modalidade_APROVADO'!J155</f>
        <v>0</v>
      </c>
      <c r="G11" s="109" t="str">
        <f t="shared" si="1"/>
        <v>-</v>
      </c>
    </row>
    <row r="12" spans="1:9" x14ac:dyDescent="0.2">
      <c r="A12" s="20" t="s">
        <v>4</v>
      </c>
      <c r="B12" s="28">
        <f>'Página 03_Envio_Modalidade'!B156</f>
        <v>0</v>
      </c>
      <c r="C12" s="29">
        <f>'Pag 05_Modalidade_APROVADO'!K156</f>
        <v>0</v>
      </c>
      <c r="D12" s="109" t="str">
        <f t="shared" si="0"/>
        <v>-</v>
      </c>
      <c r="E12" s="22">
        <f>'Página 03_Envio_Modalidade'!I156</f>
        <v>0</v>
      </c>
      <c r="F12" s="30">
        <f>'Pag 05_Modalidade_APROVADO'!J156</f>
        <v>0</v>
      </c>
      <c r="G12" s="109" t="str">
        <f t="shared" si="1"/>
        <v>-</v>
      </c>
    </row>
    <row r="13" spans="1:9" x14ac:dyDescent="0.2">
      <c r="A13" s="20" t="s">
        <v>3</v>
      </c>
      <c r="B13" s="28">
        <f>'Página 03_Envio_Modalidade'!B157</f>
        <v>0</v>
      </c>
      <c r="C13" s="29">
        <f>'Pag 05_Modalidade_APROVADO'!K157</f>
        <v>0</v>
      </c>
      <c r="D13" s="109" t="str">
        <f t="shared" si="0"/>
        <v>-</v>
      </c>
      <c r="E13" s="22">
        <f>'Página 03_Envio_Modalidade'!I157</f>
        <v>0</v>
      </c>
      <c r="F13" s="30">
        <f>'Pag 05_Modalidade_APROVADO'!J157</f>
        <v>0</v>
      </c>
      <c r="G13" s="109" t="str">
        <f t="shared" si="1"/>
        <v>-</v>
      </c>
    </row>
    <row r="14" spans="1:9" x14ac:dyDescent="0.2">
      <c r="A14" s="32" t="s">
        <v>6</v>
      </c>
      <c r="B14" s="31">
        <f>'Página 03_Envio_Modalidade'!B158</f>
        <v>0</v>
      </c>
      <c r="C14" s="31">
        <f>'Pag 05_Modalidade_APROVADO'!K158</f>
        <v>0</v>
      </c>
      <c r="D14" s="110" t="str">
        <f t="shared" si="0"/>
        <v>-</v>
      </c>
      <c r="E14" s="33">
        <f>'Página 03_Envio_Modalidade'!I158</f>
        <v>0</v>
      </c>
      <c r="F14" s="33">
        <f>'Pag 05_Modalidade_APROVADO'!J158</f>
        <v>0</v>
      </c>
      <c r="G14" s="110" t="str">
        <f t="shared" si="1"/>
        <v>-</v>
      </c>
    </row>
    <row r="15" spans="1:9" x14ac:dyDescent="0.2">
      <c r="D15" s="27"/>
    </row>
    <row r="16" spans="1:9" x14ac:dyDescent="0.2">
      <c r="A16" s="175" t="s">
        <v>103</v>
      </c>
      <c r="B16" s="175"/>
      <c r="C16" s="175"/>
      <c r="D16" s="175"/>
      <c r="E16" s="175"/>
      <c r="F16" s="175"/>
      <c r="G16" s="175"/>
    </row>
    <row r="18" spans="1:8" x14ac:dyDescent="0.2">
      <c r="A18" s="180" t="s">
        <v>25</v>
      </c>
      <c r="B18" s="177" t="s">
        <v>27</v>
      </c>
      <c r="C18" s="177"/>
      <c r="D18" s="177"/>
      <c r="E18" s="177" t="s">
        <v>100</v>
      </c>
      <c r="F18" s="177"/>
      <c r="G18" s="177"/>
    </row>
    <row r="19" spans="1:8" x14ac:dyDescent="0.2">
      <c r="A19" s="180"/>
      <c r="B19" s="31" t="s">
        <v>97</v>
      </c>
      <c r="C19" s="31" t="s">
        <v>98</v>
      </c>
      <c r="D19" s="31" t="s">
        <v>99</v>
      </c>
      <c r="E19" s="31" t="s">
        <v>101</v>
      </c>
      <c r="F19" s="31" t="s">
        <v>72</v>
      </c>
      <c r="G19" s="31" t="s">
        <v>99</v>
      </c>
    </row>
    <row r="20" spans="1:8" x14ac:dyDescent="0.2">
      <c r="A20" s="20" t="s">
        <v>0</v>
      </c>
      <c r="B20" s="28">
        <f>'Página 04_Envio_Tipo Bolsa'!B128</f>
        <v>0</v>
      </c>
      <c r="C20" s="38">
        <f>'Pag 06_Bolsas_APROVADO'!K129</f>
        <v>0</v>
      </c>
      <c r="D20" s="109" t="str">
        <f>IFERROR((C20/B20)*100,"-")</f>
        <v>-</v>
      </c>
      <c r="E20" s="22">
        <f>'Página 04_Envio_Tipo Bolsa'!I128</f>
        <v>0</v>
      </c>
      <c r="F20" s="22">
        <f>'Pag 06_Bolsas_APROVADO'!J129</f>
        <v>0</v>
      </c>
      <c r="G20" s="109" t="str">
        <f>IFERROR((F20/E20)*100,"-")</f>
        <v>-</v>
      </c>
    </row>
    <row r="21" spans="1:8" x14ac:dyDescent="0.2">
      <c r="A21" s="20" t="s">
        <v>5</v>
      </c>
      <c r="B21" s="28">
        <f>'Página 04_Envio_Tipo Bolsa'!B129</f>
        <v>0</v>
      </c>
      <c r="C21" s="38">
        <f>'Pag 06_Bolsas_APROVADO'!K130</f>
        <v>0</v>
      </c>
      <c r="D21" s="109" t="str">
        <f t="shared" ref="D21:D27" si="2">IFERROR((C21/B21)*100,"-")</f>
        <v>-</v>
      </c>
      <c r="E21" s="22">
        <f>'Página 04_Envio_Tipo Bolsa'!I129</f>
        <v>0</v>
      </c>
      <c r="F21" s="22">
        <f>'Pag 06_Bolsas_APROVADO'!J130</f>
        <v>0</v>
      </c>
      <c r="G21" s="109" t="str">
        <f t="shared" ref="G21:G27" si="3">IFERROR((F21/E21)*100,"-")</f>
        <v>-</v>
      </c>
    </row>
    <row r="22" spans="1:8" x14ac:dyDescent="0.2">
      <c r="A22" s="20" t="s">
        <v>1</v>
      </c>
      <c r="B22" s="28">
        <f>'Página 04_Envio_Tipo Bolsa'!B130</f>
        <v>0</v>
      </c>
      <c r="C22" s="38">
        <f>'Pag 06_Bolsas_APROVADO'!K131</f>
        <v>0</v>
      </c>
      <c r="D22" s="109" t="str">
        <f t="shared" si="2"/>
        <v>-</v>
      </c>
      <c r="E22" s="22">
        <f>'Página 04_Envio_Tipo Bolsa'!I130</f>
        <v>0</v>
      </c>
      <c r="F22" s="22">
        <f>'Pag 06_Bolsas_APROVADO'!J131</f>
        <v>0</v>
      </c>
      <c r="G22" s="109" t="str">
        <f t="shared" si="3"/>
        <v>-</v>
      </c>
    </row>
    <row r="23" spans="1:8" x14ac:dyDescent="0.2">
      <c r="A23" s="20" t="s">
        <v>26</v>
      </c>
      <c r="B23" s="28">
        <f>'Página 04_Envio_Tipo Bolsa'!B131</f>
        <v>0</v>
      </c>
      <c r="C23" s="38">
        <f>'Pag 06_Bolsas_APROVADO'!K132</f>
        <v>0</v>
      </c>
      <c r="D23" s="109" t="str">
        <f t="shared" si="2"/>
        <v>-</v>
      </c>
      <c r="E23" s="22">
        <f>'Página 04_Envio_Tipo Bolsa'!I131</f>
        <v>0</v>
      </c>
      <c r="F23" s="22">
        <f>'Pag 06_Bolsas_APROVADO'!J132</f>
        <v>0</v>
      </c>
      <c r="G23" s="109" t="str">
        <f t="shared" si="3"/>
        <v>-</v>
      </c>
    </row>
    <row r="24" spans="1:8" x14ac:dyDescent="0.2">
      <c r="A24" s="20" t="s">
        <v>2</v>
      </c>
      <c r="B24" s="28">
        <f>'Página 04_Envio_Tipo Bolsa'!B132</f>
        <v>0</v>
      </c>
      <c r="C24" s="38">
        <f>'Pag 06_Bolsas_APROVADO'!K133</f>
        <v>0</v>
      </c>
      <c r="D24" s="109" t="str">
        <f t="shared" si="2"/>
        <v>-</v>
      </c>
      <c r="E24" s="22">
        <f>'Página 04_Envio_Tipo Bolsa'!I132</f>
        <v>0</v>
      </c>
      <c r="F24" s="22">
        <f>'Pag 06_Bolsas_APROVADO'!J133</f>
        <v>0</v>
      </c>
      <c r="G24" s="109" t="str">
        <f t="shared" si="3"/>
        <v>-</v>
      </c>
    </row>
    <row r="25" spans="1:8" x14ac:dyDescent="0.2">
      <c r="A25" s="20" t="s">
        <v>4</v>
      </c>
      <c r="B25" s="28">
        <f>'Página 04_Envio_Tipo Bolsa'!B133</f>
        <v>0</v>
      </c>
      <c r="C25" s="38">
        <f>'Pag 06_Bolsas_APROVADO'!K134</f>
        <v>0</v>
      </c>
      <c r="D25" s="109" t="str">
        <f t="shared" si="2"/>
        <v>-</v>
      </c>
      <c r="E25" s="22">
        <f>'Página 04_Envio_Tipo Bolsa'!I133</f>
        <v>0</v>
      </c>
      <c r="F25" s="22">
        <f>'Pag 06_Bolsas_APROVADO'!J134</f>
        <v>0</v>
      </c>
      <c r="G25" s="109" t="str">
        <f t="shared" si="3"/>
        <v>-</v>
      </c>
    </row>
    <row r="26" spans="1:8" x14ac:dyDescent="0.2">
      <c r="A26" s="20" t="s">
        <v>3</v>
      </c>
      <c r="B26" s="28">
        <f>'Página 04_Envio_Tipo Bolsa'!B134</f>
        <v>0</v>
      </c>
      <c r="C26" s="38">
        <f>'Pag 06_Bolsas_APROVADO'!K135</f>
        <v>0</v>
      </c>
      <c r="D26" s="109" t="str">
        <f t="shared" si="2"/>
        <v>-</v>
      </c>
      <c r="E26" s="22">
        <f>'Página 04_Envio_Tipo Bolsa'!I134</f>
        <v>0</v>
      </c>
      <c r="F26" s="22">
        <f>'Pag 06_Bolsas_APROVADO'!J135</f>
        <v>0</v>
      </c>
      <c r="G26" s="109" t="str">
        <f t="shared" si="3"/>
        <v>-</v>
      </c>
    </row>
    <row r="27" spans="1:8" x14ac:dyDescent="0.2">
      <c r="A27" s="24" t="s">
        <v>6</v>
      </c>
      <c r="B27" s="28">
        <f>'Página 04_Envio_Tipo Bolsa'!B135</f>
        <v>0</v>
      </c>
      <c r="C27" s="38">
        <f>'Pag 06_Bolsas_APROVADO'!K136</f>
        <v>0</v>
      </c>
      <c r="D27" s="109" t="str">
        <f t="shared" si="2"/>
        <v>-</v>
      </c>
      <c r="E27" s="22">
        <f>'Página 04_Envio_Tipo Bolsa'!I135</f>
        <v>0</v>
      </c>
      <c r="F27" s="22">
        <f>'Pag 06_Bolsas_APROVADO'!J136</f>
        <v>0</v>
      </c>
      <c r="G27" s="109" t="str">
        <f t="shared" si="3"/>
        <v>-</v>
      </c>
    </row>
    <row r="29" spans="1:8" x14ac:dyDescent="0.2">
      <c r="A29" s="175" t="s">
        <v>106</v>
      </c>
      <c r="B29" s="175"/>
      <c r="C29" s="175"/>
      <c r="D29" s="175"/>
      <c r="E29" s="175"/>
      <c r="F29" s="175"/>
      <c r="G29" s="175"/>
      <c r="H29" s="175"/>
    </row>
    <row r="31" spans="1:8" x14ac:dyDescent="0.2">
      <c r="A31" s="180" t="s">
        <v>25</v>
      </c>
      <c r="B31" s="178" t="s">
        <v>29</v>
      </c>
      <c r="C31" s="179"/>
      <c r="D31" s="177" t="s">
        <v>30</v>
      </c>
      <c r="E31" s="177"/>
      <c r="F31" s="39"/>
      <c r="G31" s="39"/>
    </row>
    <row r="32" spans="1:8" x14ac:dyDescent="0.2">
      <c r="A32" s="180"/>
      <c r="B32" s="31" t="s">
        <v>27</v>
      </c>
      <c r="C32" s="31" t="s">
        <v>100</v>
      </c>
      <c r="D32" s="31" t="s">
        <v>27</v>
      </c>
      <c r="E32" s="31" t="s">
        <v>100</v>
      </c>
      <c r="F32" s="3"/>
      <c r="G32" s="40"/>
    </row>
    <row r="33" spans="1:7" x14ac:dyDescent="0.2">
      <c r="A33" s="20" t="s">
        <v>0</v>
      </c>
      <c r="B33" s="28">
        <f>'Pag 05_Modalidade_APROVADO'!B151</f>
        <v>0</v>
      </c>
      <c r="C33" s="30">
        <f>'Pag 05_Modalidade_APROVADO'!I151</f>
        <v>0</v>
      </c>
      <c r="D33" s="22">
        <f>'Pag 06_Bolsas_APROVADO'!B129</f>
        <v>0</v>
      </c>
      <c r="E33" s="30">
        <f>'Pag 06_Bolsas_APROVADO'!I129</f>
        <v>0</v>
      </c>
      <c r="F33" s="3"/>
      <c r="G33" s="41"/>
    </row>
    <row r="34" spans="1:7" x14ac:dyDescent="0.2">
      <c r="A34" s="20" t="s">
        <v>5</v>
      </c>
      <c r="B34" s="28">
        <f>'Pag 05_Modalidade_APROVADO'!B152</f>
        <v>0</v>
      </c>
      <c r="C34" s="30">
        <f>'Pag 05_Modalidade_APROVADO'!I152</f>
        <v>0</v>
      </c>
      <c r="D34" s="22">
        <f>'Pag 06_Bolsas_APROVADO'!B130</f>
        <v>0</v>
      </c>
      <c r="E34" s="30">
        <f>'Pag 06_Bolsas_APROVADO'!I130</f>
        <v>0</v>
      </c>
      <c r="F34" s="3"/>
      <c r="G34" s="41"/>
    </row>
    <row r="35" spans="1:7" x14ac:dyDescent="0.2">
      <c r="A35" s="20" t="s">
        <v>1</v>
      </c>
      <c r="B35" s="28">
        <f>'Pag 05_Modalidade_APROVADO'!B153</f>
        <v>0</v>
      </c>
      <c r="C35" s="30">
        <f>'Pag 05_Modalidade_APROVADO'!I153</f>
        <v>0</v>
      </c>
      <c r="D35" s="22">
        <f>'Pag 06_Bolsas_APROVADO'!B131</f>
        <v>0</v>
      </c>
      <c r="E35" s="30">
        <f>'Pag 06_Bolsas_APROVADO'!I131</f>
        <v>0</v>
      </c>
      <c r="F35" s="3"/>
      <c r="G35" s="41"/>
    </row>
    <row r="36" spans="1:7" x14ac:dyDescent="0.2">
      <c r="A36" s="20" t="s">
        <v>26</v>
      </c>
      <c r="B36" s="28">
        <f>'Pag 05_Modalidade_APROVADO'!B154</f>
        <v>0</v>
      </c>
      <c r="C36" s="30">
        <f>'Pag 05_Modalidade_APROVADO'!I154</f>
        <v>0</v>
      </c>
      <c r="D36" s="22">
        <f>'Pag 06_Bolsas_APROVADO'!B132</f>
        <v>0</v>
      </c>
      <c r="E36" s="30">
        <f>'Pag 06_Bolsas_APROVADO'!I132</f>
        <v>0</v>
      </c>
      <c r="F36" s="3"/>
      <c r="G36" s="41"/>
    </row>
    <row r="37" spans="1:7" x14ac:dyDescent="0.2">
      <c r="A37" s="20" t="s">
        <v>2</v>
      </c>
      <c r="B37" s="28">
        <f>'Pag 05_Modalidade_APROVADO'!B155</f>
        <v>0</v>
      </c>
      <c r="C37" s="30">
        <f>'Pag 05_Modalidade_APROVADO'!I155</f>
        <v>0</v>
      </c>
      <c r="D37" s="22">
        <f>'Pag 06_Bolsas_APROVADO'!B133</f>
        <v>0</v>
      </c>
      <c r="E37" s="30">
        <f>'Pag 06_Bolsas_APROVADO'!I133</f>
        <v>0</v>
      </c>
      <c r="F37" s="3"/>
      <c r="G37" s="41"/>
    </row>
    <row r="38" spans="1:7" x14ac:dyDescent="0.2">
      <c r="A38" s="20" t="s">
        <v>4</v>
      </c>
      <c r="B38" s="28">
        <f>'Pag 05_Modalidade_APROVADO'!B156</f>
        <v>0</v>
      </c>
      <c r="C38" s="30">
        <f>'Pag 05_Modalidade_APROVADO'!I156</f>
        <v>0</v>
      </c>
      <c r="D38" s="22">
        <f>'Pag 06_Bolsas_APROVADO'!B134</f>
        <v>0</v>
      </c>
      <c r="E38" s="30">
        <f>'Pag 06_Bolsas_APROVADO'!I134</f>
        <v>0</v>
      </c>
      <c r="F38" s="3"/>
      <c r="G38" s="41"/>
    </row>
    <row r="39" spans="1:7" x14ac:dyDescent="0.2">
      <c r="A39" s="20" t="s">
        <v>3</v>
      </c>
      <c r="B39" s="28">
        <f>'Pag 05_Modalidade_APROVADO'!B157</f>
        <v>0</v>
      </c>
      <c r="C39" s="30">
        <f>'Pag 05_Modalidade_APROVADO'!I157</f>
        <v>0</v>
      </c>
      <c r="D39" s="22">
        <f>'Pag 06_Bolsas_APROVADO'!B135</f>
        <v>0</v>
      </c>
      <c r="E39" s="30">
        <f>'Pag 06_Bolsas_APROVADO'!I135</f>
        <v>0</v>
      </c>
      <c r="F39" s="3"/>
      <c r="G39" s="41"/>
    </row>
    <row r="40" spans="1:7" x14ac:dyDescent="0.2">
      <c r="A40" s="32" t="s">
        <v>6</v>
      </c>
      <c r="B40" s="31">
        <f>'Pag 05_Modalidade_APROVADO'!B158</f>
        <v>0</v>
      </c>
      <c r="C40" s="33">
        <f>'Pag 05_Modalidade_APROVADO'!I158</f>
        <v>0</v>
      </c>
      <c r="D40" s="33">
        <f>'Pag 06_Bolsas_APROVADO'!B136</f>
        <v>0</v>
      </c>
      <c r="E40" s="33">
        <f>'Pag 06_Bolsas_APROVADO'!I136</f>
        <v>0</v>
      </c>
      <c r="F40" s="3"/>
      <c r="G40" s="40"/>
    </row>
    <row r="41" spans="1:7" x14ac:dyDescent="0.2">
      <c r="D41" s="27"/>
    </row>
    <row r="42" spans="1:7" x14ac:dyDescent="0.2">
      <c r="A42" s="175" t="s">
        <v>123</v>
      </c>
      <c r="B42" s="175"/>
      <c r="C42" s="175"/>
      <c r="D42" s="175"/>
      <c r="E42" s="175"/>
      <c r="F42" s="175"/>
      <c r="G42" s="175"/>
    </row>
    <row r="43" spans="1:7" x14ac:dyDescent="0.2">
      <c r="D43" s="27"/>
    </row>
    <row r="44" spans="1:7" x14ac:dyDescent="0.2">
      <c r="A44" s="180" t="s">
        <v>25</v>
      </c>
      <c r="B44" s="177" t="s">
        <v>121</v>
      </c>
      <c r="C44" s="177"/>
      <c r="D44" s="177" t="s">
        <v>122</v>
      </c>
      <c r="E44" s="177"/>
      <c r="F44" s="70"/>
      <c r="G44" s="70"/>
    </row>
    <row r="45" spans="1:7" x14ac:dyDescent="0.2">
      <c r="A45" s="180"/>
      <c r="B45" s="31" t="s">
        <v>27</v>
      </c>
      <c r="C45" s="31" t="s">
        <v>99</v>
      </c>
      <c r="D45" s="31" t="s">
        <v>27</v>
      </c>
      <c r="E45" s="31" t="s">
        <v>99</v>
      </c>
      <c r="F45" s="71"/>
    </row>
    <row r="46" spans="1:7" x14ac:dyDescent="0.2">
      <c r="A46" s="20" t="s">
        <v>0</v>
      </c>
      <c r="B46" s="28">
        <f>COUNTIFS('Página 01_Cadastro'!K$6:K$120,"S",'Página 01_Cadastro'!C$6:C$120,"S",'Página 01_Cadastro'!G$6:G$120,'Pag 07_Relatórios'!A46)</f>
        <v>0</v>
      </c>
      <c r="C46" s="109" t="str">
        <f>IFERROR(B46/B$53*100,"")</f>
        <v/>
      </c>
      <c r="D46" s="38">
        <f>COUNTIFS('Página 02_Retorno'!M$7:M$108,"S",'Página 02_Retorno'!C$7:C$108,"S",'Página 02_Retorno'!I$7:I$108,'Pag 07_Relatórios'!A46)</f>
        <v>0</v>
      </c>
      <c r="E46" s="109" t="str">
        <f>IFERROR(D46/D$53*100,"")</f>
        <v/>
      </c>
      <c r="F46" s="72"/>
    </row>
    <row r="47" spans="1:7" x14ac:dyDescent="0.2">
      <c r="A47" s="20" t="s">
        <v>5</v>
      </c>
      <c r="B47" s="28">
        <f>COUNTIFS('Página 01_Cadastro'!K$6:K$120,"S",'Página 01_Cadastro'!C$6:C$120,"S",'Página 01_Cadastro'!G$6:G$120,'Pag 07_Relatórios'!A47)</f>
        <v>0</v>
      </c>
      <c r="C47" s="109" t="str">
        <f t="shared" ref="C47:C52" si="4">IFERROR(B47/B$53*100,"")</f>
        <v/>
      </c>
      <c r="D47" s="38">
        <f>COUNTIFS('Página 02_Retorno'!M$7:M$108,"S",'Página 02_Retorno'!C$7:C$108,"S",'Página 02_Retorno'!I$7:I$108,'Pag 07_Relatórios'!A47)</f>
        <v>0</v>
      </c>
      <c r="E47" s="109" t="str">
        <f t="shared" ref="E47:E52" si="5">IFERROR(D47/D$53*100,"")</f>
        <v/>
      </c>
      <c r="F47" s="72"/>
    </row>
    <row r="48" spans="1:7" x14ac:dyDescent="0.2">
      <c r="A48" s="20" t="s">
        <v>1</v>
      </c>
      <c r="B48" s="28">
        <f>COUNTIFS('Página 01_Cadastro'!K$6:K$120,"S",'Página 01_Cadastro'!C$6:C$120,"S",'Página 01_Cadastro'!G$6:G$120,'Pag 07_Relatórios'!A48)</f>
        <v>0</v>
      </c>
      <c r="C48" s="109" t="str">
        <f t="shared" si="4"/>
        <v/>
      </c>
      <c r="D48" s="38">
        <f>COUNTIFS('Página 02_Retorno'!M$7:M$108,"S",'Página 02_Retorno'!C$7:C$108,"S",'Página 02_Retorno'!I$7:I$108,'Pag 07_Relatórios'!A48)</f>
        <v>0</v>
      </c>
      <c r="E48" s="109" t="str">
        <f t="shared" si="5"/>
        <v/>
      </c>
      <c r="F48" s="72"/>
    </row>
    <row r="49" spans="1:7" x14ac:dyDescent="0.2">
      <c r="A49" s="20" t="s">
        <v>26</v>
      </c>
      <c r="B49" s="28">
        <f>COUNTIFS('Página 01_Cadastro'!K$6:K$120,"S",'Página 01_Cadastro'!C$6:C$120,"S",'Página 01_Cadastro'!G$6:G$120,'Pag 07_Relatórios'!A49)</f>
        <v>0</v>
      </c>
      <c r="C49" s="109" t="str">
        <f t="shared" si="4"/>
        <v/>
      </c>
      <c r="D49" s="38">
        <f>COUNTIFS('Página 02_Retorno'!M$7:M$108,"S",'Página 02_Retorno'!C$7:C$108,"S",'Página 02_Retorno'!I$7:I$108,'Pag 07_Relatórios'!A49)</f>
        <v>0</v>
      </c>
      <c r="E49" s="109" t="str">
        <f t="shared" si="5"/>
        <v/>
      </c>
      <c r="F49" s="72"/>
    </row>
    <row r="50" spans="1:7" x14ac:dyDescent="0.2">
      <c r="A50" s="20" t="s">
        <v>2</v>
      </c>
      <c r="B50" s="28">
        <f>COUNTIFS('Página 01_Cadastro'!K$6:K$120,"S",'Página 01_Cadastro'!C$6:C$120,"S",'Página 01_Cadastro'!G$6:G$120,'Pag 07_Relatórios'!A50)</f>
        <v>0</v>
      </c>
      <c r="C50" s="109" t="str">
        <f t="shared" si="4"/>
        <v/>
      </c>
      <c r="D50" s="38">
        <f>COUNTIFS('Página 02_Retorno'!M$7:M$108,"S",'Página 02_Retorno'!C$7:C$108,"S",'Página 02_Retorno'!I$7:I$108,'Pag 07_Relatórios'!A50)</f>
        <v>0</v>
      </c>
      <c r="E50" s="109" t="str">
        <f t="shared" si="5"/>
        <v/>
      </c>
      <c r="F50" s="72"/>
    </row>
    <row r="51" spans="1:7" x14ac:dyDescent="0.2">
      <c r="A51" s="20" t="s">
        <v>4</v>
      </c>
      <c r="B51" s="28">
        <f>COUNTIFS('Página 01_Cadastro'!K$6:K$120,"S",'Página 01_Cadastro'!C$6:C$120,"S",'Página 01_Cadastro'!G$6:G$120,'Pag 07_Relatórios'!A51)</f>
        <v>0</v>
      </c>
      <c r="C51" s="109" t="str">
        <f t="shared" si="4"/>
        <v/>
      </c>
      <c r="D51" s="38">
        <f>COUNTIFS('Página 02_Retorno'!M$7:M$108,"S",'Página 02_Retorno'!C$7:C$108,"S",'Página 02_Retorno'!I$7:I$108,'Pag 07_Relatórios'!A51)</f>
        <v>0</v>
      </c>
      <c r="E51" s="109" t="str">
        <f t="shared" si="5"/>
        <v/>
      </c>
      <c r="F51" s="72"/>
    </row>
    <row r="52" spans="1:7" x14ac:dyDescent="0.2">
      <c r="A52" s="20" t="s">
        <v>3</v>
      </c>
      <c r="B52" s="28">
        <f>COUNTIFS('Página 01_Cadastro'!K$6:K$120,"S",'Página 01_Cadastro'!C$6:C$120,"S",'Página 01_Cadastro'!G$6:G$120,'Pag 07_Relatórios'!A52)</f>
        <v>0</v>
      </c>
      <c r="C52" s="109" t="str">
        <f t="shared" si="4"/>
        <v/>
      </c>
      <c r="D52" s="38">
        <f>COUNTIFS('Página 02_Retorno'!M$7:M$108,"S",'Página 02_Retorno'!C$7:C$108,"S",'Página 02_Retorno'!I$7:I$108,'Pag 07_Relatórios'!A52)</f>
        <v>0</v>
      </c>
      <c r="E52" s="109" t="str">
        <f t="shared" si="5"/>
        <v/>
      </c>
      <c r="F52" s="72"/>
    </row>
    <row r="53" spans="1:7" x14ac:dyDescent="0.2">
      <c r="A53" s="32" t="s">
        <v>6</v>
      </c>
      <c r="B53" s="31">
        <f>SUM(B46:B52)</f>
        <v>0</v>
      </c>
      <c r="C53" s="110">
        <f>SUM(C46:C52)</f>
        <v>0</v>
      </c>
      <c r="D53" s="31">
        <f t="shared" ref="D53:E53" si="6">SUM(D46:D52)</f>
        <v>0</v>
      </c>
      <c r="E53" s="110">
        <f t="shared" si="6"/>
        <v>0</v>
      </c>
      <c r="F53" s="72"/>
    </row>
    <row r="54" spans="1:7" x14ac:dyDescent="0.2">
      <c r="D54" s="27"/>
    </row>
    <row r="55" spans="1:7" x14ac:dyDescent="0.2">
      <c r="A55" s="175" t="s">
        <v>124</v>
      </c>
      <c r="B55" s="175"/>
      <c r="C55" s="175"/>
      <c r="D55" s="175"/>
      <c r="E55" s="175"/>
      <c r="F55" s="175"/>
      <c r="G55" s="175"/>
    </row>
    <row r="56" spans="1:7" x14ac:dyDescent="0.2">
      <c r="D56" s="27"/>
    </row>
    <row r="57" spans="1:7" x14ac:dyDescent="0.2">
      <c r="A57" s="180" t="s">
        <v>25</v>
      </c>
      <c r="B57" s="177" t="s">
        <v>121</v>
      </c>
      <c r="C57" s="177"/>
      <c r="D57" s="177" t="s">
        <v>122</v>
      </c>
      <c r="E57" s="177"/>
      <c r="F57" s="70"/>
      <c r="G57" s="70"/>
    </row>
    <row r="58" spans="1:7" x14ac:dyDescent="0.2">
      <c r="A58" s="180"/>
      <c r="B58" s="31" t="s">
        <v>27</v>
      </c>
      <c r="C58" s="31" t="s">
        <v>99</v>
      </c>
      <c r="D58" s="31" t="s">
        <v>27</v>
      </c>
      <c r="E58" s="31" t="s">
        <v>99</v>
      </c>
      <c r="F58" s="71"/>
    </row>
    <row r="59" spans="1:7" x14ac:dyDescent="0.2">
      <c r="A59" s="20" t="s">
        <v>0</v>
      </c>
      <c r="B59" s="28">
        <f>COUNTIFS('Página 01_Cadastro'!L$6:L$120,"S",'Página 01_Cadastro'!C$6:C$120,"S",'Página 01_Cadastro'!G$6:G$120,'Pag 07_Relatórios'!A59)</f>
        <v>0</v>
      </c>
      <c r="C59" s="109" t="str">
        <f>IFERROR(B59/B$66*100,"")</f>
        <v/>
      </c>
      <c r="D59" s="38">
        <f>COUNTIFS('Página 02_Retorno'!N$7:N$108,"S",'Página 02_Retorno'!C$7:C$108,"S",'Página 02_Retorno'!I$7:I$108,'Pag 07_Relatórios'!A59)</f>
        <v>0</v>
      </c>
      <c r="E59" s="109" t="str">
        <f>IFERROR(D59/D$66*100,"")</f>
        <v/>
      </c>
      <c r="F59" s="72"/>
    </row>
    <row r="60" spans="1:7" x14ac:dyDescent="0.2">
      <c r="A60" s="20" t="s">
        <v>5</v>
      </c>
      <c r="B60" s="28">
        <f>COUNTIFS('Página 01_Cadastro'!L$6:L$120,"S",'Página 01_Cadastro'!C$6:C$120,"S",'Página 01_Cadastro'!G$6:G$120,'Pag 07_Relatórios'!A60)</f>
        <v>0</v>
      </c>
      <c r="C60" s="109" t="str">
        <f t="shared" ref="C60:C65" si="7">IFERROR(B60/B$66*100,"")</f>
        <v/>
      </c>
      <c r="D60" s="38">
        <f>COUNTIFS('Página 02_Retorno'!N$7:N$108,"S",'Página 02_Retorno'!C$7:C$108,"S",'Página 02_Retorno'!I$7:I$108,'Pag 07_Relatórios'!A60)</f>
        <v>0</v>
      </c>
      <c r="E60" s="109" t="str">
        <f t="shared" ref="E60:E65" si="8">IFERROR(D60/D$66*100,"")</f>
        <v/>
      </c>
      <c r="F60" s="72"/>
    </row>
    <row r="61" spans="1:7" x14ac:dyDescent="0.2">
      <c r="A61" s="20" t="s">
        <v>1</v>
      </c>
      <c r="B61" s="28">
        <f>COUNTIFS('Página 01_Cadastro'!L$6:L$120,"S",'Página 01_Cadastro'!C$6:C$120,"S",'Página 01_Cadastro'!G$6:G$120,'Pag 07_Relatórios'!A61)</f>
        <v>0</v>
      </c>
      <c r="C61" s="109" t="str">
        <f t="shared" si="7"/>
        <v/>
      </c>
      <c r="D61" s="38">
        <f>COUNTIFS('Página 02_Retorno'!N$7:N$108,"S",'Página 02_Retorno'!C$7:C$108,"S",'Página 02_Retorno'!I$7:I$108,'Pag 07_Relatórios'!A61)</f>
        <v>0</v>
      </c>
      <c r="E61" s="109" t="str">
        <f t="shared" si="8"/>
        <v/>
      </c>
      <c r="F61" s="72"/>
    </row>
    <row r="62" spans="1:7" x14ac:dyDescent="0.2">
      <c r="A62" s="20" t="s">
        <v>26</v>
      </c>
      <c r="B62" s="28">
        <f>COUNTIFS('Página 01_Cadastro'!L$6:L$120,"S",'Página 01_Cadastro'!C$6:C$120,"S",'Página 01_Cadastro'!G$6:G$120,'Pag 07_Relatórios'!A62)</f>
        <v>0</v>
      </c>
      <c r="C62" s="109" t="str">
        <f t="shared" si="7"/>
        <v/>
      </c>
      <c r="D62" s="38">
        <f>COUNTIFS('Página 02_Retorno'!N$7:N$108,"S",'Página 02_Retorno'!C$7:C$108,"S",'Página 02_Retorno'!I$7:I$108,'Pag 07_Relatórios'!A62)</f>
        <v>0</v>
      </c>
      <c r="E62" s="109" t="str">
        <f t="shared" si="8"/>
        <v/>
      </c>
      <c r="F62" s="72"/>
    </row>
    <row r="63" spans="1:7" x14ac:dyDescent="0.2">
      <c r="A63" s="20" t="s">
        <v>2</v>
      </c>
      <c r="B63" s="28">
        <f>COUNTIFS('Página 01_Cadastro'!L$6:L$120,"S",'Página 01_Cadastro'!C$6:C$120,"S",'Página 01_Cadastro'!G$6:G$120,'Pag 07_Relatórios'!A63)</f>
        <v>0</v>
      </c>
      <c r="C63" s="109" t="str">
        <f t="shared" si="7"/>
        <v/>
      </c>
      <c r="D63" s="38">
        <f>COUNTIFS('Página 02_Retorno'!N$7:N$108,"S",'Página 02_Retorno'!C$7:C$108,"S",'Página 02_Retorno'!I$7:I$108,'Pag 07_Relatórios'!A63)</f>
        <v>0</v>
      </c>
      <c r="E63" s="109" t="str">
        <f t="shared" si="8"/>
        <v/>
      </c>
      <c r="F63" s="72"/>
    </row>
    <row r="64" spans="1:7" x14ac:dyDescent="0.2">
      <c r="A64" s="20" t="s">
        <v>4</v>
      </c>
      <c r="B64" s="28">
        <f>COUNTIFS('Página 01_Cadastro'!L$6:L$120,"S",'Página 01_Cadastro'!C$6:C$120,"S",'Página 01_Cadastro'!G$6:G$120,'Pag 07_Relatórios'!A64)</f>
        <v>0</v>
      </c>
      <c r="C64" s="109" t="str">
        <f t="shared" si="7"/>
        <v/>
      </c>
      <c r="D64" s="38">
        <f>COUNTIFS('Página 02_Retorno'!N$7:N$108,"S",'Página 02_Retorno'!C$7:C$108,"S",'Página 02_Retorno'!I$7:I$108,'Pag 07_Relatórios'!A64)</f>
        <v>0</v>
      </c>
      <c r="E64" s="109" t="str">
        <f t="shared" si="8"/>
        <v/>
      </c>
      <c r="F64" s="72"/>
    </row>
    <row r="65" spans="1:7" x14ac:dyDescent="0.2">
      <c r="A65" s="20" t="s">
        <v>3</v>
      </c>
      <c r="B65" s="28">
        <f>COUNTIFS('Página 01_Cadastro'!L$6:L$120,"S",'Página 01_Cadastro'!C$6:C$120,"S",'Página 01_Cadastro'!G$6:G$120,'Pag 07_Relatórios'!A65)</f>
        <v>0</v>
      </c>
      <c r="C65" s="109" t="str">
        <f t="shared" si="7"/>
        <v/>
      </c>
      <c r="D65" s="38">
        <f>COUNTIFS('Página 02_Retorno'!N$7:N$108,"S",'Página 02_Retorno'!C$7:C$108,"S",'Página 02_Retorno'!I$7:I$108,'Pag 07_Relatórios'!A65)</f>
        <v>0</v>
      </c>
      <c r="E65" s="109" t="str">
        <f t="shared" si="8"/>
        <v/>
      </c>
      <c r="F65" s="72"/>
    </row>
    <row r="66" spans="1:7" x14ac:dyDescent="0.2">
      <c r="A66" s="32" t="s">
        <v>6</v>
      </c>
      <c r="B66" s="31">
        <f>SUM(B59:B65)</f>
        <v>0</v>
      </c>
      <c r="C66" s="110">
        <f>SUM(C59:C65)</f>
        <v>0</v>
      </c>
      <c r="D66" s="31">
        <f t="shared" ref="D66" si="9">SUM(D59:D65)</f>
        <v>0</v>
      </c>
      <c r="E66" s="110">
        <f t="shared" ref="E66" si="10">SUM(E59:E65)</f>
        <v>0</v>
      </c>
      <c r="F66" s="72"/>
    </row>
    <row r="68" spans="1:7" x14ac:dyDescent="0.2">
      <c r="A68" s="181" t="s">
        <v>158</v>
      </c>
      <c r="B68" s="181"/>
      <c r="C68" s="181"/>
      <c r="D68" s="181"/>
      <c r="E68" s="181"/>
      <c r="F68" s="181"/>
      <c r="G68" s="181"/>
    </row>
  </sheetData>
  <sheetProtection algorithmName="SHA-512" hashValue="shR7COfXNUdg/YRSL3Oxf+R13zAp8YoYgsvUD+Wje5KZfBA660r5vQMrt+lM6LoHt5F8n+EM7fCV58KG8NjLTg==" saltValue="3OGlAg0+IRJFpF1Sai64og==" spinCount="100000" sheet="1" objects="1" scenarios="1"/>
  <mergeCells count="22">
    <mergeCell ref="A16:G16"/>
    <mergeCell ref="A18:A19"/>
    <mergeCell ref="B18:D18"/>
    <mergeCell ref="E18:G18"/>
    <mergeCell ref="A1:I1"/>
    <mergeCell ref="A5:A6"/>
    <mergeCell ref="B5:D5"/>
    <mergeCell ref="E5:G5"/>
    <mergeCell ref="A3:G3"/>
    <mergeCell ref="D31:E31"/>
    <mergeCell ref="B31:C31"/>
    <mergeCell ref="A29:H29"/>
    <mergeCell ref="A31:A32"/>
    <mergeCell ref="A68:G68"/>
    <mergeCell ref="A44:A45"/>
    <mergeCell ref="A42:G42"/>
    <mergeCell ref="B44:C44"/>
    <mergeCell ref="D44:E44"/>
    <mergeCell ref="A55:G55"/>
    <mergeCell ref="A57:A58"/>
    <mergeCell ref="B57:C57"/>
    <mergeCell ref="D57:E57"/>
  </mergeCells>
  <pageMargins left="0.51181102362204722" right="0.51181102362204722" top="0.78740157480314965" bottom="0.78740157480314965" header="0.31496062992125984" footer="0.31496062992125984"/>
  <pageSetup paperSize="9" scale="87" orientation="portrait" r:id="rId1"/>
  <headerFooter>
    <oddHeader>&amp;R&amp;P/&amp;N</oddHeader>
    <oddFooter>&amp;LFQ-07.54 (anexo ao PQ-07.02) - RA - revisão 03 de 02/02/26 - Página 7/8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16"/>
  <sheetViews>
    <sheetView tabSelected="1" zoomScale="140" zoomScaleNormal="140" workbookViewId="0">
      <selection activeCell="A16" sqref="A16"/>
    </sheetView>
  </sheetViews>
  <sheetFormatPr defaultRowHeight="12.75" x14ac:dyDescent="0.2"/>
  <cols>
    <col min="1" max="1" width="12.85546875" customWidth="1"/>
    <col min="2" max="2" width="30.42578125" bestFit="1" customWidth="1"/>
    <col min="3" max="3" width="26.42578125" customWidth="1"/>
  </cols>
  <sheetData>
    <row r="1" spans="1:3" ht="18.75" customHeight="1" thickBot="1" x14ac:dyDescent="0.25">
      <c r="A1" s="182" t="s">
        <v>125</v>
      </c>
      <c r="B1" s="183"/>
      <c r="C1" s="184"/>
    </row>
    <row r="2" spans="1:3" ht="13.5" thickBot="1" x14ac:dyDescent="0.25">
      <c r="A2" s="100" t="s">
        <v>49</v>
      </c>
      <c r="B2" s="100" t="s">
        <v>56</v>
      </c>
      <c r="C2" s="100" t="s">
        <v>30</v>
      </c>
    </row>
    <row r="3" spans="1:3" x14ac:dyDescent="0.2">
      <c r="A3" s="101" t="s">
        <v>53</v>
      </c>
      <c r="B3" s="102" t="s">
        <v>59</v>
      </c>
      <c r="C3" s="103" t="s">
        <v>64</v>
      </c>
    </row>
    <row r="4" spans="1:3" x14ac:dyDescent="0.2">
      <c r="A4" s="104" t="s">
        <v>52</v>
      </c>
      <c r="B4" s="4" t="s">
        <v>58</v>
      </c>
      <c r="C4" s="105" t="s">
        <v>68</v>
      </c>
    </row>
    <row r="5" spans="1:3" x14ac:dyDescent="0.2">
      <c r="A5" s="104" t="s">
        <v>54</v>
      </c>
      <c r="B5" s="4" t="s">
        <v>141</v>
      </c>
      <c r="C5" s="105" t="s">
        <v>63</v>
      </c>
    </row>
    <row r="6" spans="1:3" x14ac:dyDescent="0.2">
      <c r="A6" s="104" t="s">
        <v>50</v>
      </c>
      <c r="B6" s="4" t="s">
        <v>60</v>
      </c>
      <c r="C6" s="105" t="s">
        <v>66</v>
      </c>
    </row>
    <row r="7" spans="1:3" x14ac:dyDescent="0.2">
      <c r="A7" s="104" t="s">
        <v>51</v>
      </c>
      <c r="B7" s="4" t="s">
        <v>73</v>
      </c>
      <c r="C7" s="105" t="s">
        <v>67</v>
      </c>
    </row>
    <row r="8" spans="1:3" x14ac:dyDescent="0.2">
      <c r="A8" s="104" t="s">
        <v>55</v>
      </c>
      <c r="B8" s="4" t="s">
        <v>61</v>
      </c>
      <c r="C8" s="105" t="s">
        <v>65</v>
      </c>
    </row>
    <row r="9" spans="1:3" x14ac:dyDescent="0.2">
      <c r="A9" s="106"/>
      <c r="B9" s="4" t="s">
        <v>48</v>
      </c>
      <c r="C9" s="105" t="s">
        <v>69</v>
      </c>
    </row>
    <row r="10" spans="1:3" x14ac:dyDescent="0.2">
      <c r="A10" s="106"/>
      <c r="B10" s="4" t="s">
        <v>62</v>
      </c>
      <c r="C10" s="105" t="s">
        <v>107</v>
      </c>
    </row>
    <row r="11" spans="1:3" x14ac:dyDescent="0.2">
      <c r="A11" s="106"/>
      <c r="B11" s="4" t="s">
        <v>57</v>
      </c>
      <c r="C11" s="105" t="s">
        <v>108</v>
      </c>
    </row>
    <row r="12" spans="1:3" x14ac:dyDescent="0.2">
      <c r="A12" s="106"/>
      <c r="B12" s="4" t="s">
        <v>46</v>
      </c>
      <c r="C12" s="105" t="s">
        <v>70</v>
      </c>
    </row>
    <row r="13" spans="1:3" x14ac:dyDescent="0.2">
      <c r="A13" s="106"/>
      <c r="B13" s="4" t="s">
        <v>47</v>
      </c>
      <c r="C13" s="105" t="s">
        <v>71</v>
      </c>
    </row>
    <row r="14" spans="1:3" ht="13.5" thickBot="1" x14ac:dyDescent="0.25">
      <c r="A14" s="107"/>
      <c r="B14" s="112" t="s">
        <v>55</v>
      </c>
      <c r="C14" s="108"/>
    </row>
    <row r="16" spans="1:3" x14ac:dyDescent="0.2">
      <c r="A16" s="4" t="s">
        <v>159</v>
      </c>
    </row>
  </sheetData>
  <sortState xmlns:xlrd2="http://schemas.microsoft.com/office/spreadsheetml/2017/richdata2" ref="C3:C9">
    <sortCondition ref="C3"/>
  </sortState>
  <mergeCells count="1">
    <mergeCell ref="A1:C1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&amp;R&amp;P/&amp;N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</vt:i4>
      </vt:variant>
    </vt:vector>
  </HeadingPairs>
  <TitlesOfParts>
    <vt:vector size="17" baseType="lpstr">
      <vt:lpstr>Página 01_Cadastro</vt:lpstr>
      <vt:lpstr>Página 02_Retorno</vt:lpstr>
      <vt:lpstr>Página 03_Envio_Modalidade</vt:lpstr>
      <vt:lpstr>Página 04_Envio_Tipo Bolsa</vt:lpstr>
      <vt:lpstr>Pag 05_Modalidade_APROVADO</vt:lpstr>
      <vt:lpstr>Pag 06_Bolsas_APROVADO</vt:lpstr>
      <vt:lpstr>Pag 07_Relatórios</vt:lpstr>
      <vt:lpstr>Pag 08_Legendas</vt:lpstr>
      <vt:lpstr>'Pag 05_Modalidade_APROVADO'!Area_de_impressao</vt:lpstr>
      <vt:lpstr>'Pag 06_Bolsas_APROVADO'!Area_de_impressao</vt:lpstr>
      <vt:lpstr>'Pag 07_Relatórios'!Area_de_impressao</vt:lpstr>
      <vt:lpstr>'Página 01_Cadastro'!Area_de_impressao</vt:lpstr>
      <vt:lpstr>'Página 02_Retorno'!Area_de_impressao</vt:lpstr>
      <vt:lpstr>'Página 03_Envio_Modalidade'!Area_de_impressao</vt:lpstr>
      <vt:lpstr>'Página 04_Envio_Tipo Bolsa'!Area_de_impressao</vt:lpstr>
      <vt:lpstr>'Página 01_Cadastro'!Titulos_de_impressao</vt:lpstr>
      <vt:lpstr>'Página 02_Retorno'!Titulos_de_impressao</vt:lpstr>
    </vt:vector>
  </TitlesOfParts>
  <Company>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ITAL</dc:creator>
  <cp:lastModifiedBy>SGQ</cp:lastModifiedBy>
  <cp:lastPrinted>2026-01-23T12:41:39Z</cp:lastPrinted>
  <dcterms:created xsi:type="dcterms:W3CDTF">2002-08-26T18:08:42Z</dcterms:created>
  <dcterms:modified xsi:type="dcterms:W3CDTF">2026-01-23T12:46:36Z</dcterms:modified>
</cp:coreProperties>
</file>