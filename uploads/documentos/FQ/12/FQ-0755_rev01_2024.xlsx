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89.2\qualidadera-21\Novos Documentos RA-133\Aprovados\2024\M 19 09 24\"/>
    </mc:Choice>
  </mc:AlternateContent>
  <xr:revisionPtr revIDLastSave="0" documentId="13_ncr:1_{90A9987D-45B8-4214-B064-2A8AEE39E8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1" sheetId="1" r:id="rId1"/>
    <sheet name="F2" sheetId="2" r:id="rId2"/>
    <sheet name="F3" sheetId="3" r:id="rId3"/>
    <sheet name="F4" sheetId="4" r:id="rId4"/>
  </sheets>
  <definedNames>
    <definedName name="_xlnm.Print_Area" localSheetId="0">'F1'!$A$1:$M$31</definedName>
    <definedName name="_xlnm.Print_Area" localSheetId="1">'F2'!$A$1:$M$31</definedName>
    <definedName name="_xlnm.Print_Area" localSheetId="2">'F3'!$A$1:$M$31</definedName>
    <definedName name="_xlnm.Print_Area" localSheetId="3">'F4'!$A$1:$M$31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4" l="1"/>
  <c r="J11" i="4"/>
  <c r="H11" i="4"/>
  <c r="F11" i="4"/>
  <c r="D11" i="4"/>
  <c r="L11" i="3"/>
  <c r="J11" i="3"/>
  <c r="H11" i="3"/>
  <c r="F11" i="3"/>
  <c r="D11" i="3"/>
  <c r="L11" i="2"/>
  <c r="J11" i="2"/>
  <c r="H11" i="2"/>
  <c r="F11" i="2"/>
  <c r="D11" i="2"/>
</calcChain>
</file>

<file path=xl/sharedStrings.xml><?xml version="1.0" encoding="utf-8"?>
<sst xmlns="http://schemas.openxmlformats.org/spreadsheetml/2006/main" count="159" uniqueCount="53">
  <si>
    <t>Data</t>
  </si>
  <si>
    <t>l</t>
  </si>
  <si>
    <t>Aprovado</t>
  </si>
  <si>
    <t>Empresa calibradora</t>
  </si>
  <si>
    <t>Tolerância aceitável (nm)</t>
  </si>
  <si>
    <t>Mínimo</t>
  </si>
  <si>
    <t>Máximo</t>
  </si>
  <si>
    <t>Reprovado</t>
  </si>
  <si>
    <t>Resultados da calibração (nm)</t>
  </si>
  <si>
    <t>U</t>
  </si>
  <si>
    <t>Valores nominais absorbância (UA)</t>
  </si>
  <si>
    <t>Resultados da calibração (UA)</t>
  </si>
  <si>
    <t>Tolerância aceitável (UA)</t>
  </si>
  <si>
    <t>Abs = absorbância; UA = Unidade de absorbância; U = incerteza expandida (certificado de calibração)</t>
  </si>
  <si>
    <t>360,8 ± 1</t>
  </si>
  <si>
    <t>453,4 ± 1</t>
  </si>
  <si>
    <t>536,4 ± 1</t>
  </si>
  <si>
    <t>637,5 ± 1</t>
  </si>
  <si>
    <t>1,005 ± 0,003</t>
  </si>
  <si>
    <t>Responsável pelo preenchimento</t>
  </si>
  <si>
    <t>Legenda:</t>
  </si>
  <si>
    <t>279,3 ± 1</t>
  </si>
  <si>
    <r>
      <rPr>
        <b/>
        <sz val="10"/>
        <color theme="1"/>
        <rFont val="Symbol"/>
        <family val="1"/>
        <charset val="2"/>
      </rPr>
      <t>l</t>
    </r>
    <r>
      <rPr>
        <b/>
        <sz val="10"/>
        <color theme="1"/>
        <rFont val="Arial"/>
        <family val="2"/>
      </rPr>
      <t xml:space="preserve"> (nm)</t>
    </r>
  </si>
  <si>
    <r>
      <rPr>
        <b/>
        <sz val="10"/>
        <color theme="1"/>
        <rFont val="Symbol"/>
        <family val="1"/>
        <charset val="2"/>
      </rPr>
      <t xml:space="preserve">l </t>
    </r>
    <r>
      <rPr>
        <b/>
        <sz val="10"/>
        <color theme="1"/>
        <rFont val="Arial"/>
        <family val="2"/>
      </rPr>
      <t>(nm)</t>
    </r>
  </si>
  <si>
    <r>
      <rPr>
        <i/>
        <sz val="10"/>
        <color theme="1"/>
        <rFont val="Symbol"/>
        <family val="1"/>
        <charset val="2"/>
      </rPr>
      <t>l</t>
    </r>
    <r>
      <rPr>
        <i/>
        <sz val="10"/>
        <color theme="1"/>
        <rFont val="Arial"/>
        <family val="2"/>
      </rPr>
      <t xml:space="preserve"> = comprimento de onda; U = incerteza expandida (certificado de calibração)</t>
    </r>
  </si>
  <si>
    <t>0,268 ± 0,002</t>
  </si>
  <si>
    <t>0,242 ± 0,002</t>
  </si>
  <si>
    <t>0,252 ± 0,002</t>
  </si>
  <si>
    <t>0,296 ± 0,002</t>
  </si>
  <si>
    <t>0,303 ± 0,002</t>
  </si>
  <si>
    <t>0,525 ± 0,003</t>
  </si>
  <si>
    <t>0,483 ± 0,003</t>
  </si>
  <si>
    <t>0,498 ± 0,003</t>
  </si>
  <si>
    <t>0,556 ± 0,003</t>
  </si>
  <si>
    <t>0,553 ± 0,003</t>
  </si>
  <si>
    <t>1,070 ± 0,007</t>
  </si>
  <si>
    <t>0,992 ± 0,003</t>
  </si>
  <si>
    <t>1,074 ± 0,007</t>
  </si>
  <si>
    <t>1,004 ± 0,003</t>
  </si>
  <si>
    <t>APROVAÇÃO DO CERTIFICADO DE CALIBRAÇÃO DOS FILTROS</t>
  </si>
  <si>
    <t>FILTRO de VIDRO NEUTRO - F4</t>
  </si>
  <si>
    <t>FQ-07.55 (anexo à IT-07.03.04) - RA - revisão 01 de 19/09/24 - Página 4/4</t>
  </si>
  <si>
    <t>FQ-07.55 (anexo à IT-07.03.04) - RA - revisão 01 de 19/09/24 - Página 3/4</t>
  </si>
  <si>
    <t>FQ-07.55 (anexo à IT-07.03.04) - RA - revisão 01 de 19/09/24  - Página 2/4</t>
  </si>
  <si>
    <t xml:space="preserve">APROVAÇÃO DO CERTIFICADO DE CALIBRAÇÃO DOS FILTROS </t>
  </si>
  <si>
    <t>FILTRO de VIDRO NEUTRO - F2</t>
  </si>
  <si>
    <r>
      <t xml:space="preserve">l </t>
    </r>
    <r>
      <rPr>
        <b/>
        <sz val="10"/>
        <rFont val="Arial"/>
        <family val="2"/>
      </rPr>
      <t>(nm)</t>
    </r>
  </si>
  <si>
    <t>FILTRO de VIDRO NEUTRO - F3</t>
  </si>
  <si>
    <r>
      <rPr>
        <b/>
        <sz val="10"/>
        <rFont val="Symbol"/>
        <family val="1"/>
        <charset val="2"/>
      </rPr>
      <t>l</t>
    </r>
    <r>
      <rPr>
        <b/>
        <sz val="10"/>
        <rFont val="Arial"/>
        <family val="2"/>
      </rPr>
      <t xml:space="preserve"> (nm)</t>
    </r>
  </si>
  <si>
    <r>
      <t>l</t>
    </r>
    <r>
      <rPr>
        <b/>
        <sz val="10"/>
        <rFont val="Arial"/>
        <family val="2"/>
      </rPr>
      <t xml:space="preserve"> (nm)</t>
    </r>
  </si>
  <si>
    <t xml:space="preserve">FILTRO de HÓLMIO - F1 </t>
  </si>
  <si>
    <r>
      <t xml:space="preserve">Valores nominais </t>
    </r>
    <r>
      <rPr>
        <b/>
        <sz val="10"/>
        <rFont val="Symbol"/>
        <family val="1"/>
        <charset val="2"/>
      </rPr>
      <t>l</t>
    </r>
    <r>
      <rPr>
        <b/>
        <sz val="10"/>
        <rFont val="Arial"/>
        <family val="2"/>
      </rPr>
      <t xml:space="preserve"> (nm)</t>
    </r>
  </si>
  <si>
    <t>FQ-07.55 (anexo à IT-07.03.04) - RA - revisão 01 de 19/09/24 - Página 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</si>
</sst>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%"/>
  </numFmts>
  <fonts count="18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1"/>
      <charset val="2"/>
      <scheme val="minor"/>
    </font>
    <font>
      <b/>
      <sz val="10"/>
      <color theme="1"/>
      <name val="Symbol"/>
      <family val="1"/>
      <charset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1"/>
      <charset val="2"/>
    </font>
    <font>
      <i/>
      <sz val="10"/>
      <color theme="1"/>
      <name val="Symbol"/>
      <family val="1"/>
      <charset val="2"/>
    </font>
    <font>
      <i/>
      <sz val="10"/>
      <color theme="1"/>
      <name val="Arial"/>
      <family val="1"/>
      <charset val="2"/>
    </font>
    <font>
      <b/>
      <sz val="10"/>
      <name val="Arial"/>
      <family val="2"/>
    </font>
    <font>
      <b/>
      <sz val="10"/>
      <name val="Symbol"/>
      <family val="1"/>
      <charset val="2"/>
    </font>
    <font>
      <sz val="11"/>
      <name val="Calibri"/>
      <family val="2"/>
      <scheme val="minor"/>
    </font>
    <font>
      <b/>
      <sz val="10"/>
      <name val="Arial"/>
      <family val="1"/>
      <charset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1D0"/>
        <bgColor indexed="64"/>
      </patternFill>
    </fill>
    <fill>
      <patternFill patternType="solid">
        <fgColor rgb="FFCFEFF9"/>
        <bgColor indexed="64"/>
      </patternFill>
    </fill>
    <fill>
      <patternFill patternType="solid">
        <fgColor rgb="FFECD9FB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4" fillId="0" borderId="0" xfId="0" applyFont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9" fillId="0" borderId="0" xfId="0" applyFont="1" applyProtection="1">
      <protection locked="0"/>
    </xf>
    <xf numFmtId="0" fontId="7" fillId="5" borderId="29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14" fontId="8" fillId="0" borderId="4" xfId="0" applyNumberFormat="1" applyFont="1" applyBorder="1" applyAlignment="1" applyProtection="1">
      <alignment horizontal="center" vertical="center"/>
      <protection locked="0"/>
    </xf>
    <xf numFmtId="165" fontId="8" fillId="0" borderId="10" xfId="0" applyNumberFormat="1" applyFont="1" applyBorder="1" applyAlignment="1" applyProtection="1">
      <alignment horizontal="center" vertical="center"/>
      <protection locked="0"/>
    </xf>
    <xf numFmtId="165" fontId="8" fillId="0" borderId="12" xfId="0" applyNumberFormat="1" applyFont="1" applyBorder="1" applyAlignment="1" applyProtection="1">
      <alignment horizontal="center" vertical="center"/>
      <protection locked="0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left" vertical="center" wrapText="1"/>
      <protection locked="0"/>
    </xf>
    <xf numFmtId="0" fontId="8" fillId="0" borderId="35" xfId="0" applyFont="1" applyBorder="1" applyAlignment="1" applyProtection="1">
      <alignment horizontal="left" vertical="center" wrapText="1"/>
      <protection locked="0"/>
    </xf>
    <xf numFmtId="14" fontId="8" fillId="0" borderId="31" xfId="0" applyNumberFormat="1" applyFont="1" applyBorder="1" applyAlignment="1" applyProtection="1">
      <alignment horizontal="center" vertical="center"/>
      <protection locked="0"/>
    </xf>
    <xf numFmtId="165" fontId="8" fillId="0" borderId="7" xfId="0" applyNumberFormat="1" applyFont="1" applyBorder="1" applyAlignment="1" applyProtection="1">
      <alignment horizontal="center" vertical="center"/>
      <protection locked="0"/>
    </xf>
    <xf numFmtId="165" fontId="8" fillId="0" borderId="16" xfId="0" applyNumberFormat="1" applyFont="1" applyBorder="1" applyAlignment="1" applyProtection="1">
      <alignment horizontal="center" vertical="center"/>
      <protection locked="0"/>
    </xf>
    <xf numFmtId="165" fontId="8" fillId="0" borderId="26" xfId="0" applyNumberFormat="1" applyFont="1" applyBorder="1" applyAlignment="1" applyProtection="1">
      <alignment horizontal="center" vertical="center"/>
      <protection locked="0"/>
    </xf>
    <xf numFmtId="165" fontId="8" fillId="0" borderId="32" xfId="0" applyNumberFormat="1" applyFont="1" applyBorder="1" applyAlignment="1" applyProtection="1">
      <alignment horizontal="center" vertical="center"/>
      <protection locked="0"/>
    </xf>
    <xf numFmtId="0" fontId="8" fillId="0" borderId="0" xfId="0" applyFont="1"/>
    <xf numFmtId="0" fontId="8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8" fillId="6" borderId="1" xfId="0" applyFont="1" applyFill="1" applyBorder="1"/>
    <xf numFmtId="0" fontId="7" fillId="0" borderId="0" xfId="0" applyFont="1"/>
    <xf numFmtId="0" fontId="8" fillId="3" borderId="1" xfId="0" applyFont="1" applyFill="1" applyBorder="1"/>
    <xf numFmtId="0" fontId="6" fillId="5" borderId="29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164" fontId="8" fillId="0" borderId="10" xfId="0" applyNumberFormat="1" applyFont="1" applyBorder="1" applyAlignment="1" applyProtection="1">
      <alignment horizontal="center" vertical="center"/>
      <protection locked="0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8" fillId="0" borderId="20" xfId="0" applyFont="1" applyBorder="1" applyAlignment="1" applyProtection="1">
      <alignment vertical="center"/>
      <protection locked="0"/>
    </xf>
    <xf numFmtId="0" fontId="8" fillId="0" borderId="13" xfId="0" applyFont="1" applyBorder="1" applyAlignment="1" applyProtection="1">
      <alignment vertical="center"/>
      <protection locked="0"/>
    </xf>
    <xf numFmtId="0" fontId="8" fillId="0" borderId="35" xfId="0" applyFont="1" applyBorder="1" applyAlignment="1" applyProtection="1">
      <alignment vertical="center"/>
      <protection locked="0"/>
    </xf>
    <xf numFmtId="0" fontId="13" fillId="0" borderId="0" xfId="0" applyFont="1"/>
    <xf numFmtId="10" fontId="8" fillId="0" borderId="0" xfId="0" applyNumberFormat="1" applyFont="1"/>
    <xf numFmtId="9" fontId="8" fillId="0" borderId="0" xfId="0" applyNumberFormat="1" applyFont="1" applyProtection="1">
      <protection locked="0"/>
    </xf>
    <xf numFmtId="166" fontId="8" fillId="0" borderId="0" xfId="0" applyNumberFormat="1" applyFont="1" applyProtection="1">
      <protection locked="0"/>
    </xf>
    <xf numFmtId="9" fontId="7" fillId="0" borderId="0" xfId="0" applyNumberFormat="1" applyFont="1" applyProtection="1">
      <protection locked="0"/>
    </xf>
    <xf numFmtId="165" fontId="2" fillId="2" borderId="9" xfId="0" applyNumberFormat="1" applyFont="1" applyFill="1" applyBorder="1" applyAlignment="1">
      <alignment horizontal="center"/>
    </xf>
    <xf numFmtId="165" fontId="2" fillId="2" borderId="21" xfId="0" applyNumberFormat="1" applyFont="1" applyFill="1" applyBorder="1" applyAlignment="1">
      <alignment horizontal="center"/>
    </xf>
    <xf numFmtId="165" fontId="2" fillId="2" borderId="24" xfId="0" applyNumberFormat="1" applyFont="1" applyFill="1" applyBorder="1" applyAlignment="1">
      <alignment horizontal="center"/>
    </xf>
    <xf numFmtId="164" fontId="14" fillId="2" borderId="27" xfId="0" applyNumberFormat="1" applyFont="1" applyFill="1" applyBorder="1" applyAlignment="1">
      <alignment horizontal="center"/>
    </xf>
    <xf numFmtId="164" fontId="14" fillId="2" borderId="2" xfId="0" applyNumberFormat="1" applyFont="1" applyFill="1" applyBorder="1" applyAlignment="1">
      <alignment horizontal="center"/>
    </xf>
    <xf numFmtId="164" fontId="14" fillId="2" borderId="8" xfId="0" applyNumberFormat="1" applyFont="1" applyFill="1" applyBorder="1" applyAlignment="1">
      <alignment horizontal="center"/>
    </xf>
    <xf numFmtId="0" fontId="2" fillId="0" borderId="0" xfId="0" applyFont="1"/>
    <xf numFmtId="9" fontId="2" fillId="0" borderId="0" xfId="0" applyNumberFormat="1" applyFont="1"/>
    <xf numFmtId="0" fontId="14" fillId="5" borderId="29" xfId="0" applyFont="1" applyFill="1" applyBorder="1" applyAlignment="1">
      <alignment horizontal="center" vertical="center" wrapText="1"/>
    </xf>
    <xf numFmtId="0" fontId="14" fillId="5" borderId="18" xfId="0" applyFont="1" applyFill="1" applyBorder="1" applyAlignment="1">
      <alignment horizontal="center" vertical="center" wrapText="1"/>
    </xf>
    <xf numFmtId="0" fontId="14" fillId="5" borderId="22" xfId="0" applyFont="1" applyFill="1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14" fontId="2" fillId="0" borderId="4" xfId="0" applyNumberFormat="1" applyFont="1" applyBorder="1" applyAlignment="1" applyProtection="1">
      <alignment horizontal="center" vertical="center"/>
      <protection locked="0"/>
    </xf>
    <xf numFmtId="164" fontId="2" fillId="0" borderId="10" xfId="0" applyNumberFormat="1" applyFont="1" applyBorder="1" applyAlignment="1" applyProtection="1">
      <alignment horizontal="center" vertical="center"/>
      <protection locked="0"/>
    </xf>
    <xf numFmtId="164" fontId="2" fillId="0" borderId="12" xfId="0" applyNumberFormat="1" applyFont="1" applyBorder="1" applyAlignment="1" applyProtection="1">
      <alignment horizontal="center" vertical="center"/>
      <protection locked="0"/>
    </xf>
    <xf numFmtId="164" fontId="2" fillId="0" borderId="3" xfId="0" applyNumberFormat="1" applyFont="1" applyBorder="1" applyAlignment="1" applyProtection="1">
      <alignment horizontal="center" vertical="center"/>
      <protection locked="0"/>
    </xf>
    <xf numFmtId="165" fontId="2" fillId="0" borderId="10" xfId="0" applyNumberFormat="1" applyFont="1" applyBorder="1" applyAlignment="1" applyProtection="1">
      <alignment horizontal="center" vertical="center"/>
      <protection locked="0"/>
    </xf>
    <xf numFmtId="165" fontId="2" fillId="0" borderId="12" xfId="0" applyNumberFormat="1" applyFont="1" applyBorder="1" applyAlignment="1" applyProtection="1">
      <alignment horizontal="center" vertical="center"/>
      <protection locked="0"/>
    </xf>
    <xf numFmtId="165" fontId="2" fillId="0" borderId="3" xfId="0" applyNumberFormat="1" applyFont="1" applyBorder="1" applyAlignment="1" applyProtection="1">
      <alignment horizontal="center" vertical="center"/>
      <protection locked="0"/>
    </xf>
    <xf numFmtId="165" fontId="2" fillId="0" borderId="6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35" xfId="0" applyFont="1" applyBorder="1" applyAlignment="1" applyProtection="1">
      <alignment horizontal="left" vertical="center"/>
      <protection locked="0"/>
    </xf>
    <xf numFmtId="14" fontId="2" fillId="0" borderId="31" xfId="0" applyNumberFormat="1" applyFont="1" applyBorder="1" applyAlignment="1" applyProtection="1">
      <alignment horizontal="center" vertical="center"/>
      <protection locked="0"/>
    </xf>
    <xf numFmtId="165" fontId="2" fillId="0" borderId="7" xfId="0" applyNumberFormat="1" applyFont="1" applyBorder="1" applyAlignment="1" applyProtection="1">
      <alignment horizontal="center" vertical="center"/>
      <protection locked="0"/>
    </xf>
    <xf numFmtId="165" fontId="2" fillId="0" borderId="16" xfId="0" applyNumberFormat="1" applyFont="1" applyBorder="1" applyAlignment="1" applyProtection="1">
      <alignment horizontal="center" vertical="center"/>
      <protection locked="0"/>
    </xf>
    <xf numFmtId="165" fontId="2" fillId="0" borderId="26" xfId="0" applyNumberFormat="1" applyFont="1" applyBorder="1" applyAlignment="1" applyProtection="1">
      <alignment horizontal="center" vertical="center"/>
      <protection locked="0"/>
    </xf>
    <xf numFmtId="165" fontId="2" fillId="0" borderId="32" xfId="0" applyNumberFormat="1" applyFont="1" applyBorder="1" applyAlignment="1" applyProtection="1">
      <alignment horizontal="center" vertical="center"/>
      <protection locked="0"/>
    </xf>
    <xf numFmtId="0" fontId="16" fillId="0" borderId="0" xfId="0" applyFont="1"/>
    <xf numFmtId="10" fontId="2" fillId="0" borderId="0" xfId="0" applyNumberFormat="1" applyFont="1"/>
    <xf numFmtId="165" fontId="14" fillId="2" borderId="27" xfId="0" applyNumberFormat="1" applyFont="1" applyFill="1" applyBorder="1" applyAlignment="1">
      <alignment horizontal="center"/>
    </xf>
    <xf numFmtId="165" fontId="14" fillId="2" borderId="2" xfId="0" applyNumberFormat="1" applyFont="1" applyFill="1" applyBorder="1" applyAlignment="1">
      <alignment horizontal="center"/>
    </xf>
    <xf numFmtId="165" fontId="14" fillId="2" borderId="8" xfId="0" applyNumberFormat="1" applyFont="1" applyFill="1" applyBorder="1" applyAlignment="1">
      <alignment horizontal="center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14" fillId="7" borderId="17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14" fillId="7" borderId="19" xfId="0" applyFont="1" applyFill="1" applyBorder="1" applyAlignment="1">
      <alignment horizontal="center" vertical="center" wrapText="1"/>
    </xf>
    <xf numFmtId="0" fontId="14" fillId="7" borderId="17" xfId="0" applyFont="1" applyFill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0" fontId="14" fillId="7" borderId="19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14" fillId="7" borderId="18" xfId="0" applyNumberFormat="1" applyFont="1" applyFill="1" applyBorder="1" applyAlignment="1">
      <alignment horizontal="center" vertical="center"/>
    </xf>
    <xf numFmtId="165" fontId="14" fillId="7" borderId="23" xfId="0" applyNumberFormat="1" applyFont="1" applyFill="1" applyBorder="1" applyAlignment="1">
      <alignment horizontal="center" vertical="center"/>
    </xf>
    <xf numFmtId="165" fontId="14" fillId="7" borderId="22" xfId="0" applyNumberFormat="1" applyFont="1" applyFill="1" applyBorder="1" applyAlignment="1">
      <alignment horizontal="center" vertical="center"/>
    </xf>
    <xf numFmtId="165" fontId="14" fillId="7" borderId="19" xfId="0" applyNumberFormat="1" applyFont="1" applyFill="1" applyBorder="1" applyAlignment="1">
      <alignment horizontal="center" vertical="center"/>
    </xf>
    <xf numFmtId="165" fontId="14" fillId="7" borderId="17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4" fillId="2" borderId="14" xfId="0" applyFont="1" applyFill="1" applyBorder="1" applyAlignment="1">
      <alignment horizontal="center" vertical="center" wrapText="1"/>
    </xf>
    <xf numFmtId="0" fontId="14" fillId="2" borderId="33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28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7" borderId="18" xfId="0" applyFont="1" applyFill="1" applyBorder="1" applyAlignment="1">
      <alignment horizontal="center" vertical="center" wrapText="1"/>
    </xf>
    <xf numFmtId="0" fontId="15" fillId="7" borderId="19" xfId="0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164" fontId="14" fillId="9" borderId="17" xfId="0" applyNumberFormat="1" applyFont="1" applyFill="1" applyBorder="1" applyAlignment="1">
      <alignment horizontal="center" vertical="center"/>
    </xf>
    <xf numFmtId="164" fontId="14" fillId="9" borderId="23" xfId="0" applyNumberFormat="1" applyFont="1" applyFill="1" applyBorder="1" applyAlignment="1">
      <alignment horizontal="center" vertical="center"/>
    </xf>
    <xf numFmtId="164" fontId="14" fillId="9" borderId="22" xfId="0" applyNumberFormat="1" applyFont="1" applyFill="1" applyBorder="1" applyAlignment="1">
      <alignment horizontal="center" vertical="center"/>
    </xf>
    <xf numFmtId="164" fontId="14" fillId="9" borderId="19" xfId="0" applyNumberFormat="1" applyFont="1" applyFill="1" applyBorder="1" applyAlignment="1">
      <alignment horizontal="center" vertical="center"/>
    </xf>
    <xf numFmtId="0" fontId="15" fillId="9" borderId="17" xfId="0" applyFont="1" applyFill="1" applyBorder="1" applyAlignment="1">
      <alignment horizontal="center" vertical="center" wrapText="1"/>
    </xf>
    <xf numFmtId="0" fontId="15" fillId="9" borderId="18" xfId="0" applyFont="1" applyFill="1" applyBorder="1" applyAlignment="1">
      <alignment horizontal="center" vertical="center" wrapText="1"/>
    </xf>
    <xf numFmtId="0" fontId="15" fillId="9" borderId="19" xfId="0" applyFont="1" applyFill="1" applyBorder="1" applyAlignment="1">
      <alignment horizontal="center" vertical="center" wrapText="1"/>
    </xf>
    <xf numFmtId="165" fontId="14" fillId="9" borderId="18" xfId="0" applyNumberFormat="1" applyFont="1" applyFill="1" applyBorder="1" applyAlignment="1">
      <alignment horizontal="center" vertical="center"/>
    </xf>
    <xf numFmtId="165" fontId="14" fillId="9" borderId="23" xfId="0" applyNumberFormat="1" applyFont="1" applyFill="1" applyBorder="1" applyAlignment="1">
      <alignment horizontal="center" vertical="center"/>
    </xf>
    <xf numFmtId="165" fontId="14" fillId="9" borderId="22" xfId="0" applyNumberFormat="1" applyFont="1" applyFill="1" applyBorder="1" applyAlignment="1">
      <alignment horizontal="center" vertical="center"/>
    </xf>
    <xf numFmtId="165" fontId="14" fillId="9" borderId="19" xfId="0" applyNumberFormat="1" applyFont="1" applyFill="1" applyBorder="1" applyAlignment="1">
      <alignment horizontal="center" vertical="center"/>
    </xf>
    <xf numFmtId="0" fontId="14" fillId="9" borderId="17" xfId="0" applyFont="1" applyFill="1" applyBorder="1" applyAlignment="1">
      <alignment horizontal="center"/>
    </xf>
    <xf numFmtId="0" fontId="14" fillId="9" borderId="18" xfId="0" applyFont="1" applyFill="1" applyBorder="1" applyAlignment="1">
      <alignment horizontal="center"/>
    </xf>
    <xf numFmtId="0" fontId="14" fillId="9" borderId="19" xfId="0" applyFont="1" applyFill="1" applyBorder="1" applyAlignment="1">
      <alignment horizontal="center"/>
    </xf>
    <xf numFmtId="165" fontId="14" fillId="9" borderId="17" xfId="0" applyNumberFormat="1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horizontal="center"/>
    </xf>
    <xf numFmtId="0" fontId="14" fillId="10" borderId="18" xfId="0" applyFont="1" applyFill="1" applyBorder="1" applyAlignment="1">
      <alignment horizontal="center"/>
    </xf>
    <xf numFmtId="0" fontId="14" fillId="10" borderId="19" xfId="0" applyFont="1" applyFill="1" applyBorder="1" applyAlignment="1">
      <alignment horizontal="center"/>
    </xf>
    <xf numFmtId="0" fontId="17" fillId="10" borderId="17" xfId="0" applyFont="1" applyFill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165" fontId="14" fillId="10" borderId="18" xfId="0" applyNumberFormat="1" applyFont="1" applyFill="1" applyBorder="1" applyAlignment="1">
      <alignment horizontal="center" vertical="center"/>
    </xf>
    <xf numFmtId="165" fontId="14" fillId="10" borderId="23" xfId="0" applyNumberFormat="1" applyFont="1" applyFill="1" applyBorder="1" applyAlignment="1">
      <alignment horizontal="center" vertical="center"/>
    </xf>
    <xf numFmtId="165" fontId="14" fillId="10" borderId="22" xfId="0" applyNumberFormat="1" applyFont="1" applyFill="1" applyBorder="1" applyAlignment="1">
      <alignment horizontal="center" vertical="center"/>
    </xf>
    <xf numFmtId="165" fontId="14" fillId="10" borderId="19" xfId="0" applyNumberFormat="1" applyFont="1" applyFill="1" applyBorder="1" applyAlignment="1">
      <alignment horizontal="center" vertical="center"/>
    </xf>
    <xf numFmtId="164" fontId="14" fillId="10" borderId="22" xfId="0" applyNumberFormat="1" applyFont="1" applyFill="1" applyBorder="1" applyAlignment="1">
      <alignment horizontal="center" vertical="center"/>
    </xf>
    <xf numFmtId="164" fontId="14" fillId="10" borderId="19" xfId="0" applyNumberFormat="1" applyFont="1" applyFill="1" applyBorder="1" applyAlignment="1">
      <alignment horizontal="center" vertical="center"/>
    </xf>
    <xf numFmtId="0" fontId="15" fillId="10" borderId="17" xfId="0" applyFont="1" applyFill="1" applyBorder="1" applyAlignment="1">
      <alignment horizontal="center" vertical="center" wrapText="1"/>
    </xf>
    <xf numFmtId="165" fontId="14" fillId="10" borderId="17" xfId="0" applyNumberFormat="1" applyFont="1" applyFill="1" applyBorder="1" applyAlignment="1">
      <alignment horizontal="center" vertical="center"/>
    </xf>
    <xf numFmtId="0" fontId="14" fillId="10" borderId="17" xfId="0" applyFont="1" applyFill="1" applyBorder="1" applyAlignment="1">
      <alignment horizontal="center" vertical="center" wrapText="1"/>
    </xf>
    <xf numFmtId="164" fontId="14" fillId="10" borderId="17" xfId="0" applyNumberFormat="1" applyFont="1" applyFill="1" applyBorder="1" applyAlignment="1">
      <alignment horizontal="center" vertical="center"/>
    </xf>
    <xf numFmtId="164" fontId="14" fillId="10" borderId="23" xfId="0" applyNumberFormat="1" applyFont="1" applyFill="1" applyBorder="1" applyAlignment="1">
      <alignment horizontal="center" vertical="center"/>
    </xf>
    <xf numFmtId="164" fontId="14" fillId="8" borderId="17" xfId="0" applyNumberFormat="1" applyFont="1" applyFill="1" applyBorder="1" applyAlignment="1">
      <alignment horizontal="center" vertical="center"/>
    </xf>
    <xf numFmtId="164" fontId="14" fillId="8" borderId="23" xfId="0" applyNumberFormat="1" applyFont="1" applyFill="1" applyBorder="1" applyAlignment="1">
      <alignment horizontal="center" vertical="center"/>
    </xf>
    <xf numFmtId="164" fontId="14" fillId="8" borderId="22" xfId="0" applyNumberFormat="1" applyFont="1" applyFill="1" applyBorder="1" applyAlignment="1">
      <alignment horizontal="center" vertical="center"/>
    </xf>
    <xf numFmtId="164" fontId="14" fillId="8" borderId="19" xfId="0" applyNumberFormat="1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 wrapText="1"/>
    </xf>
    <xf numFmtId="165" fontId="14" fillId="8" borderId="17" xfId="0" applyNumberFormat="1" applyFont="1" applyFill="1" applyBorder="1" applyAlignment="1">
      <alignment horizontal="center" vertical="center"/>
    </xf>
    <xf numFmtId="165" fontId="14" fillId="8" borderId="19" xfId="0" applyNumberFormat="1" applyFont="1" applyFill="1" applyBorder="1" applyAlignment="1">
      <alignment horizontal="center" vertical="center"/>
    </xf>
    <xf numFmtId="165" fontId="14" fillId="8" borderId="18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/>
    </xf>
    <xf numFmtId="0" fontId="7" fillId="8" borderId="18" xfId="0" applyFont="1" applyFill="1" applyBorder="1" applyAlignment="1">
      <alignment horizontal="center"/>
    </xf>
    <xf numFmtId="0" fontId="7" fillId="8" borderId="19" xfId="0" applyFont="1" applyFill="1" applyBorder="1" applyAlignment="1">
      <alignment horizontal="center"/>
    </xf>
    <xf numFmtId="0" fontId="14" fillId="8" borderId="17" xfId="0" applyFont="1" applyFill="1" applyBorder="1" applyAlignment="1">
      <alignment horizontal="center"/>
    </xf>
    <xf numFmtId="0" fontId="14" fillId="8" borderId="18" xfId="0" applyFont="1" applyFill="1" applyBorder="1" applyAlignment="1">
      <alignment horizontal="center"/>
    </xf>
    <xf numFmtId="0" fontId="14" fillId="8" borderId="19" xfId="0" applyFont="1" applyFill="1" applyBorder="1" applyAlignment="1">
      <alignment horizontal="center"/>
    </xf>
    <xf numFmtId="165" fontId="7" fillId="8" borderId="18" xfId="0" applyNumberFormat="1" applyFont="1" applyFill="1" applyBorder="1" applyAlignment="1">
      <alignment horizontal="center" vertical="center"/>
    </xf>
    <xf numFmtId="165" fontId="7" fillId="8" borderId="23" xfId="0" applyNumberFormat="1" applyFont="1" applyFill="1" applyBorder="1" applyAlignment="1">
      <alignment horizontal="center" vertical="center"/>
    </xf>
    <xf numFmtId="165" fontId="7" fillId="8" borderId="22" xfId="0" applyNumberFormat="1" applyFont="1" applyFill="1" applyBorder="1" applyAlignment="1">
      <alignment horizontal="center" vertical="center"/>
    </xf>
    <xf numFmtId="165" fontId="7" fillId="8" borderId="19" xfId="0" applyNumberFormat="1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65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colors>
    <mruColors>
      <color rgb="FFECD9FB"/>
      <color rgb="FFDEBDFF"/>
      <color rgb="FFCFEFF9"/>
      <color rgb="FFA4E1F4"/>
      <color rgb="FF99CCFF"/>
      <color rgb="FFA5BDF1"/>
      <color rgb="FFFCE1D0"/>
      <color rgb="FFE9BDFF"/>
      <color rgb="FFCC66FF"/>
      <color rgb="FFD2A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N32"/>
  <sheetViews>
    <sheetView tabSelected="1" zoomScaleNormal="100" workbookViewId="0">
      <selection activeCell="A12" sqref="A12:M21"/>
    </sheetView>
  </sheetViews>
  <sheetFormatPr defaultColWidth="9.140625" defaultRowHeight="15"/>
  <cols>
    <col min="1" max="1" width="16.5703125" style="2" customWidth="1"/>
    <col min="2" max="2" width="18" style="2" customWidth="1"/>
    <col min="3" max="3" width="11.85546875" style="2" customWidth="1"/>
    <col min="4" max="4" width="9.42578125" style="2" customWidth="1"/>
    <col min="5" max="5" width="9.140625" style="2"/>
    <col min="6" max="6" width="9.5703125" style="2" customWidth="1"/>
    <col min="7" max="7" width="9.140625" style="2"/>
    <col min="8" max="8" width="9.7109375" style="2" customWidth="1"/>
    <col min="9" max="9" width="9.140625" style="2"/>
    <col min="10" max="10" width="9.42578125" style="2" customWidth="1"/>
    <col min="11" max="11" width="9.140625" style="2"/>
    <col min="12" max="12" width="9.5703125" style="2" customWidth="1"/>
    <col min="13" max="16384" width="9.140625" style="2"/>
  </cols>
  <sheetData>
    <row r="1" spans="1:14" ht="18">
      <c r="A1" s="89" t="s">
        <v>39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  <c r="N1" s="1"/>
    </row>
    <row r="2" spans="1:14" ht="15.75" thickBot="1">
      <c r="A2"/>
      <c r="B2"/>
      <c r="C2"/>
      <c r="D2"/>
      <c r="E2"/>
      <c r="F2"/>
      <c r="G2"/>
      <c r="H2"/>
      <c r="I2"/>
      <c r="J2"/>
      <c r="K2"/>
      <c r="L2"/>
      <c r="M2"/>
    </row>
    <row r="3" spans="1:14" ht="15.75" thickBot="1">
      <c r="A3" s="86" t="s">
        <v>50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8"/>
    </row>
    <row r="4" spans="1:14" ht="15.75" thickBot="1">
      <c r="A4" s="3"/>
      <c r="B4" s="3"/>
      <c r="C4" s="3"/>
      <c r="D4" s="92"/>
      <c r="E4" s="93"/>
      <c r="F4" s="93"/>
      <c r="G4" s="93"/>
      <c r="H4" s="93"/>
      <c r="I4" s="93"/>
      <c r="J4" s="93"/>
      <c r="K4" s="93"/>
      <c r="L4" s="93"/>
      <c r="M4" s="93"/>
    </row>
    <row r="5" spans="1:14" ht="23.25" customHeight="1" thickBot="1">
      <c r="A5" s="83" t="s">
        <v>51</v>
      </c>
      <c r="B5" s="84"/>
      <c r="C5" s="85"/>
      <c r="D5" s="94" t="s">
        <v>21</v>
      </c>
      <c r="E5" s="95"/>
      <c r="F5" s="96" t="s">
        <v>14</v>
      </c>
      <c r="G5" s="95"/>
      <c r="H5" s="96" t="s">
        <v>15</v>
      </c>
      <c r="I5" s="95"/>
      <c r="J5" s="96" t="s">
        <v>16</v>
      </c>
      <c r="K5" s="95"/>
      <c r="L5" s="96" t="s">
        <v>17</v>
      </c>
      <c r="M5" s="97"/>
    </row>
    <row r="6" spans="1:14" ht="15" customHeight="1">
      <c r="A6" s="101" t="s">
        <v>4</v>
      </c>
      <c r="B6" s="102"/>
      <c r="C6" s="103"/>
      <c r="D6" s="45" t="s">
        <v>5</v>
      </c>
      <c r="E6" s="46" t="s">
        <v>6</v>
      </c>
      <c r="F6" s="46" t="s">
        <v>5</v>
      </c>
      <c r="G6" s="46" t="s">
        <v>6</v>
      </c>
      <c r="H6" s="46" t="s">
        <v>5</v>
      </c>
      <c r="I6" s="46" t="s">
        <v>6</v>
      </c>
      <c r="J6" s="46" t="s">
        <v>5</v>
      </c>
      <c r="K6" s="46" t="s">
        <v>6</v>
      </c>
      <c r="L6" s="46" t="s">
        <v>5</v>
      </c>
      <c r="M6" s="47" t="s">
        <v>6</v>
      </c>
    </row>
    <row r="7" spans="1:14" ht="15.75" thickBot="1">
      <c r="A7" s="104"/>
      <c r="B7" s="105"/>
      <c r="C7" s="106"/>
      <c r="D7" s="78">
        <v>269.3</v>
      </c>
      <c r="E7" s="79">
        <v>289.3</v>
      </c>
      <c r="F7" s="79">
        <v>359.8</v>
      </c>
      <c r="G7" s="79">
        <v>361.8</v>
      </c>
      <c r="H7" s="79">
        <v>452.4</v>
      </c>
      <c r="I7" s="79">
        <v>454.1</v>
      </c>
      <c r="J7" s="79">
        <v>535.4</v>
      </c>
      <c r="K7" s="79">
        <v>537.4</v>
      </c>
      <c r="L7" s="79">
        <v>636.5</v>
      </c>
      <c r="M7" s="80">
        <v>638.5</v>
      </c>
    </row>
    <row r="8" spans="1:14" ht="15.75" thickBo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</row>
    <row r="9" spans="1:14" ht="15.75" thickBot="1">
      <c r="A9" s="86" t="s">
        <v>8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8"/>
    </row>
    <row r="10" spans="1:14" ht="15.75" thickBot="1">
      <c r="A10" s="107" t="s">
        <v>46</v>
      </c>
      <c r="B10" s="108"/>
      <c r="C10" s="109"/>
      <c r="D10" s="98">
        <v>279.3</v>
      </c>
      <c r="E10" s="97"/>
      <c r="F10" s="94">
        <v>360.8</v>
      </c>
      <c r="G10" s="94"/>
      <c r="H10" s="98">
        <v>453.4</v>
      </c>
      <c r="I10" s="97"/>
      <c r="J10" s="94">
        <v>536.4</v>
      </c>
      <c r="K10" s="94"/>
      <c r="L10" s="98">
        <v>637.5</v>
      </c>
      <c r="M10" s="97"/>
    </row>
    <row r="11" spans="1:14" ht="26.25" thickBot="1">
      <c r="A11" s="53" t="s">
        <v>3</v>
      </c>
      <c r="B11" s="54" t="s">
        <v>19</v>
      </c>
      <c r="C11" s="55" t="s">
        <v>0</v>
      </c>
      <c r="D11" s="56" t="s">
        <v>1</v>
      </c>
      <c r="E11" s="57" t="s">
        <v>9</v>
      </c>
      <c r="F11" s="58" t="s">
        <v>1</v>
      </c>
      <c r="G11" s="55" t="s">
        <v>9</v>
      </c>
      <c r="H11" s="56" t="s">
        <v>1</v>
      </c>
      <c r="I11" s="57" t="s">
        <v>9</v>
      </c>
      <c r="J11" s="58" t="s">
        <v>1</v>
      </c>
      <c r="K11" s="55" t="s">
        <v>9</v>
      </c>
      <c r="L11" s="56" t="s">
        <v>1</v>
      </c>
      <c r="M11" s="57" t="s">
        <v>9</v>
      </c>
    </row>
    <row r="12" spans="1:14">
      <c r="A12" s="81"/>
      <c r="B12" s="82"/>
      <c r="C12" s="61"/>
      <c r="D12" s="65"/>
      <c r="E12" s="66"/>
      <c r="F12" s="67"/>
      <c r="G12" s="68"/>
      <c r="H12" s="65"/>
      <c r="I12" s="66"/>
      <c r="J12" s="67"/>
      <c r="K12" s="68"/>
      <c r="L12" s="65"/>
      <c r="M12" s="66"/>
    </row>
    <row r="13" spans="1:14">
      <c r="A13" s="81"/>
      <c r="B13" s="82"/>
      <c r="C13" s="61"/>
      <c r="D13" s="65"/>
      <c r="E13" s="66"/>
      <c r="F13" s="67"/>
      <c r="G13" s="68"/>
      <c r="H13" s="65"/>
      <c r="I13" s="66"/>
      <c r="J13" s="67"/>
      <c r="K13" s="68"/>
      <c r="L13" s="65"/>
      <c r="M13" s="66"/>
    </row>
    <row r="14" spans="1:14">
      <c r="A14" s="11"/>
      <c r="B14" s="12"/>
      <c r="C14" s="13"/>
      <c r="D14" s="14"/>
      <c r="E14" s="15"/>
      <c r="F14" s="16"/>
      <c r="G14" s="17"/>
      <c r="H14" s="14"/>
      <c r="I14" s="15"/>
      <c r="J14" s="16"/>
      <c r="K14" s="17"/>
      <c r="L14" s="14"/>
      <c r="M14" s="15"/>
    </row>
    <row r="15" spans="1:14">
      <c r="A15" s="11"/>
      <c r="B15" s="12"/>
      <c r="C15" s="13"/>
      <c r="D15" s="14"/>
      <c r="E15" s="15"/>
      <c r="F15" s="16"/>
      <c r="G15" s="17"/>
      <c r="H15" s="14"/>
      <c r="I15" s="15"/>
      <c r="J15" s="16"/>
      <c r="K15" s="17"/>
      <c r="L15" s="14"/>
      <c r="M15" s="15"/>
    </row>
    <row r="16" spans="1:14">
      <c r="A16" s="11"/>
      <c r="B16" s="12"/>
      <c r="C16" s="13"/>
      <c r="D16" s="14"/>
      <c r="E16" s="15"/>
      <c r="F16" s="16"/>
      <c r="G16" s="17"/>
      <c r="H16" s="14"/>
      <c r="I16" s="15"/>
      <c r="J16" s="16"/>
      <c r="K16" s="17"/>
      <c r="L16" s="14"/>
      <c r="M16" s="15"/>
    </row>
    <row r="17" spans="1:13">
      <c r="A17" s="11"/>
      <c r="B17" s="12"/>
      <c r="C17" s="13"/>
      <c r="D17" s="14"/>
      <c r="E17" s="15"/>
      <c r="F17" s="16"/>
      <c r="G17" s="17"/>
      <c r="H17" s="14"/>
      <c r="I17" s="15"/>
      <c r="J17" s="16"/>
      <c r="K17" s="17"/>
      <c r="L17" s="14"/>
      <c r="M17" s="15"/>
    </row>
    <row r="18" spans="1:13">
      <c r="A18" s="11"/>
      <c r="B18" s="12"/>
      <c r="C18" s="13"/>
      <c r="D18" s="14"/>
      <c r="E18" s="15"/>
      <c r="F18" s="16"/>
      <c r="G18" s="17"/>
      <c r="H18" s="14"/>
      <c r="I18" s="15"/>
      <c r="J18" s="16"/>
      <c r="K18" s="17"/>
      <c r="L18" s="14"/>
      <c r="M18" s="15"/>
    </row>
    <row r="19" spans="1:13">
      <c r="A19" s="11"/>
      <c r="B19" s="12"/>
      <c r="C19" s="13"/>
      <c r="D19" s="14"/>
      <c r="E19" s="15"/>
      <c r="F19" s="16"/>
      <c r="G19" s="17"/>
      <c r="H19" s="14"/>
      <c r="I19" s="15"/>
      <c r="J19" s="16"/>
      <c r="K19" s="17"/>
      <c r="L19" s="14"/>
      <c r="M19" s="15"/>
    </row>
    <row r="20" spans="1:13">
      <c r="A20" s="11"/>
      <c r="B20" s="12"/>
      <c r="C20" s="13"/>
      <c r="D20" s="14"/>
      <c r="E20" s="15"/>
      <c r="F20" s="16"/>
      <c r="G20" s="17"/>
      <c r="H20" s="14"/>
      <c r="I20" s="15"/>
      <c r="J20" s="16"/>
      <c r="K20" s="17"/>
      <c r="L20" s="14"/>
      <c r="M20" s="15"/>
    </row>
    <row r="21" spans="1:13" ht="15.75" thickBot="1">
      <c r="A21" s="18"/>
      <c r="B21" s="19"/>
      <c r="C21" s="20"/>
      <c r="D21" s="21"/>
      <c r="E21" s="22"/>
      <c r="F21" s="23"/>
      <c r="G21" s="24"/>
      <c r="H21" s="21"/>
      <c r="I21" s="22"/>
      <c r="J21" s="23"/>
      <c r="K21" s="24"/>
      <c r="L21" s="21"/>
      <c r="M21" s="22"/>
    </row>
    <row r="22" spans="1:13">
      <c r="A22" s="40" t="s">
        <v>24</v>
      </c>
      <c r="B22" s="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3" spans="1:1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1:13">
      <c r="A24" s="26"/>
      <c r="B24" s="26"/>
      <c r="C24" s="26"/>
      <c r="D24" s="99" t="s">
        <v>20</v>
      </c>
      <c r="E24" s="99"/>
      <c r="F24" s="27"/>
      <c r="G24" s="27"/>
      <c r="H24" s="27"/>
      <c r="I24" s="26"/>
      <c r="J24" s="26"/>
      <c r="K24" s="26"/>
      <c r="L24" s="26"/>
      <c r="M24" s="26"/>
    </row>
    <row r="25" spans="1:13">
      <c r="A25" s="26"/>
      <c r="B25" s="26"/>
      <c r="C25" s="26"/>
      <c r="D25" s="28"/>
      <c r="E25" s="29" t="s">
        <v>2</v>
      </c>
      <c r="F25" s="25"/>
      <c r="G25" s="26"/>
      <c r="H25" s="26"/>
      <c r="I25" s="26"/>
      <c r="J25" s="26"/>
      <c r="K25" s="26"/>
      <c r="L25" s="26"/>
      <c r="M25" s="26"/>
    </row>
    <row r="26" spans="1:13">
      <c r="A26" s="26"/>
      <c r="B26" s="26"/>
      <c r="C26" s="26"/>
      <c r="D26" s="30"/>
      <c r="E26" s="29" t="s">
        <v>7</v>
      </c>
      <c r="F26" s="26"/>
      <c r="G26" s="26"/>
      <c r="H26" s="26"/>
      <c r="I26" s="26"/>
      <c r="J26" s="26"/>
      <c r="K26" s="26"/>
      <c r="L26" s="26"/>
      <c r="M26" s="26"/>
    </row>
    <row r="27" spans="1:1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</row>
    <row r="28" spans="1:1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spans="1:1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 spans="1:13">
      <c r="A31" s="100" t="s">
        <v>52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</row>
    <row r="32" spans="1:1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</row>
  </sheetData>
  <sheetProtection algorithmName="SHA-512" hashValue="e7cmVGFVjEj6mrG/VAQbqkMiyCQPWicFDXaq1rYzflVuC5+wAA0mMXqHh5GtBohoj4xkprhl/o6oafNeeTm9WQ==" saltValue="8RoDNWmyjkvV6vKlfyLkWw==" spinCount="100000" sheet="1" objects="1" scenarios="1" insertRows="0"/>
  <mergeCells count="19">
    <mergeCell ref="J10:K10"/>
    <mergeCell ref="L10:M10"/>
    <mergeCell ref="D24:E24"/>
    <mergeCell ref="A31:M31"/>
    <mergeCell ref="A6:C7"/>
    <mergeCell ref="A10:C10"/>
    <mergeCell ref="D10:E10"/>
    <mergeCell ref="F10:G10"/>
    <mergeCell ref="H10:I10"/>
    <mergeCell ref="A5:C5"/>
    <mergeCell ref="A9:M9"/>
    <mergeCell ref="A1:M1"/>
    <mergeCell ref="A3:M3"/>
    <mergeCell ref="D4:M4"/>
    <mergeCell ref="D5:E5"/>
    <mergeCell ref="F5:G5"/>
    <mergeCell ref="H5:I5"/>
    <mergeCell ref="J5:K5"/>
    <mergeCell ref="L5:M5"/>
  </mergeCells>
  <conditionalFormatting sqref="D12:D21">
    <cfRule type="containsBlanks" dxfId="64" priority="3">
      <formula>LEN(TRIM(D12))=0</formula>
    </cfRule>
    <cfRule type="cellIs" dxfId="63" priority="18" operator="greaterThan">
      <formula>281.3</formula>
    </cfRule>
    <cfRule type="cellIs" dxfId="62" priority="19" operator="lessThan">
      <formula>277.3</formula>
    </cfRule>
    <cfRule type="cellIs" dxfId="61" priority="20" stopIfTrue="1" operator="between">
      <formula>277.3</formula>
      <formula>281.3</formula>
    </cfRule>
  </conditionalFormatting>
  <conditionalFormatting sqref="F12:F21 H12:H21 J12:J21 L12:L21">
    <cfRule type="containsBlanks" dxfId="60" priority="2">
      <formula>LEN(TRIM(F12))=0</formula>
    </cfRule>
  </conditionalFormatting>
  <conditionalFormatting sqref="F12:F21">
    <cfRule type="cellIs" dxfId="59" priority="15" operator="greaterThan">
      <formula>362.8</formula>
    </cfRule>
    <cfRule type="cellIs" dxfId="58" priority="16" operator="lessThan">
      <formula>358.8</formula>
    </cfRule>
    <cfRule type="cellIs" dxfId="57" priority="17" operator="between">
      <formula>358.8</formula>
      <formula>362.8</formula>
    </cfRule>
  </conditionalFormatting>
  <conditionalFormatting sqref="H12:H21">
    <cfRule type="cellIs" dxfId="56" priority="12" operator="greaterThan">
      <formula>455.4</formula>
    </cfRule>
    <cfRule type="cellIs" dxfId="55" priority="13" operator="lessThan">
      <formula>451.4</formula>
    </cfRule>
    <cfRule type="cellIs" dxfId="54" priority="14" operator="between">
      <formula>451.4</formula>
      <formula>455.4</formula>
    </cfRule>
  </conditionalFormatting>
  <conditionalFormatting sqref="J12:J21">
    <cfRule type="cellIs" dxfId="53" priority="9" operator="greaterThan">
      <formula>538.4</formula>
    </cfRule>
    <cfRule type="cellIs" dxfId="52" priority="10" operator="lessThan">
      <formula>534.4</formula>
    </cfRule>
    <cfRule type="cellIs" dxfId="51" priority="11" operator="between">
      <formula>534.4</formula>
      <formula>538.4</formula>
    </cfRule>
  </conditionalFormatting>
  <conditionalFormatting sqref="L12:L21">
    <cfRule type="cellIs" dxfId="50" priority="6" operator="greaterThan">
      <formula>639.5</formula>
    </cfRule>
    <cfRule type="cellIs" dxfId="49" priority="7" operator="lessThan">
      <formula>635.5</formula>
    </cfRule>
    <cfRule type="cellIs" dxfId="48" priority="8" operator="between">
      <formula>635.5</formula>
      <formula>639.5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N31"/>
  <sheetViews>
    <sheetView zoomScaleNormal="100" workbookViewId="0">
      <selection activeCell="A13" sqref="A13:M22"/>
    </sheetView>
  </sheetViews>
  <sheetFormatPr defaultColWidth="9.140625" defaultRowHeight="15"/>
  <cols>
    <col min="1" max="1" width="16.5703125" style="6" customWidth="1"/>
    <col min="2" max="2" width="17.85546875" style="6" customWidth="1"/>
    <col min="3" max="3" width="11.85546875" style="6" customWidth="1"/>
    <col min="4" max="4" width="9.28515625" style="6" customWidth="1"/>
    <col min="5" max="5" width="8.85546875" style="6" customWidth="1"/>
    <col min="6" max="6" width="9.140625" style="6"/>
    <col min="7" max="7" width="9.140625" style="6" customWidth="1"/>
    <col min="8" max="9" width="9.28515625" style="6" customWidth="1"/>
    <col min="10" max="10" width="9.140625" style="6"/>
    <col min="11" max="11" width="9.42578125" style="6" customWidth="1"/>
    <col min="12" max="12" width="9.140625" style="6" customWidth="1"/>
    <col min="13" max="13" width="8.85546875" style="6" customWidth="1"/>
    <col min="14" max="16384" width="9.140625" style="2"/>
  </cols>
  <sheetData>
    <row r="1" spans="1:14" ht="18">
      <c r="A1" s="89" t="s">
        <v>44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  <c r="N1" s="1"/>
    </row>
    <row r="2" spans="1:14" ht="15.75" thickBo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ht="15.75" thickBot="1">
      <c r="A3" s="124" t="s">
        <v>45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6"/>
    </row>
    <row r="4" spans="1:14" ht="15.75" thickBo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4" ht="18" customHeight="1" thickBot="1">
      <c r="A5" s="117" t="s">
        <v>46</v>
      </c>
      <c r="B5" s="118"/>
      <c r="C5" s="119"/>
      <c r="D5" s="120">
        <v>440</v>
      </c>
      <c r="E5" s="121"/>
      <c r="F5" s="122">
        <v>465</v>
      </c>
      <c r="G5" s="121"/>
      <c r="H5" s="122">
        <v>546.1</v>
      </c>
      <c r="I5" s="121"/>
      <c r="J5" s="122">
        <v>590</v>
      </c>
      <c r="K5" s="121"/>
      <c r="L5" s="122">
        <v>635</v>
      </c>
      <c r="M5" s="123"/>
    </row>
    <row r="6" spans="1:14" ht="22.5" customHeight="1" thickBot="1">
      <c r="A6" s="110" t="s">
        <v>10</v>
      </c>
      <c r="B6" s="111"/>
      <c r="C6" s="112"/>
      <c r="D6" s="113" t="s">
        <v>25</v>
      </c>
      <c r="E6" s="114"/>
      <c r="F6" s="115" t="s">
        <v>26</v>
      </c>
      <c r="G6" s="114"/>
      <c r="H6" s="115" t="s">
        <v>27</v>
      </c>
      <c r="I6" s="114"/>
      <c r="J6" s="115" t="s">
        <v>28</v>
      </c>
      <c r="K6" s="114"/>
      <c r="L6" s="115" t="s">
        <v>29</v>
      </c>
      <c r="M6" s="116"/>
    </row>
    <row r="7" spans="1:14">
      <c r="A7" s="101" t="s">
        <v>12</v>
      </c>
      <c r="B7" s="102"/>
      <c r="C7" s="103"/>
      <c r="D7" s="45" t="s">
        <v>5</v>
      </c>
      <c r="E7" s="46" t="s">
        <v>6</v>
      </c>
      <c r="F7" s="46" t="s">
        <v>5</v>
      </c>
      <c r="G7" s="46" t="s">
        <v>6</v>
      </c>
      <c r="H7" s="46" t="s">
        <v>5</v>
      </c>
      <c r="I7" s="46" t="s">
        <v>6</v>
      </c>
      <c r="J7" s="46" t="s">
        <v>5</v>
      </c>
      <c r="K7" s="46" t="s">
        <v>6</v>
      </c>
      <c r="L7" s="46" t="s">
        <v>5</v>
      </c>
      <c r="M7" s="47" t="s">
        <v>6</v>
      </c>
    </row>
    <row r="8" spans="1:14" ht="15.75" thickBot="1">
      <c r="A8" s="104"/>
      <c r="B8" s="105"/>
      <c r="C8" s="106"/>
      <c r="D8" s="48">
        <v>0.25</v>
      </c>
      <c r="E8" s="49">
        <v>0.28599999999999998</v>
      </c>
      <c r="F8" s="49">
        <v>0.22500000000000001</v>
      </c>
      <c r="G8" s="49">
        <v>0.25800000000000001</v>
      </c>
      <c r="H8" s="49">
        <v>0.23499999999999999</v>
      </c>
      <c r="I8" s="49">
        <v>0.26900000000000002</v>
      </c>
      <c r="J8" s="49">
        <v>0.27600000000000002</v>
      </c>
      <c r="K8" s="49">
        <v>0.316</v>
      </c>
      <c r="L8" s="49">
        <v>0.28299999999999997</v>
      </c>
      <c r="M8" s="50">
        <v>0.32300000000000001</v>
      </c>
    </row>
    <row r="9" spans="1:14" ht="15.75" thickBot="1">
      <c r="A9" s="51"/>
      <c r="B9" s="51"/>
      <c r="C9" s="51"/>
      <c r="D9" s="51"/>
      <c r="E9" s="52"/>
      <c r="F9" s="51"/>
      <c r="G9" s="52"/>
      <c r="H9" s="51"/>
      <c r="I9" s="52"/>
      <c r="J9" s="51"/>
      <c r="K9" s="52"/>
      <c r="L9" s="51"/>
      <c r="M9" s="52"/>
    </row>
    <row r="10" spans="1:14" ht="15.75" thickBot="1">
      <c r="A10" s="124" t="s">
        <v>11</v>
      </c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6"/>
    </row>
    <row r="11" spans="1:14" ht="15.75" thickBot="1">
      <c r="A11" s="117" t="s">
        <v>46</v>
      </c>
      <c r="B11" s="118"/>
      <c r="C11" s="119"/>
      <c r="D11" s="127">
        <f>D5</f>
        <v>440</v>
      </c>
      <c r="E11" s="123"/>
      <c r="F11" s="120">
        <f>F5</f>
        <v>465</v>
      </c>
      <c r="G11" s="120"/>
      <c r="H11" s="127">
        <f>H5</f>
        <v>546.1</v>
      </c>
      <c r="I11" s="123"/>
      <c r="J11" s="120">
        <f>J5</f>
        <v>590</v>
      </c>
      <c r="K11" s="120"/>
      <c r="L11" s="127">
        <f>L5</f>
        <v>635</v>
      </c>
      <c r="M11" s="123"/>
    </row>
    <row r="12" spans="1:14" ht="26.25" thickBot="1">
      <c r="A12" s="53" t="s">
        <v>3</v>
      </c>
      <c r="B12" s="54" t="s">
        <v>19</v>
      </c>
      <c r="C12" s="55" t="s">
        <v>0</v>
      </c>
      <c r="D12" s="56" t="s">
        <v>1</v>
      </c>
      <c r="E12" s="57" t="s">
        <v>9</v>
      </c>
      <c r="F12" s="58" t="s">
        <v>1</v>
      </c>
      <c r="G12" s="55" t="s">
        <v>9</v>
      </c>
      <c r="H12" s="56" t="s">
        <v>1</v>
      </c>
      <c r="I12" s="57" t="s">
        <v>9</v>
      </c>
      <c r="J12" s="58" t="s">
        <v>1</v>
      </c>
      <c r="K12" s="55" t="s">
        <v>9</v>
      </c>
      <c r="L12" s="56" t="s">
        <v>1</v>
      </c>
      <c r="M12" s="57" t="s">
        <v>9</v>
      </c>
    </row>
    <row r="13" spans="1:14">
      <c r="A13" s="59"/>
      <c r="B13" s="60"/>
      <c r="C13" s="61"/>
      <c r="D13" s="62"/>
      <c r="E13" s="63"/>
      <c r="F13" s="64"/>
      <c r="G13" s="63"/>
      <c r="H13" s="62"/>
      <c r="I13" s="63"/>
      <c r="J13" s="64"/>
      <c r="K13" s="63"/>
      <c r="L13" s="62"/>
      <c r="M13" s="63"/>
    </row>
    <row r="14" spans="1:14">
      <c r="A14" s="59"/>
      <c r="B14" s="60"/>
      <c r="C14" s="61"/>
      <c r="D14" s="62"/>
      <c r="E14" s="63"/>
      <c r="F14" s="64"/>
      <c r="G14" s="63"/>
      <c r="H14" s="62"/>
      <c r="I14" s="63"/>
      <c r="J14" s="64"/>
      <c r="K14" s="63"/>
      <c r="L14" s="62"/>
      <c r="M14" s="63"/>
    </row>
    <row r="15" spans="1:14">
      <c r="A15" s="59"/>
      <c r="B15" s="60"/>
      <c r="C15" s="61"/>
      <c r="D15" s="62"/>
      <c r="E15" s="63"/>
      <c r="F15" s="64"/>
      <c r="G15" s="63"/>
      <c r="H15" s="62"/>
      <c r="I15" s="63"/>
      <c r="J15" s="64"/>
      <c r="K15" s="63"/>
      <c r="L15" s="62"/>
      <c r="M15" s="63"/>
    </row>
    <row r="16" spans="1:14">
      <c r="A16" s="59"/>
      <c r="B16" s="60"/>
      <c r="C16" s="61"/>
      <c r="D16" s="62"/>
      <c r="E16" s="63"/>
      <c r="F16" s="64"/>
      <c r="G16" s="63"/>
      <c r="H16" s="62"/>
      <c r="I16" s="63"/>
      <c r="J16" s="64"/>
      <c r="K16" s="63"/>
      <c r="L16" s="62"/>
      <c r="M16" s="63"/>
    </row>
    <row r="17" spans="1:13">
      <c r="A17" s="59"/>
      <c r="B17" s="60"/>
      <c r="C17" s="61"/>
      <c r="D17" s="62"/>
      <c r="E17" s="63"/>
      <c r="F17" s="64"/>
      <c r="G17" s="63"/>
      <c r="H17" s="62"/>
      <c r="I17" s="63"/>
      <c r="J17" s="64"/>
      <c r="K17" s="63"/>
      <c r="L17" s="62"/>
      <c r="M17" s="63"/>
    </row>
    <row r="18" spans="1:13">
      <c r="A18" s="59"/>
      <c r="B18" s="60"/>
      <c r="C18" s="61"/>
      <c r="D18" s="65"/>
      <c r="E18" s="66"/>
      <c r="F18" s="67"/>
      <c r="G18" s="68"/>
      <c r="H18" s="65"/>
      <c r="I18" s="66"/>
      <c r="J18" s="67"/>
      <c r="K18" s="68"/>
      <c r="L18" s="65"/>
      <c r="M18" s="66"/>
    </row>
    <row r="19" spans="1:13">
      <c r="A19" s="59"/>
      <c r="B19" s="60"/>
      <c r="C19" s="61"/>
      <c r="D19" s="65"/>
      <c r="E19" s="66"/>
      <c r="F19" s="67"/>
      <c r="G19" s="68"/>
      <c r="H19" s="65"/>
      <c r="I19" s="66"/>
      <c r="J19" s="67"/>
      <c r="K19" s="68"/>
      <c r="L19" s="65"/>
      <c r="M19" s="66"/>
    </row>
    <row r="20" spans="1:13">
      <c r="A20" s="59"/>
      <c r="B20" s="60"/>
      <c r="C20" s="61"/>
      <c r="D20" s="65"/>
      <c r="E20" s="66"/>
      <c r="F20" s="67"/>
      <c r="G20" s="68"/>
      <c r="H20" s="65"/>
      <c r="I20" s="66"/>
      <c r="J20" s="67"/>
      <c r="K20" s="68"/>
      <c r="L20" s="65"/>
      <c r="M20" s="66"/>
    </row>
    <row r="21" spans="1:13">
      <c r="A21" s="59"/>
      <c r="B21" s="60"/>
      <c r="C21" s="61"/>
      <c r="D21" s="65"/>
      <c r="E21" s="66"/>
      <c r="F21" s="67"/>
      <c r="G21" s="68"/>
      <c r="H21" s="65"/>
      <c r="I21" s="66"/>
      <c r="J21" s="67"/>
      <c r="K21" s="68"/>
      <c r="L21" s="65"/>
      <c r="M21" s="66"/>
    </row>
    <row r="22" spans="1:13" ht="15.75" thickBot="1">
      <c r="A22" s="69"/>
      <c r="B22" s="70"/>
      <c r="C22" s="71"/>
      <c r="D22" s="72"/>
      <c r="E22" s="73"/>
      <c r="F22" s="74"/>
      <c r="G22" s="75"/>
      <c r="H22" s="72"/>
      <c r="I22" s="73"/>
      <c r="J22" s="74"/>
      <c r="K22" s="75"/>
      <c r="L22" s="72"/>
      <c r="M22" s="73"/>
    </row>
    <row r="23" spans="1:13">
      <c r="A23" s="4" t="s">
        <v>13</v>
      </c>
      <c r="B23" s="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spans="1:13">
      <c r="A25" s="26"/>
      <c r="B25" s="26"/>
      <c r="C25" s="26"/>
      <c r="D25" s="99" t="s">
        <v>20</v>
      </c>
      <c r="E25" s="99"/>
      <c r="F25" s="27"/>
      <c r="G25" s="27"/>
      <c r="H25" s="44"/>
      <c r="I25" s="26"/>
      <c r="J25" s="26"/>
      <c r="K25" s="26"/>
      <c r="L25" s="26"/>
      <c r="M25" s="26"/>
    </row>
    <row r="26" spans="1:13">
      <c r="A26" s="26"/>
      <c r="B26" s="26"/>
      <c r="C26" s="26"/>
      <c r="D26" s="28"/>
      <c r="E26" s="29" t="s">
        <v>2</v>
      </c>
      <c r="F26" s="25"/>
      <c r="G26" s="26"/>
      <c r="H26" s="26"/>
      <c r="I26" s="26"/>
      <c r="J26" s="26"/>
      <c r="K26" s="26"/>
      <c r="L26" s="26"/>
      <c r="M26" s="26"/>
    </row>
    <row r="27" spans="1:13">
      <c r="A27" s="26"/>
      <c r="B27" s="26"/>
      <c r="C27" s="26"/>
      <c r="D27" s="30"/>
      <c r="E27" s="29" t="s">
        <v>7</v>
      </c>
      <c r="F27" s="26"/>
      <c r="G27" s="26"/>
      <c r="H27" s="42"/>
      <c r="I27" s="26"/>
      <c r="J27" s="26"/>
      <c r="K27" s="26"/>
      <c r="L27" s="26"/>
      <c r="M27" s="26"/>
    </row>
    <row r="28" spans="1:1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spans="1:1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 spans="1:13">
      <c r="A31" s="100" t="s">
        <v>43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</row>
  </sheetData>
  <sheetProtection algorithmName="SHA-512" hashValue="9KbhOdAbx5SUY1KyLFBoMKD+JrdgNDU0gPg/xH7QtycG/srZNPNiEOrqJ8PrEoXPjHm3Wvx8H9sSfcNE4+HIGQ==" saltValue="1fZ+f3rwKQRjqdrne+YpiA==" spinCount="100000" sheet="1" objects="1" scenarios="1" insertRows="0"/>
  <mergeCells count="24">
    <mergeCell ref="A31:M31"/>
    <mergeCell ref="A3:M3"/>
    <mergeCell ref="D25:E25"/>
    <mergeCell ref="A11:C11"/>
    <mergeCell ref="D11:E11"/>
    <mergeCell ref="F11:G11"/>
    <mergeCell ref="H11:I11"/>
    <mergeCell ref="J11:K11"/>
    <mergeCell ref="L11:M11"/>
    <mergeCell ref="A7:C8"/>
    <mergeCell ref="A10:M10"/>
    <mergeCell ref="A1:M1"/>
    <mergeCell ref="A6:C6"/>
    <mergeCell ref="D6:E6"/>
    <mergeCell ref="F6:G6"/>
    <mergeCell ref="H6:I6"/>
    <mergeCell ref="J6:K6"/>
    <mergeCell ref="L6:M6"/>
    <mergeCell ref="A5:C5"/>
    <mergeCell ref="D5:E5"/>
    <mergeCell ref="F5:G5"/>
    <mergeCell ref="H5:I5"/>
    <mergeCell ref="J5:K5"/>
    <mergeCell ref="L5:M5"/>
  </mergeCells>
  <conditionalFormatting sqref="D13:D22 F13:F22 H13:H22 J13:J22 L13:L22">
    <cfRule type="containsBlanks" dxfId="47" priority="2">
      <formula>LEN(TRIM(D13))=0</formula>
    </cfRule>
  </conditionalFormatting>
  <conditionalFormatting sqref="D13:D22">
    <cfRule type="cellIs" dxfId="46" priority="15" operator="greaterThan">
      <formula>0.28</formula>
    </cfRule>
    <cfRule type="cellIs" dxfId="45" priority="16" operator="lessThan">
      <formula>0.249</formula>
    </cfRule>
    <cfRule type="cellIs" dxfId="44" priority="17" stopIfTrue="1" operator="between">
      <formula>0.249</formula>
      <formula>0.28</formula>
    </cfRule>
  </conditionalFormatting>
  <conditionalFormatting sqref="F13:F22">
    <cfRule type="cellIs" dxfId="43" priority="12" operator="greaterThan">
      <formula>0.254</formula>
    </cfRule>
    <cfRule type="cellIs" dxfId="42" priority="13" operator="lessThan">
      <formula>0.226</formula>
    </cfRule>
    <cfRule type="cellIs" dxfId="41" priority="14" operator="between">
      <formula>0.226</formula>
      <formula>0.254</formula>
    </cfRule>
  </conditionalFormatting>
  <conditionalFormatting sqref="H13:H22">
    <cfRule type="cellIs" dxfId="40" priority="9" operator="greaterThan">
      <formula>0.267</formula>
    </cfRule>
    <cfRule type="cellIs" dxfId="39" priority="10" operator="lessThan">
      <formula>0.238</formula>
    </cfRule>
    <cfRule type="cellIs" dxfId="38" priority="11" operator="between">
      <formula>0.238</formula>
      <formula>0.267</formula>
    </cfRule>
  </conditionalFormatting>
  <conditionalFormatting sqref="J13:J22">
    <cfRule type="cellIs" dxfId="37" priority="6" operator="greaterThan">
      <formula>0.306</formula>
    </cfRule>
    <cfRule type="cellIs" dxfId="36" priority="7" operator="lessThan">
      <formula>0.273</formula>
    </cfRule>
    <cfRule type="cellIs" dxfId="35" priority="8" operator="between">
      <formula>0.273</formula>
      <formula>0.306</formula>
    </cfRule>
  </conditionalFormatting>
  <conditionalFormatting sqref="L13:L22">
    <cfRule type="cellIs" dxfId="34" priority="3" operator="greaterThan">
      <formula>0.307</formula>
    </cfRule>
    <cfRule type="cellIs" dxfId="33" priority="4" operator="lessThan">
      <formula>0.274</formula>
    </cfRule>
    <cfRule type="cellIs" dxfId="32" priority="5" operator="between">
      <formula>0.274</formula>
      <formula>0.307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M31"/>
  <sheetViews>
    <sheetView topLeftCell="A6" zoomScaleNormal="100" workbookViewId="0">
      <selection activeCell="A13" sqref="A13:M22"/>
    </sheetView>
  </sheetViews>
  <sheetFormatPr defaultColWidth="9.140625" defaultRowHeight="15"/>
  <cols>
    <col min="1" max="1" width="16.5703125" style="2" customWidth="1"/>
    <col min="2" max="2" width="17.85546875" style="2" customWidth="1"/>
    <col min="3" max="3" width="11.85546875" style="2" customWidth="1"/>
    <col min="4" max="4" width="9.42578125" style="2" customWidth="1"/>
    <col min="5" max="7" width="9.140625" style="2"/>
    <col min="8" max="8" width="9.42578125" style="2" customWidth="1"/>
    <col min="9" max="11" width="9.140625" style="2"/>
    <col min="12" max="13" width="9.140625" style="2" customWidth="1"/>
    <col min="14" max="16384" width="9.140625" style="2"/>
  </cols>
  <sheetData>
    <row r="1" spans="1:13" ht="15.75">
      <c r="A1" s="89" t="s">
        <v>39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1:13" ht="15.75" thickBot="1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13" ht="15.75" thickBot="1">
      <c r="A3" s="128" t="s">
        <v>47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30"/>
    </row>
    <row r="4" spans="1:13" ht="15.75" thickBo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</row>
    <row r="5" spans="1:13" ht="15.75" thickBot="1">
      <c r="A5" s="131" t="s">
        <v>48</v>
      </c>
      <c r="B5" s="132"/>
      <c r="C5" s="133"/>
      <c r="D5" s="134">
        <v>440</v>
      </c>
      <c r="E5" s="135"/>
      <c r="F5" s="136">
        <v>465</v>
      </c>
      <c r="G5" s="135"/>
      <c r="H5" s="136">
        <v>546.1</v>
      </c>
      <c r="I5" s="135"/>
      <c r="J5" s="136">
        <v>590</v>
      </c>
      <c r="K5" s="135"/>
      <c r="L5" s="136">
        <v>635</v>
      </c>
      <c r="M5" s="137"/>
    </row>
    <row r="6" spans="1:13" ht="23.25" customHeight="1" thickBot="1">
      <c r="A6" s="142" t="s">
        <v>10</v>
      </c>
      <c r="B6" s="132"/>
      <c r="C6" s="133"/>
      <c r="D6" s="143" t="s">
        <v>30</v>
      </c>
      <c r="E6" s="144"/>
      <c r="F6" s="138" t="s">
        <v>31</v>
      </c>
      <c r="G6" s="144"/>
      <c r="H6" s="138" t="s">
        <v>32</v>
      </c>
      <c r="I6" s="144"/>
      <c r="J6" s="138" t="s">
        <v>33</v>
      </c>
      <c r="K6" s="144"/>
      <c r="L6" s="138" t="s">
        <v>34</v>
      </c>
      <c r="M6" s="139"/>
    </row>
    <row r="7" spans="1:13">
      <c r="A7" s="101" t="s">
        <v>12</v>
      </c>
      <c r="B7" s="102"/>
      <c r="C7" s="103"/>
      <c r="D7" s="45" t="s">
        <v>5</v>
      </c>
      <c r="E7" s="46" t="s">
        <v>6</v>
      </c>
      <c r="F7" s="46" t="s">
        <v>5</v>
      </c>
      <c r="G7" s="46" t="s">
        <v>6</v>
      </c>
      <c r="H7" s="46" t="s">
        <v>5</v>
      </c>
      <c r="I7" s="46" t="s">
        <v>6</v>
      </c>
      <c r="J7" s="46" t="s">
        <v>5</v>
      </c>
      <c r="K7" s="46" t="s">
        <v>6</v>
      </c>
      <c r="L7" s="46" t="s">
        <v>5</v>
      </c>
      <c r="M7" s="47" t="s">
        <v>6</v>
      </c>
    </row>
    <row r="8" spans="1:13" ht="15.75" thickBot="1">
      <c r="A8" s="104"/>
      <c r="B8" s="105"/>
      <c r="C8" s="106"/>
      <c r="D8" s="48">
        <v>0.498</v>
      </c>
      <c r="E8" s="49">
        <v>0.55200000000000005</v>
      </c>
      <c r="F8" s="49">
        <v>0.45800000000000002</v>
      </c>
      <c r="G8" s="49">
        <v>0.50800000000000001</v>
      </c>
      <c r="H8" s="49">
        <v>0.47199999999999998</v>
      </c>
      <c r="I8" s="49">
        <v>0.52300000000000002</v>
      </c>
      <c r="J8" s="49">
        <v>0.52800000000000002</v>
      </c>
      <c r="K8" s="49">
        <v>0.58399999999999996</v>
      </c>
      <c r="L8" s="49">
        <v>0.52900000000000003</v>
      </c>
      <c r="M8" s="50">
        <v>0.57899999999999996</v>
      </c>
    </row>
    <row r="9" spans="1:13" ht="15.75" thickBot="1">
      <c r="A9" s="51"/>
      <c r="B9" s="51"/>
      <c r="C9" s="51"/>
      <c r="D9" s="77"/>
      <c r="E9" s="77"/>
      <c r="F9" s="77"/>
      <c r="G9" s="77"/>
      <c r="H9" s="77"/>
      <c r="I9" s="77"/>
      <c r="J9" s="51"/>
      <c r="K9" s="77"/>
      <c r="L9" s="51"/>
      <c r="M9" s="77"/>
    </row>
    <row r="10" spans="1:13" ht="15.75" thickBot="1">
      <c r="A10" s="128" t="s">
        <v>11</v>
      </c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30"/>
    </row>
    <row r="11" spans="1:13" ht="15.75" thickBot="1">
      <c r="A11" s="140" t="s">
        <v>49</v>
      </c>
      <c r="B11" s="132"/>
      <c r="C11" s="133"/>
      <c r="D11" s="141">
        <f>D5</f>
        <v>440</v>
      </c>
      <c r="E11" s="137"/>
      <c r="F11" s="134">
        <f>F5</f>
        <v>465</v>
      </c>
      <c r="G11" s="134"/>
      <c r="H11" s="141">
        <f>H5</f>
        <v>546.1</v>
      </c>
      <c r="I11" s="137"/>
      <c r="J11" s="134">
        <f>J5</f>
        <v>590</v>
      </c>
      <c r="K11" s="134"/>
      <c r="L11" s="141">
        <f>L5</f>
        <v>635</v>
      </c>
      <c r="M11" s="137"/>
    </row>
    <row r="12" spans="1:13" ht="26.25" thickBot="1">
      <c r="A12" s="53" t="s">
        <v>3</v>
      </c>
      <c r="B12" s="54" t="s">
        <v>19</v>
      </c>
      <c r="C12" s="55" t="s">
        <v>0</v>
      </c>
      <c r="D12" s="56" t="s">
        <v>1</v>
      </c>
      <c r="E12" s="57" t="s">
        <v>9</v>
      </c>
      <c r="F12" s="58" t="s">
        <v>1</v>
      </c>
      <c r="G12" s="55" t="s">
        <v>9</v>
      </c>
      <c r="H12" s="56" t="s">
        <v>1</v>
      </c>
      <c r="I12" s="57" t="s">
        <v>9</v>
      </c>
      <c r="J12" s="58" t="s">
        <v>1</v>
      </c>
      <c r="K12" s="55" t="s">
        <v>9</v>
      </c>
      <c r="L12" s="56" t="s">
        <v>1</v>
      </c>
      <c r="M12" s="57" t="s">
        <v>9</v>
      </c>
    </row>
    <row r="13" spans="1:13">
      <c r="A13" s="59"/>
      <c r="B13" s="60"/>
      <c r="C13" s="61"/>
      <c r="D13" s="62"/>
      <c r="E13" s="63"/>
      <c r="F13" s="64"/>
      <c r="G13" s="63"/>
      <c r="H13" s="62"/>
      <c r="I13" s="63"/>
      <c r="J13" s="64"/>
      <c r="K13" s="63"/>
      <c r="L13" s="62"/>
      <c r="M13" s="63"/>
    </row>
    <row r="14" spans="1:13">
      <c r="A14" s="59"/>
      <c r="B14" s="60"/>
      <c r="C14" s="61"/>
      <c r="D14" s="62"/>
      <c r="E14" s="63"/>
      <c r="F14" s="64"/>
      <c r="G14" s="63"/>
      <c r="H14" s="62"/>
      <c r="I14" s="63"/>
      <c r="J14" s="64"/>
      <c r="K14" s="63"/>
      <c r="L14" s="62"/>
      <c r="M14" s="63"/>
    </row>
    <row r="15" spans="1:13">
      <c r="A15" s="59"/>
      <c r="B15" s="60"/>
      <c r="C15" s="61"/>
      <c r="D15" s="62"/>
      <c r="E15" s="63"/>
      <c r="F15" s="64"/>
      <c r="G15" s="63"/>
      <c r="H15" s="62"/>
      <c r="I15" s="63"/>
      <c r="J15" s="64"/>
      <c r="K15" s="63"/>
      <c r="L15" s="62"/>
      <c r="M15" s="63"/>
    </row>
    <row r="16" spans="1:13">
      <c r="A16" s="59"/>
      <c r="B16" s="60"/>
      <c r="C16" s="61"/>
      <c r="D16" s="62"/>
      <c r="E16" s="63"/>
      <c r="F16" s="64"/>
      <c r="G16" s="63"/>
      <c r="H16" s="62"/>
      <c r="I16" s="63"/>
      <c r="J16" s="64"/>
      <c r="K16" s="63"/>
      <c r="L16" s="62"/>
      <c r="M16" s="63"/>
    </row>
    <row r="17" spans="1:13">
      <c r="A17" s="59"/>
      <c r="B17" s="60"/>
      <c r="C17" s="61"/>
      <c r="D17" s="62"/>
      <c r="E17" s="63"/>
      <c r="F17" s="64"/>
      <c r="G17" s="63"/>
      <c r="H17" s="62"/>
      <c r="I17" s="63"/>
      <c r="J17" s="64"/>
      <c r="K17" s="63"/>
      <c r="L17" s="62"/>
      <c r="M17" s="63"/>
    </row>
    <row r="18" spans="1:13">
      <c r="A18" s="59"/>
      <c r="B18" s="60"/>
      <c r="C18" s="61"/>
      <c r="D18" s="65"/>
      <c r="E18" s="66"/>
      <c r="F18" s="67"/>
      <c r="G18" s="68"/>
      <c r="H18" s="65"/>
      <c r="I18" s="66"/>
      <c r="J18" s="67"/>
      <c r="K18" s="68"/>
      <c r="L18" s="65"/>
      <c r="M18" s="66"/>
    </row>
    <row r="19" spans="1:13">
      <c r="A19" s="59"/>
      <c r="B19" s="60"/>
      <c r="C19" s="61"/>
      <c r="D19" s="65"/>
      <c r="E19" s="66"/>
      <c r="F19" s="67"/>
      <c r="G19" s="68"/>
      <c r="H19" s="65"/>
      <c r="I19" s="66"/>
      <c r="J19" s="67"/>
      <c r="K19" s="68"/>
      <c r="L19" s="65"/>
      <c r="M19" s="66"/>
    </row>
    <row r="20" spans="1:13">
      <c r="A20" s="59"/>
      <c r="B20" s="60"/>
      <c r="C20" s="61"/>
      <c r="D20" s="65"/>
      <c r="E20" s="66"/>
      <c r="F20" s="67"/>
      <c r="G20" s="68"/>
      <c r="H20" s="65"/>
      <c r="I20" s="66"/>
      <c r="J20" s="67"/>
      <c r="K20" s="68"/>
      <c r="L20" s="65"/>
      <c r="M20" s="66"/>
    </row>
    <row r="21" spans="1:13">
      <c r="A21" s="59"/>
      <c r="B21" s="60"/>
      <c r="C21" s="61"/>
      <c r="D21" s="65"/>
      <c r="E21" s="66"/>
      <c r="F21" s="67"/>
      <c r="G21" s="68"/>
      <c r="H21" s="65"/>
      <c r="I21" s="66"/>
      <c r="J21" s="67"/>
      <c r="K21" s="68"/>
      <c r="L21" s="65"/>
      <c r="M21" s="66"/>
    </row>
    <row r="22" spans="1:13" ht="15.75" thickBot="1">
      <c r="A22" s="69"/>
      <c r="B22" s="70"/>
      <c r="C22" s="71"/>
      <c r="D22" s="72"/>
      <c r="E22" s="73"/>
      <c r="F22" s="74"/>
      <c r="G22" s="75"/>
      <c r="H22" s="72"/>
      <c r="I22" s="73"/>
      <c r="J22" s="74"/>
      <c r="K22" s="75"/>
      <c r="L22" s="72"/>
      <c r="M22" s="73"/>
    </row>
    <row r="23" spans="1:13">
      <c r="A23" s="4" t="s">
        <v>13</v>
      </c>
      <c r="B23" s="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  <row r="25" spans="1:13">
      <c r="A25" s="26"/>
      <c r="B25" s="26"/>
      <c r="C25" s="26"/>
      <c r="D25" s="99" t="s">
        <v>20</v>
      </c>
      <c r="E25" s="99"/>
      <c r="F25" s="27"/>
      <c r="G25" s="27"/>
      <c r="H25" s="27"/>
      <c r="I25" s="26"/>
      <c r="J25" s="26"/>
      <c r="K25" s="26"/>
      <c r="L25" s="26"/>
      <c r="M25" s="26"/>
    </row>
    <row r="26" spans="1:13" ht="15" customHeight="1">
      <c r="A26" s="26"/>
      <c r="B26" s="26"/>
      <c r="C26" s="26"/>
      <c r="D26" s="28"/>
      <c r="E26" s="29" t="s">
        <v>2</v>
      </c>
      <c r="F26" s="25"/>
      <c r="G26" s="43"/>
      <c r="H26" s="26"/>
      <c r="I26" s="26"/>
      <c r="J26" s="26"/>
      <c r="K26" s="26"/>
      <c r="L26" s="26"/>
      <c r="M26" s="26"/>
    </row>
    <row r="27" spans="1:13">
      <c r="A27" s="26"/>
      <c r="B27" s="26"/>
      <c r="C27" s="26"/>
      <c r="D27" s="30"/>
      <c r="E27" s="29" t="s">
        <v>7</v>
      </c>
      <c r="F27" s="26"/>
      <c r="G27" s="26"/>
      <c r="H27" s="26"/>
      <c r="I27" s="26"/>
      <c r="J27" s="26"/>
      <c r="K27" s="26"/>
      <c r="L27" s="26"/>
      <c r="M27" s="26"/>
    </row>
    <row r="28" spans="1:1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</row>
    <row r="29" spans="1:1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</row>
    <row r="30" spans="1:13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</row>
    <row r="31" spans="1:13">
      <c r="A31" s="100" t="s">
        <v>42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</row>
  </sheetData>
  <sheetProtection algorithmName="SHA-512" hashValue="lWVDrk4n6gAzLgELlTjZz6Hw+iiygO8RcKeO1TdSeZffn43cuW9fJuLTVV5IKMabeL0zYR/YWkCurbkgE+480g==" saltValue="xRZrqRLIuHXxKuBun+Zimg==" spinCount="100000" sheet="1" objects="1" scenarios="1" insertRows="0"/>
  <mergeCells count="24">
    <mergeCell ref="A31:M31"/>
    <mergeCell ref="L6:M6"/>
    <mergeCell ref="D25:E25"/>
    <mergeCell ref="A11:C11"/>
    <mergeCell ref="D11:E11"/>
    <mergeCell ref="F11:G11"/>
    <mergeCell ref="H11:I11"/>
    <mergeCell ref="J11:K11"/>
    <mergeCell ref="L11:M11"/>
    <mergeCell ref="A7:C8"/>
    <mergeCell ref="A10:M10"/>
    <mergeCell ref="A6:C6"/>
    <mergeCell ref="D6:E6"/>
    <mergeCell ref="F6:G6"/>
    <mergeCell ref="H6:I6"/>
    <mergeCell ref="J6:K6"/>
    <mergeCell ref="A1:M1"/>
    <mergeCell ref="A3:M3"/>
    <mergeCell ref="A5:C5"/>
    <mergeCell ref="D5:E5"/>
    <mergeCell ref="F5:G5"/>
    <mergeCell ref="H5:I5"/>
    <mergeCell ref="J5:K5"/>
    <mergeCell ref="L5:M5"/>
  </mergeCells>
  <conditionalFormatting sqref="D13:D22 F13:F22 H13:H22 J13:J22 L13:L22">
    <cfRule type="containsBlanks" dxfId="31" priority="2">
      <formula>LEN(TRIM(D13))=0</formula>
    </cfRule>
  </conditionalFormatting>
  <conditionalFormatting sqref="D13:D22">
    <cfRule type="cellIs" dxfId="30" priority="15" operator="greaterThan">
      <formula>0.555</formula>
    </cfRule>
    <cfRule type="cellIs" dxfId="29" priority="16" operator="lessThan">
      <formula>0.508</formula>
    </cfRule>
    <cfRule type="cellIs" dxfId="28" priority="17" stopIfTrue="1" operator="between">
      <formula>0.508</formula>
      <formula>0.555</formula>
    </cfRule>
  </conditionalFormatting>
  <conditionalFormatting sqref="F13:F22">
    <cfRule type="cellIs" dxfId="27" priority="12" operator="greaterThan">
      <formula>0.51</formula>
    </cfRule>
    <cfRule type="cellIs" dxfId="26" priority="13" operator="lessThan">
      <formula>0.466</formula>
    </cfRule>
    <cfRule type="cellIs" dxfId="25" priority="14" operator="between">
      <formula>0.466</formula>
      <formula>0.51</formula>
    </cfRule>
  </conditionalFormatting>
  <conditionalFormatting sqref="H13:H22">
    <cfRule type="cellIs" dxfId="24" priority="9" operator="greaterThan">
      <formula>0.524</formula>
    </cfRule>
    <cfRule type="cellIs" dxfId="23" priority="10" operator="lessThan">
      <formula>0.479</formula>
    </cfRule>
    <cfRule type="cellIs" dxfId="22" priority="11" operator="between">
      <formula>0.479</formula>
      <formula>0.524</formula>
    </cfRule>
  </conditionalFormatting>
  <conditionalFormatting sqref="J13:J22">
    <cfRule type="cellIs" dxfId="21" priority="6" operator="greaterThan">
      <formula>0.584</formula>
    </cfRule>
    <cfRule type="cellIs" dxfId="20" priority="7" operator="lessThan">
      <formula>0.535</formula>
    </cfRule>
    <cfRule type="cellIs" dxfId="19" priority="8" operator="between">
      <formula>0.535</formula>
      <formula>0.584</formula>
    </cfRule>
  </conditionalFormatting>
  <conditionalFormatting sqref="L13:L22">
    <cfRule type="cellIs" dxfId="18" priority="3" operator="greaterThan">
      <formula>0.578</formula>
    </cfRule>
    <cfRule type="cellIs" dxfId="17" priority="4" operator="lessThan">
      <formula>0.529</formula>
    </cfRule>
    <cfRule type="cellIs" dxfId="16" priority="5" operator="between">
      <formula>0.529</formula>
      <formula>0.578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A1:M31"/>
  <sheetViews>
    <sheetView topLeftCell="A7" zoomScaleNormal="100" workbookViewId="0">
      <selection activeCell="S32" sqref="S32"/>
    </sheetView>
  </sheetViews>
  <sheetFormatPr defaultColWidth="9.140625" defaultRowHeight="15"/>
  <cols>
    <col min="1" max="1" width="16.5703125" style="26" customWidth="1"/>
    <col min="2" max="2" width="17.85546875" style="26" customWidth="1"/>
    <col min="3" max="3" width="11.85546875" style="26" customWidth="1"/>
    <col min="4" max="4" width="9.28515625" style="26" customWidth="1"/>
    <col min="5" max="7" width="9.140625" style="26"/>
    <col min="8" max="8" width="9.140625" style="26" customWidth="1"/>
    <col min="9" max="13" width="9.140625" style="26"/>
    <col min="14" max="16384" width="9.140625" style="2"/>
  </cols>
  <sheetData>
    <row r="1" spans="1:13" ht="15.75">
      <c r="A1" s="89" t="s">
        <v>39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</row>
    <row r="2" spans="1:13" ht="15.75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ht="15.75" thickBot="1">
      <c r="A3" s="164" t="s">
        <v>40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6"/>
    </row>
    <row r="4" spans="1:13" ht="15.75" thickBo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ht="15.75" thickBot="1">
      <c r="A5" s="149" t="s">
        <v>23</v>
      </c>
      <c r="B5" s="150"/>
      <c r="C5" s="151"/>
      <c r="D5" s="167">
        <v>440</v>
      </c>
      <c r="E5" s="168"/>
      <c r="F5" s="169">
        <v>465</v>
      </c>
      <c r="G5" s="168"/>
      <c r="H5" s="169">
        <v>546.1</v>
      </c>
      <c r="I5" s="168"/>
      <c r="J5" s="169">
        <v>590</v>
      </c>
      <c r="K5" s="168"/>
      <c r="L5" s="169">
        <v>635</v>
      </c>
      <c r="M5" s="170"/>
    </row>
    <row r="6" spans="1:13" ht="15.75" thickBot="1">
      <c r="A6" s="171" t="s">
        <v>10</v>
      </c>
      <c r="B6" s="150"/>
      <c r="C6" s="151"/>
      <c r="D6" s="145" t="s">
        <v>35</v>
      </c>
      <c r="E6" s="146"/>
      <c r="F6" s="147" t="s">
        <v>36</v>
      </c>
      <c r="G6" s="146"/>
      <c r="H6" s="147" t="s">
        <v>18</v>
      </c>
      <c r="I6" s="146"/>
      <c r="J6" s="147" t="s">
        <v>37</v>
      </c>
      <c r="K6" s="146"/>
      <c r="L6" s="147" t="s">
        <v>38</v>
      </c>
      <c r="M6" s="148"/>
    </row>
    <row r="7" spans="1:13">
      <c r="A7" s="155" t="s">
        <v>12</v>
      </c>
      <c r="B7" s="156"/>
      <c r="C7" s="157"/>
      <c r="D7" s="45" t="s">
        <v>5</v>
      </c>
      <c r="E7" s="46" t="s">
        <v>6</v>
      </c>
      <c r="F7" s="46" t="s">
        <v>5</v>
      </c>
      <c r="G7" s="46" t="s">
        <v>6</v>
      </c>
      <c r="H7" s="46" t="s">
        <v>5</v>
      </c>
      <c r="I7" s="46" t="s">
        <v>6</v>
      </c>
      <c r="J7" s="46" t="s">
        <v>5</v>
      </c>
      <c r="K7" s="46" t="s">
        <v>6</v>
      </c>
      <c r="L7" s="46" t="s">
        <v>5</v>
      </c>
      <c r="M7" s="47" t="s">
        <v>6</v>
      </c>
    </row>
    <row r="8" spans="1:13">
      <c r="A8" s="158"/>
      <c r="B8" s="159"/>
      <c r="C8" s="160"/>
      <c r="D8" s="48">
        <v>1.004</v>
      </c>
      <c r="E8" s="49">
        <v>1.1359999999999999</v>
      </c>
      <c r="F8" s="49">
        <v>0.93400000000000005</v>
      </c>
      <c r="G8" s="49">
        <v>1.05</v>
      </c>
      <c r="H8" s="49">
        <v>0.94699999999999995</v>
      </c>
      <c r="I8" s="49">
        <v>1.0629999999999999</v>
      </c>
      <c r="J8" s="49">
        <v>1.008</v>
      </c>
      <c r="K8" s="49">
        <v>1.1399999999999999</v>
      </c>
      <c r="L8" s="49">
        <v>0.94599999999999995</v>
      </c>
      <c r="M8" s="50">
        <v>1.0620000000000001</v>
      </c>
    </row>
    <row r="9" spans="1:13" ht="15.75" thickBot="1">
      <c r="A9" s="25"/>
      <c r="B9" s="25"/>
      <c r="C9" s="25"/>
      <c r="D9" s="41"/>
      <c r="E9" s="41"/>
      <c r="F9" s="25"/>
      <c r="G9" s="41"/>
      <c r="H9" s="25"/>
      <c r="I9" s="41"/>
      <c r="J9" s="25"/>
      <c r="K9" s="41"/>
      <c r="L9" s="25"/>
      <c r="M9" s="41"/>
    </row>
    <row r="10" spans="1:13" ht="15.75" thickBot="1">
      <c r="A10" s="161" t="s">
        <v>11</v>
      </c>
      <c r="B10" s="162"/>
      <c r="C10" s="162"/>
      <c r="D10" s="162"/>
      <c r="E10" s="162"/>
      <c r="F10" s="162"/>
      <c r="G10" s="162"/>
      <c r="H10" s="162"/>
      <c r="I10" s="162"/>
      <c r="J10" s="162"/>
      <c r="K10" s="162"/>
      <c r="L10" s="162"/>
      <c r="M10" s="163"/>
    </row>
    <row r="11" spans="1:13" ht="15.75" thickBot="1">
      <c r="A11" s="149" t="s">
        <v>22</v>
      </c>
      <c r="B11" s="150"/>
      <c r="C11" s="151"/>
      <c r="D11" s="152">
        <f>D5</f>
        <v>440</v>
      </c>
      <c r="E11" s="153"/>
      <c r="F11" s="154">
        <f>F5</f>
        <v>465</v>
      </c>
      <c r="G11" s="154"/>
      <c r="H11" s="152">
        <f>H5</f>
        <v>546.1</v>
      </c>
      <c r="I11" s="153"/>
      <c r="J11" s="154">
        <f>J5</f>
        <v>590</v>
      </c>
      <c r="K11" s="154"/>
      <c r="L11" s="152">
        <f>L5</f>
        <v>635</v>
      </c>
      <c r="M11" s="153"/>
    </row>
    <row r="12" spans="1:13" ht="26.25" thickBot="1">
      <c r="A12" s="7" t="s">
        <v>3</v>
      </c>
      <c r="B12" s="8" t="s">
        <v>19</v>
      </c>
      <c r="C12" s="9" t="s">
        <v>0</v>
      </c>
      <c r="D12" s="31" t="s">
        <v>1</v>
      </c>
      <c r="E12" s="10" t="s">
        <v>9</v>
      </c>
      <c r="F12" s="32" t="s">
        <v>1</v>
      </c>
      <c r="G12" s="9" t="s">
        <v>9</v>
      </c>
      <c r="H12" s="31" t="s">
        <v>1</v>
      </c>
      <c r="I12" s="10" t="s">
        <v>9</v>
      </c>
      <c r="J12" s="32" t="s">
        <v>1</v>
      </c>
      <c r="K12" s="9" t="s">
        <v>9</v>
      </c>
      <c r="L12" s="31" t="s">
        <v>1</v>
      </c>
      <c r="M12" s="10" t="s">
        <v>9</v>
      </c>
    </row>
    <row r="13" spans="1:13">
      <c r="A13" s="36"/>
      <c r="B13" s="37"/>
      <c r="C13" s="13"/>
      <c r="D13" s="33"/>
      <c r="E13" s="34"/>
      <c r="F13" s="35"/>
      <c r="G13" s="34"/>
      <c r="H13" s="33"/>
      <c r="I13" s="34"/>
      <c r="J13" s="35"/>
      <c r="K13" s="34"/>
      <c r="L13" s="33"/>
      <c r="M13" s="34"/>
    </row>
    <row r="14" spans="1:13">
      <c r="A14" s="36"/>
      <c r="B14" s="37"/>
      <c r="C14" s="13"/>
      <c r="D14" s="33"/>
      <c r="E14" s="34"/>
      <c r="F14" s="35"/>
      <c r="G14" s="34"/>
      <c r="H14" s="33"/>
      <c r="I14" s="34"/>
      <c r="J14" s="35"/>
      <c r="K14" s="34"/>
      <c r="L14" s="33"/>
      <c r="M14" s="34"/>
    </row>
    <row r="15" spans="1:13">
      <c r="A15" s="36"/>
      <c r="B15" s="37"/>
      <c r="C15" s="13"/>
      <c r="D15" s="33"/>
      <c r="E15" s="34"/>
      <c r="F15" s="35"/>
      <c r="G15" s="34"/>
      <c r="H15" s="33"/>
      <c r="I15" s="34"/>
      <c r="J15" s="35"/>
      <c r="K15" s="34"/>
      <c r="L15" s="33"/>
      <c r="M15" s="34"/>
    </row>
    <row r="16" spans="1:13">
      <c r="A16" s="36"/>
      <c r="B16" s="37"/>
      <c r="C16" s="13"/>
      <c r="D16" s="33"/>
      <c r="E16" s="34"/>
      <c r="F16" s="35"/>
      <c r="G16" s="34"/>
      <c r="H16" s="33"/>
      <c r="I16" s="34"/>
      <c r="J16" s="35"/>
      <c r="K16" s="34"/>
      <c r="L16" s="33"/>
      <c r="M16" s="34"/>
    </row>
    <row r="17" spans="1:13">
      <c r="A17" s="36"/>
      <c r="B17" s="37"/>
      <c r="C17" s="13"/>
      <c r="D17" s="33"/>
      <c r="E17" s="34"/>
      <c r="F17" s="35"/>
      <c r="G17" s="34"/>
      <c r="H17" s="33"/>
      <c r="I17" s="34"/>
      <c r="J17" s="35"/>
      <c r="K17" s="34"/>
      <c r="L17" s="33"/>
      <c r="M17" s="34"/>
    </row>
    <row r="18" spans="1:13">
      <c r="A18" s="36"/>
      <c r="B18" s="37"/>
      <c r="C18" s="13"/>
      <c r="D18" s="14"/>
      <c r="E18" s="15"/>
      <c r="F18" s="16"/>
      <c r="G18" s="17"/>
      <c r="H18" s="14"/>
      <c r="I18" s="15"/>
      <c r="J18" s="16"/>
      <c r="K18" s="17"/>
      <c r="L18" s="14"/>
      <c r="M18" s="15"/>
    </row>
    <row r="19" spans="1:13">
      <c r="A19" s="36"/>
      <c r="B19" s="37"/>
      <c r="C19" s="13"/>
      <c r="D19" s="14"/>
      <c r="E19" s="15"/>
      <c r="F19" s="16"/>
      <c r="G19" s="17"/>
      <c r="H19" s="14"/>
      <c r="I19" s="15"/>
      <c r="J19" s="16"/>
      <c r="K19" s="17"/>
      <c r="L19" s="14"/>
      <c r="M19" s="15"/>
    </row>
    <row r="20" spans="1:13">
      <c r="A20" s="36"/>
      <c r="B20" s="37"/>
      <c r="C20" s="13"/>
      <c r="D20" s="14"/>
      <c r="E20" s="15"/>
      <c r="F20" s="16"/>
      <c r="G20" s="17"/>
      <c r="H20" s="14"/>
      <c r="I20" s="15"/>
      <c r="J20" s="16"/>
      <c r="K20" s="17"/>
      <c r="L20" s="14"/>
      <c r="M20" s="15"/>
    </row>
    <row r="21" spans="1:13">
      <c r="A21" s="36"/>
      <c r="B21" s="37"/>
      <c r="C21" s="13"/>
      <c r="D21" s="14"/>
      <c r="E21" s="15"/>
      <c r="F21" s="16"/>
      <c r="G21" s="17"/>
      <c r="H21" s="14"/>
      <c r="I21" s="15"/>
      <c r="J21" s="16"/>
      <c r="K21" s="17"/>
      <c r="L21" s="14"/>
      <c r="M21" s="15"/>
    </row>
    <row r="22" spans="1:13" ht="15.75" thickBot="1">
      <c r="A22" s="38"/>
      <c r="B22" s="39"/>
      <c r="C22" s="20"/>
      <c r="D22" s="21"/>
      <c r="E22" s="22"/>
      <c r="F22" s="23"/>
      <c r="G22" s="24"/>
      <c r="H22" s="21"/>
      <c r="I22" s="22"/>
      <c r="J22" s="23"/>
      <c r="K22" s="24"/>
      <c r="L22" s="21"/>
      <c r="M22" s="22"/>
    </row>
    <row r="23" spans="1:13">
      <c r="A23" s="4" t="s">
        <v>13</v>
      </c>
      <c r="B23" s="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5" spans="1:13">
      <c r="D25" s="99" t="s">
        <v>20</v>
      </c>
      <c r="E25" s="99"/>
      <c r="F25" s="27"/>
      <c r="G25" s="27"/>
      <c r="H25" s="27"/>
    </row>
    <row r="26" spans="1:13">
      <c r="D26" s="28"/>
      <c r="E26" s="29" t="s">
        <v>2</v>
      </c>
      <c r="F26" s="25"/>
    </row>
    <row r="27" spans="1:13">
      <c r="D27" s="30"/>
      <c r="E27" s="29" t="s">
        <v>7</v>
      </c>
      <c r="H27" s="43"/>
    </row>
    <row r="31" spans="1:13">
      <c r="A31" s="100" t="s">
        <v>41</v>
      </c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</row>
  </sheetData>
  <sheetProtection algorithmName="SHA-512" hashValue="RV0iaDSZh2EKIaqUZfd/WzPA93wDnHKvAHH9ksEfp3ta9g/XXlnu26QLyQmCj+Bc19ENzRD48kfyiwe3Rj8OFw==" saltValue="yDLFd2yxrWZRlQZexwlemA==" spinCount="100000" sheet="1" objects="1" scenarios="1" insertRows="0"/>
  <mergeCells count="24">
    <mergeCell ref="A1:M1"/>
    <mergeCell ref="A3:M3"/>
    <mergeCell ref="A5:C5"/>
    <mergeCell ref="D5:E5"/>
    <mergeCell ref="J6:K6"/>
    <mergeCell ref="F5:G5"/>
    <mergeCell ref="H5:I5"/>
    <mergeCell ref="J5:K5"/>
    <mergeCell ref="L5:M5"/>
    <mergeCell ref="A6:C6"/>
    <mergeCell ref="A31:M31"/>
    <mergeCell ref="D6:E6"/>
    <mergeCell ref="F6:G6"/>
    <mergeCell ref="H6:I6"/>
    <mergeCell ref="L6:M6"/>
    <mergeCell ref="D25:E25"/>
    <mergeCell ref="A11:C11"/>
    <mergeCell ref="D11:E11"/>
    <mergeCell ref="F11:G11"/>
    <mergeCell ref="H11:I11"/>
    <mergeCell ref="J11:K11"/>
    <mergeCell ref="L11:M11"/>
    <mergeCell ref="A7:C8"/>
    <mergeCell ref="A10:M10"/>
  </mergeCells>
  <conditionalFormatting sqref="D13:D22 F13:F22 H13:H22 J13:J22 L13:L22">
    <cfRule type="containsBlanks" dxfId="15" priority="2">
      <formula>LEN(TRIM(D13))=0</formula>
    </cfRule>
  </conditionalFormatting>
  <conditionalFormatting sqref="D13:D22">
    <cfRule type="cellIs" dxfId="14" priority="15" operator="greaterThan">
      <formula>1.168</formula>
    </cfRule>
    <cfRule type="cellIs" dxfId="13" priority="16" operator="lessThan">
      <formula>1.046</formula>
    </cfRule>
    <cfRule type="cellIs" dxfId="12" priority="17" stopIfTrue="1" operator="between">
      <formula>1.046</formula>
      <formula>1.168</formula>
    </cfRule>
  </conditionalFormatting>
  <conditionalFormatting sqref="F13:F22">
    <cfRule type="cellIs" dxfId="11" priority="12" operator="greaterThan">
      <formula>1.058</formula>
    </cfRule>
    <cfRule type="cellIs" dxfId="10" priority="13" operator="lessThan">
      <formula>0.952</formula>
    </cfRule>
    <cfRule type="cellIs" dxfId="9" priority="14" operator="between">
      <formula>0.952</formula>
      <formula>1.058</formula>
    </cfRule>
  </conditionalFormatting>
  <conditionalFormatting sqref="H13:H22">
    <cfRule type="cellIs" dxfId="8" priority="9" operator="greaterThan">
      <formula>1.061</formula>
    </cfRule>
    <cfRule type="cellIs" dxfId="7" priority="10" operator="lessThan">
      <formula>0.955</formula>
    </cfRule>
    <cfRule type="cellIs" dxfId="6" priority="11" operator="between">
      <formula>0.955</formula>
      <formula>1.061</formula>
    </cfRule>
  </conditionalFormatting>
  <conditionalFormatting sqref="J13:J22">
    <cfRule type="cellIs" dxfId="5" priority="6" operator="greaterThan">
      <formula>1.12</formula>
    </cfRule>
    <cfRule type="cellIs" dxfId="4" priority="7" operator="lessThan">
      <formula>1.002</formula>
    </cfRule>
    <cfRule type="cellIs" dxfId="3" priority="8" operator="between">
      <formula>1.002</formula>
      <formula>1.12</formula>
    </cfRule>
  </conditionalFormatting>
  <conditionalFormatting sqref="L13:L22">
    <cfRule type="cellIs" dxfId="2" priority="3" operator="greaterThan">
      <formula>1.058</formula>
    </cfRule>
    <cfRule type="cellIs" dxfId="1" priority="4" operator="lessThan">
      <formula>0.952</formula>
    </cfRule>
    <cfRule type="cellIs" dxfId="0" priority="5" operator="between">
      <formula>0.952</formula>
      <formula>1.058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F1</vt:lpstr>
      <vt:lpstr>F2</vt:lpstr>
      <vt:lpstr>F3</vt:lpstr>
      <vt:lpstr>F4</vt:lpstr>
      <vt:lpstr>'F1'!Area_de_impressao</vt:lpstr>
      <vt:lpstr>'F2'!Area_de_impressao</vt:lpstr>
      <vt:lpstr>'F3'!Area_de_impressao</vt:lpstr>
      <vt:lpstr>'F4'!Area_de_impressao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SGQ</cp:lastModifiedBy>
  <cp:lastPrinted>2024-09-17T14:44:08Z</cp:lastPrinted>
  <dcterms:created xsi:type="dcterms:W3CDTF">2021-05-11T17:48:09Z</dcterms:created>
  <dcterms:modified xsi:type="dcterms:W3CDTF">2024-09-17T19:10:49Z</dcterms:modified>
</cp:coreProperties>
</file>