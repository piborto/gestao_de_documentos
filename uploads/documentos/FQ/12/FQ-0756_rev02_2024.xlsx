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defaultThemeVersion="166925"/>
  <mc:AlternateContent xmlns:mc="http://schemas.openxmlformats.org/markup-compatibility/2006">
    <mc:Choice Requires="x15">
      <x15ac:absPath xmlns:x15ac="http://schemas.microsoft.com/office/spreadsheetml/2010/11/ac" url="\\192.168.89.2\qualidadera-21\Novos Documentos RA-133\Aprovados\2024\M 19 09 24\"/>
    </mc:Choice>
  </mc:AlternateContent>
  <xr:revisionPtr revIDLastSave="0" documentId="13_ncr:1_{D68A7F1B-B080-4C9E-8B4E-DDBAD6F66BD2}" xr6:coauthVersionLast="47" xr6:coauthVersionMax="47" xr10:uidLastSave="{00000000-0000-0000-0000-000000000000}"/>
  <bookViews>
    <workbookView xWindow="-120" yWindow="-120" windowWidth="29040" windowHeight="15720" xr2:uid="{00000000-000D-0000-FFFF-FFFF00000000}"/>
  </bookViews>
  <sheets>
    <sheet name="FQ0756" sheetId="1" r:id="rId1"/>
  </sheets>
  <definedNames>
    <definedName name="_xlnm.Print_Area" localSheetId="0">'FQ0756'!$A$1:$Q$41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6" i="1" l="1"/>
  <c r="K14" i="1"/>
  <c r="K13" i="1"/>
  <c r="K12" i="1"/>
  <c r="P10" i="1" l="1"/>
  <c r="O10" i="1"/>
  <c r="M10" i="1"/>
  <c r="E24" i="1"/>
  <c r="D24" i="1"/>
  <c r="K22" i="1"/>
  <c r="F23" i="1" l="1"/>
  <c r="G23" i="1" s="1"/>
  <c r="F22" i="1"/>
  <c r="F21" i="1"/>
  <c r="G21" i="1" s="1"/>
  <c r="F20" i="1"/>
  <c r="G20" i="1" s="1"/>
  <c r="F19" i="1"/>
  <c r="G19" i="1" s="1"/>
  <c r="G22" i="1"/>
  <c r="F18" i="1"/>
  <c r="F17" i="1"/>
  <c r="F15" i="1"/>
  <c r="F14" i="1"/>
  <c r="G14" i="1" l="1"/>
  <c r="G15" i="1"/>
  <c r="G16" i="1"/>
  <c r="G17" i="1"/>
  <c r="G18" i="1"/>
  <c r="F12" i="1" l="1"/>
  <c r="G12" i="1" s="1"/>
  <c r="F10" i="1"/>
  <c r="G10" i="1" s="1"/>
  <c r="F13" i="1"/>
  <c r="G13" i="1" s="1"/>
  <c r="F11" i="1"/>
  <c r="G11" i="1" s="1"/>
  <c r="F9" i="1"/>
  <c r="G9" i="1" s="1"/>
  <c r="G24" i="1" l="1"/>
  <c r="K21" i="1" s="1"/>
  <c r="K23" i="1" s="1"/>
</calcChain>
</file>

<file path=xl/sharedStrings.xml><?xml version="1.0" encoding="utf-8"?>
<sst xmlns="http://schemas.openxmlformats.org/spreadsheetml/2006/main" count="38" uniqueCount="38">
  <si>
    <t>Y (padrão)</t>
  </si>
  <si>
    <t>X (Leitura)</t>
  </si>
  <si>
    <t>Ym</t>
  </si>
  <si>
    <t>Xm</t>
  </si>
  <si>
    <t xml:space="preserve">(b) Yest = Ym + b(X – Xm) </t>
  </si>
  <si>
    <t>Data da calibração:</t>
  </si>
  <si>
    <t>Identificação do equipamento:</t>
  </si>
  <si>
    <t>a (coeficiente angular) =</t>
  </si>
  <si>
    <t>b (coeficiente linear) =</t>
  </si>
  <si>
    <t xml:space="preserve">Ir = </t>
  </si>
  <si>
    <t xml:space="preserve">n = </t>
  </si>
  <si>
    <t xml:space="preserve">Ic = </t>
  </si>
  <si>
    <t xml:space="preserve">EME = </t>
  </si>
  <si>
    <t>CÁLCULOS</t>
  </si>
  <si>
    <t>DADOS DA CALIBRAÇÃO
(Obtidos no certificado de calibração)</t>
  </si>
  <si>
    <t>Equação de regressão:</t>
  </si>
  <si>
    <t>1. Correção do erro através de uma curva de regressão:</t>
  </si>
  <si>
    <t>2. Cálculo do EME:</t>
  </si>
  <si>
    <r>
      <t>R</t>
    </r>
    <r>
      <rPr>
        <vertAlign val="superscript"/>
        <sz val="10"/>
        <color theme="1"/>
        <rFont val="Arial"/>
        <family val="2"/>
      </rPr>
      <t>2</t>
    </r>
    <r>
      <rPr>
        <sz val="10"/>
        <color theme="1"/>
        <rFont val="Arial"/>
        <family val="2"/>
      </rPr>
      <t xml:space="preserve"> = </t>
    </r>
  </si>
  <si>
    <r>
      <t>Ponto</t>
    </r>
    <r>
      <rPr>
        <b/>
        <vertAlign val="superscript"/>
        <sz val="10"/>
        <color theme="1"/>
        <rFont val="Arial"/>
        <family val="2"/>
      </rPr>
      <t>(a)</t>
    </r>
  </si>
  <si>
    <r>
      <t>Yest</t>
    </r>
    <r>
      <rPr>
        <b/>
        <vertAlign val="superscript"/>
        <sz val="10"/>
        <color theme="1"/>
        <rFont val="Arial"/>
        <family val="2"/>
      </rPr>
      <t>(b)</t>
    </r>
  </si>
  <si>
    <r>
      <t>(Y - Yest)</t>
    </r>
    <r>
      <rPr>
        <b/>
        <vertAlign val="superscript"/>
        <sz val="10"/>
        <color theme="1"/>
        <rFont val="Arial"/>
        <family val="2"/>
      </rPr>
      <t>2</t>
    </r>
  </si>
  <si>
    <t>DETERMINAÇÃO DO ERRO MÁXIMO DO EQUIPAMENTO (EME) ATRAVÉS DA INCERTEZA GERADA PELA CURVA DE REGRESSÃO</t>
  </si>
  <si>
    <t>EME = Erro máximo do equipamento = Incerteza total de medição do equipamento</t>
  </si>
  <si>
    <t>Responsável pelo preenchimento:</t>
  </si>
  <si>
    <t>Número do certificado de calibração:</t>
  </si>
  <si>
    <t>Empresa calibradora:</t>
  </si>
  <si>
    <r>
      <t>U</t>
    </r>
    <r>
      <rPr>
        <vertAlign val="superscript"/>
        <sz val="10"/>
        <color theme="1"/>
        <rFont val="Arial"/>
        <family val="2"/>
      </rPr>
      <t>(c)</t>
    </r>
    <r>
      <rPr>
        <sz val="10"/>
        <color theme="1"/>
        <rFont val="Arial"/>
        <family val="2"/>
      </rPr>
      <t xml:space="preserve"> = </t>
    </r>
  </si>
  <si>
    <r>
      <t>k</t>
    </r>
    <r>
      <rPr>
        <vertAlign val="superscript"/>
        <sz val="10"/>
        <color theme="1"/>
        <rFont val="Arial"/>
        <family val="2"/>
      </rPr>
      <t>(c)</t>
    </r>
    <r>
      <rPr>
        <sz val="10"/>
        <color theme="1"/>
        <rFont val="Arial"/>
        <family val="2"/>
      </rPr>
      <t xml:space="preserve"> = </t>
    </r>
  </si>
  <si>
    <t>(c) Escolher o maior valor encontrado nos resultados da calibração</t>
  </si>
  <si>
    <t>U / k / n = Incerteza expandida / fator de abrangência / nº de pontos calibrados (ou número de medidas realizadas na calibração = nº pontos calibrados x nº medidas por ponto)</t>
  </si>
  <si>
    <t>(a) Colocar a média da leitura de cada ponto ou todas as leituras realizadas para cada ponto, se houver</t>
  </si>
  <si>
    <t>Y=</t>
  </si>
  <si>
    <t>X</t>
  </si>
  <si>
    <t>· Substituir o X pelo valor lido pelo equipamento para encontrar Y.</t>
  </si>
  <si>
    <r>
      <t>S (Y - Yest)</t>
    </r>
    <r>
      <rPr>
        <b/>
        <vertAlign val="superscript"/>
        <sz val="10"/>
        <color theme="1"/>
        <rFont val="Arial"/>
        <family val="2"/>
      </rPr>
      <t>2</t>
    </r>
  </si>
  <si>
    <r>
      <rPr>
        <b/>
        <u/>
        <sz val="10"/>
        <color theme="1"/>
        <rFont val="Arial"/>
        <family val="2"/>
      </rPr>
      <t>Notas</t>
    </r>
    <r>
      <rPr>
        <b/>
        <sz val="10"/>
        <color theme="1"/>
        <rFont val="Arial"/>
        <family val="2"/>
      </rPr>
      <t xml:space="preserve">:
</t>
    </r>
    <r>
      <rPr>
        <sz val="10"/>
        <color theme="1"/>
        <rFont val="Arial"/>
        <family val="2"/>
      </rPr>
      <t xml:space="preserve">
1) É necessário colocar em lugar visível do Eime a equação de correção e a seguinte frase ou similar: “Compensar erros após leitura”.
2) É muito importante que sejam registradas as verificações feitas por outro técnico, diferente daquele que efetuou os cálculos.  
3) Todas as vezes que são feitas compensações dos erros, deve-se primeiro registrar todas as medidas conforme lidas no instrumento, para depois registrar os dados com as correções (ou a equação de correção sem corrigir os dados lidos), assegurando com isso que as correções sejam feitas devidamente. Em casos de leituras diretas por computador, os valores para correção poderão ser agregados ao software para correção automática, mas é preciso assegurar que todas as cópias sejam atualizadas corretamente.</t>
    </r>
  </si>
  <si>
    <t>FQ-07.56 (anexo ao PQ-07.03) - RA - revisão 02 de 19/09/24 - Página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</si>
</sst>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13" x14ac:knownFonts="1">
    <font>
      <sz val="11"/>
      <color theme="1"/>
      <name val="Calibri"/>
      <family val="2"/>
      <scheme val="minor"/>
    </font>
    <font>
      <sz val="10"/>
      <color theme="1"/>
      <name val="Arial"/>
      <family val="2"/>
    </font>
    <font>
      <sz val="10"/>
      <color theme="1"/>
      <name val="Arial"/>
      <family val="2"/>
    </font>
    <font>
      <b/>
      <sz val="11"/>
      <color theme="1"/>
      <name val="Arial"/>
      <family val="2"/>
    </font>
    <font>
      <b/>
      <sz val="10"/>
      <color theme="1"/>
      <name val="Arial"/>
      <family val="2"/>
    </font>
    <font>
      <vertAlign val="superscript"/>
      <sz val="10"/>
      <color theme="1"/>
      <name val="Arial"/>
      <family val="2"/>
    </font>
    <font>
      <sz val="9"/>
      <color theme="1"/>
      <name val="Arial"/>
      <family val="2"/>
    </font>
    <font>
      <b/>
      <vertAlign val="superscript"/>
      <sz val="10"/>
      <color theme="1"/>
      <name val="Arial"/>
      <family val="2"/>
    </font>
    <font>
      <b/>
      <sz val="12"/>
      <color theme="1"/>
      <name val="Arial"/>
      <family val="2"/>
    </font>
    <font>
      <b/>
      <sz val="12"/>
      <color theme="8" tint="-0.249977111117893"/>
      <name val="Arial"/>
      <family val="2"/>
    </font>
    <font>
      <sz val="11"/>
      <color theme="1"/>
      <name val="Arial"/>
      <family val="2"/>
    </font>
    <font>
      <b/>
      <u/>
      <sz val="10"/>
      <color theme="1"/>
      <name val="Arial"/>
      <family val="2"/>
    </font>
    <font>
      <sz val="10"/>
      <name val="Arial"/>
      <family val="2"/>
    </font>
  </fonts>
  <fills count="10">
    <fill>
      <patternFill patternType="none"/>
    </fill>
    <fill>
      <patternFill patternType="gray125"/>
    </fill>
    <fill>
      <patternFill patternType="lightGray"/>
    </fill>
    <fill>
      <patternFill patternType="solid">
        <fgColor theme="9" tint="-0.249977111117893"/>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0" tint="-0.14999847407452621"/>
        <bgColor indexed="64"/>
      </patternFill>
    </fill>
    <fill>
      <patternFill patternType="lightGray">
        <fgColor theme="0"/>
      </patternFill>
    </fill>
    <fill>
      <patternFill patternType="solid">
        <fgColor theme="0"/>
        <bgColor indexed="64"/>
      </patternFill>
    </fill>
  </fills>
  <borders count="31">
    <border>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102">
    <xf numFmtId="0" fontId="0" fillId="0" borderId="0" xfId="0"/>
    <xf numFmtId="0" fontId="0" fillId="0" borderId="0" xfId="0" applyProtection="1">
      <protection locked="0"/>
    </xf>
    <xf numFmtId="0" fontId="2" fillId="0" borderId="5" xfId="0" applyFont="1" applyBorder="1" applyAlignment="1" applyProtection="1">
      <alignment horizontal="center"/>
      <protection locked="0"/>
    </xf>
    <xf numFmtId="0" fontId="2" fillId="0" borderId="7" xfId="0" applyFont="1" applyBorder="1" applyProtection="1">
      <protection locked="0"/>
    </xf>
    <xf numFmtId="0" fontId="2" fillId="0" borderId="5" xfId="0" applyFont="1" applyBorder="1" applyProtection="1">
      <protection locked="0"/>
    </xf>
    <xf numFmtId="2" fontId="2" fillId="0" borderId="17" xfId="0" applyNumberFormat="1" applyFont="1" applyBorder="1" applyAlignment="1" applyProtection="1">
      <alignment horizontal="center"/>
      <protection locked="0"/>
    </xf>
    <xf numFmtId="0" fontId="2" fillId="0" borderId="8" xfId="0" applyFont="1" applyBorder="1" applyProtection="1">
      <protection locked="0"/>
    </xf>
    <xf numFmtId="0" fontId="2" fillId="0" borderId="0" xfId="0" applyFont="1" applyProtection="1">
      <protection locked="0"/>
    </xf>
    <xf numFmtId="0" fontId="2" fillId="0" borderId="1" xfId="0" applyFont="1" applyBorder="1" applyProtection="1">
      <protection locked="0"/>
    </xf>
    <xf numFmtId="1" fontId="2" fillId="0" borderId="17" xfId="0" applyNumberFormat="1" applyFont="1" applyBorder="1" applyAlignment="1" applyProtection="1">
      <alignment horizontal="center"/>
      <protection locked="0"/>
    </xf>
    <xf numFmtId="0" fontId="2" fillId="0" borderId="8" xfId="0" applyFont="1" applyBorder="1" applyAlignment="1" applyProtection="1">
      <alignment horizontal="center"/>
      <protection locked="0"/>
    </xf>
    <xf numFmtId="0" fontId="2" fillId="8" borderId="8" xfId="0" applyFont="1" applyFill="1" applyBorder="1" applyProtection="1">
      <protection locked="0"/>
    </xf>
    <xf numFmtId="0" fontId="2" fillId="8" borderId="9" xfId="0" applyFont="1" applyFill="1" applyBorder="1" applyProtection="1">
      <protection locked="0"/>
    </xf>
    <xf numFmtId="0" fontId="2" fillId="0" borderId="11" xfId="0" applyFont="1" applyBorder="1" applyProtection="1">
      <protection locked="0"/>
    </xf>
    <xf numFmtId="0" fontId="2" fillId="0" borderId="10" xfId="0" applyFont="1" applyBorder="1" applyProtection="1">
      <protection locked="0"/>
    </xf>
    <xf numFmtId="0" fontId="2" fillId="0" borderId="0" xfId="0" applyFont="1" applyAlignment="1" applyProtection="1">
      <alignment horizontal="justify" vertical="center"/>
      <protection locked="0"/>
    </xf>
    <xf numFmtId="0" fontId="4" fillId="4" borderId="13" xfId="0" applyFont="1" applyFill="1" applyBorder="1" applyAlignment="1">
      <alignment horizontal="center"/>
    </xf>
    <xf numFmtId="0" fontId="4" fillId="4" borderId="14" xfId="0" applyFont="1" applyFill="1" applyBorder="1" applyAlignment="1">
      <alignment horizontal="center"/>
    </xf>
    <xf numFmtId="0" fontId="4" fillId="4" borderId="15" xfId="0" applyFont="1" applyFill="1" applyBorder="1" applyAlignment="1">
      <alignment horizontal="center"/>
    </xf>
    <xf numFmtId="0" fontId="4" fillId="6" borderId="30" xfId="0" applyFont="1" applyFill="1" applyBorder="1" applyAlignment="1">
      <alignment horizontal="center"/>
    </xf>
    <xf numFmtId="0" fontId="4" fillId="6" borderId="15" xfId="0" applyFont="1" applyFill="1" applyBorder="1" applyAlignment="1">
      <alignment horizontal="center"/>
    </xf>
    <xf numFmtId="0" fontId="2" fillId="4" borderId="16" xfId="0" applyFont="1" applyFill="1" applyBorder="1" applyAlignment="1">
      <alignment horizontal="center"/>
    </xf>
    <xf numFmtId="0" fontId="2" fillId="7" borderId="16" xfId="0" applyFont="1" applyFill="1" applyBorder="1" applyAlignment="1">
      <alignment horizontal="center"/>
    </xf>
    <xf numFmtId="164" fontId="4" fillId="7" borderId="25" xfId="0" applyNumberFormat="1" applyFont="1" applyFill="1" applyBorder="1" applyAlignment="1">
      <alignment horizontal="center"/>
    </xf>
    <xf numFmtId="164" fontId="4" fillId="7" borderId="26" xfId="0" applyNumberFormat="1" applyFont="1" applyFill="1" applyBorder="1" applyAlignment="1">
      <alignment horizontal="center"/>
    </xf>
    <xf numFmtId="164" fontId="4" fillId="7" borderId="28" xfId="0" applyNumberFormat="1" applyFont="1" applyFill="1" applyBorder="1" applyAlignment="1">
      <alignment horizontal="center"/>
    </xf>
    <xf numFmtId="0" fontId="4" fillId="7" borderId="19" xfId="0" applyFont="1" applyFill="1" applyBorder="1" applyAlignment="1">
      <alignment horizontal="center"/>
    </xf>
    <xf numFmtId="0" fontId="4" fillId="7" borderId="23" xfId="0" applyFont="1" applyFill="1" applyBorder="1" applyAlignment="1">
      <alignment horizontal="center"/>
    </xf>
    <xf numFmtId="0" fontId="4" fillId="0" borderId="6" xfId="0" applyFont="1" applyBorder="1"/>
    <xf numFmtId="0" fontId="2" fillId="0" borderId="6" xfId="0" applyFont="1" applyBorder="1"/>
    <xf numFmtId="164" fontId="2" fillId="7" borderId="12" xfId="0" applyNumberFormat="1" applyFont="1" applyFill="1" applyBorder="1" applyAlignment="1">
      <alignment horizontal="center"/>
    </xf>
    <xf numFmtId="0" fontId="2" fillId="0" borderId="0" xfId="0" applyFont="1"/>
    <xf numFmtId="0" fontId="4" fillId="0" borderId="0" xfId="0" applyFont="1"/>
    <xf numFmtId="0" fontId="2" fillId="0" borderId="6" xfId="0" applyFont="1" applyBorder="1" applyProtection="1">
      <protection locked="0"/>
    </xf>
    <xf numFmtId="0" fontId="2" fillId="0" borderId="0" xfId="0" applyFont="1" applyAlignment="1">
      <alignment horizontal="left"/>
    </xf>
    <xf numFmtId="0" fontId="3" fillId="0" borderId="0" xfId="0" applyFont="1" applyAlignment="1">
      <alignment vertical="center"/>
    </xf>
    <xf numFmtId="0" fontId="6" fillId="0" borderId="0" xfId="0" applyFont="1" applyAlignment="1">
      <alignment vertical="justify" wrapText="1"/>
    </xf>
    <xf numFmtId="0" fontId="0" fillId="0" borderId="0" xfId="0" applyAlignment="1" applyProtection="1">
      <alignment horizontal="left"/>
      <protection locked="0"/>
    </xf>
    <xf numFmtId="0" fontId="3" fillId="6" borderId="2" xfId="0" applyFont="1" applyFill="1" applyBorder="1" applyAlignment="1">
      <alignment horizontal="center" vertical="center"/>
    </xf>
    <xf numFmtId="164" fontId="3" fillId="6" borderId="3" xfId="0" applyNumberFormat="1" applyFont="1" applyFill="1" applyBorder="1" applyAlignment="1">
      <alignment horizontal="center" vertical="center"/>
    </xf>
    <xf numFmtId="0" fontId="3" fillId="6" borderId="3" xfId="0" applyFont="1" applyFill="1" applyBorder="1" applyAlignment="1">
      <alignment horizontal="center" vertical="center"/>
    </xf>
    <xf numFmtId="0" fontId="8" fillId="6" borderId="12" xfId="0" applyFont="1" applyFill="1" applyBorder="1" applyAlignment="1">
      <alignment horizontal="right"/>
    </xf>
    <xf numFmtId="0" fontId="2" fillId="6" borderId="12" xfId="0" applyFont="1" applyFill="1" applyBorder="1" applyAlignment="1">
      <alignment horizontal="right"/>
    </xf>
    <xf numFmtId="0" fontId="10" fillId="0" borderId="0" xfId="0" applyFont="1" applyProtection="1">
      <protection locked="0"/>
    </xf>
    <xf numFmtId="0" fontId="10" fillId="0" borderId="0" xfId="0" applyFont="1" applyAlignment="1" applyProtection="1">
      <alignment horizontal="left"/>
      <protection locked="0"/>
    </xf>
    <xf numFmtId="0" fontId="10" fillId="0" borderId="6" xfId="0" applyFont="1" applyBorder="1" applyProtection="1">
      <protection locked="0"/>
    </xf>
    <xf numFmtId="0" fontId="10" fillId="0" borderId="7" xfId="0" applyFont="1" applyBorder="1" applyProtection="1">
      <protection locked="0"/>
    </xf>
    <xf numFmtId="0" fontId="10" fillId="0" borderId="1" xfId="0" applyFont="1" applyBorder="1" applyProtection="1">
      <protection locked="0"/>
    </xf>
    <xf numFmtId="0" fontId="4" fillId="7" borderId="20" xfId="0" applyFont="1" applyFill="1" applyBorder="1" applyAlignment="1">
      <alignment horizontal="center" vertical="center"/>
    </xf>
    <xf numFmtId="0" fontId="10" fillId="0" borderId="9" xfId="0" applyFont="1" applyBorder="1" applyProtection="1">
      <protection locked="0"/>
    </xf>
    <xf numFmtId="0" fontId="10" fillId="0" borderId="11" xfId="0" applyFont="1" applyBorder="1" applyProtection="1">
      <protection locked="0"/>
    </xf>
    <xf numFmtId="165" fontId="2" fillId="0" borderId="17" xfId="0" applyNumberFormat="1" applyFont="1" applyBorder="1" applyAlignment="1" applyProtection="1">
      <alignment horizontal="center"/>
      <protection locked="0"/>
    </xf>
    <xf numFmtId="165" fontId="2" fillId="0" borderId="12" xfId="0" applyNumberFormat="1" applyFont="1" applyBorder="1" applyAlignment="1" applyProtection="1">
      <alignment horizontal="center"/>
      <protection locked="0"/>
    </xf>
    <xf numFmtId="165" fontId="2" fillId="7" borderId="29" xfId="0" applyNumberFormat="1" applyFont="1" applyFill="1" applyBorder="1" applyAlignment="1">
      <alignment horizontal="center"/>
    </xf>
    <xf numFmtId="165" fontId="2" fillId="7" borderId="17" xfId="0" applyNumberFormat="1" applyFont="1" applyFill="1" applyBorder="1" applyAlignment="1">
      <alignment horizontal="center"/>
    </xf>
    <xf numFmtId="164" fontId="9" fillId="7" borderId="12" xfId="0" applyNumberFormat="1" applyFont="1" applyFill="1" applyBorder="1" applyAlignment="1">
      <alignment horizontal="center"/>
    </xf>
    <xf numFmtId="164" fontId="3" fillId="6" borderId="4" xfId="0" applyNumberFormat="1" applyFont="1" applyFill="1" applyBorder="1" applyAlignment="1">
      <alignment horizontal="center" vertical="center"/>
    </xf>
    <xf numFmtId="0" fontId="2" fillId="0" borderId="3" xfId="0" applyFont="1" applyBorder="1" applyAlignment="1" applyProtection="1">
      <alignment horizontal="center" vertical="center"/>
      <protection locked="0"/>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8" fillId="9" borderId="2" xfId="0" applyFont="1" applyFill="1" applyBorder="1" applyAlignment="1">
      <alignment horizontal="center" vertical="center"/>
    </xf>
    <xf numFmtId="0" fontId="8" fillId="9" borderId="3" xfId="0" applyFont="1" applyFill="1" applyBorder="1" applyAlignment="1">
      <alignment horizontal="center" vertical="center"/>
    </xf>
    <xf numFmtId="0" fontId="8" fillId="9" borderId="4" xfId="0" applyFont="1" applyFill="1" applyBorder="1" applyAlignment="1">
      <alignment horizontal="center" vertical="center"/>
    </xf>
    <xf numFmtId="0" fontId="2" fillId="2" borderId="27" xfId="0" applyFont="1" applyFill="1" applyBorder="1" applyAlignment="1">
      <alignment horizontal="center"/>
    </xf>
    <xf numFmtId="0" fontId="2" fillId="2" borderId="18" xfId="0" applyFont="1" applyFill="1" applyBorder="1" applyAlignment="1">
      <alignment horizontal="center"/>
    </xf>
    <xf numFmtId="0" fontId="2" fillId="2" borderId="24" xfId="0" applyFont="1" applyFill="1" applyBorder="1" applyAlignment="1">
      <alignment horizontal="center"/>
    </xf>
    <xf numFmtId="0" fontId="2" fillId="2" borderId="21" xfId="0" applyFont="1" applyFill="1" applyBorder="1" applyAlignment="1">
      <alignment horizontal="center"/>
    </xf>
    <xf numFmtId="0" fontId="2" fillId="6" borderId="22" xfId="0" applyFont="1" applyFill="1" applyBorder="1" applyAlignment="1">
      <alignment horizontal="right"/>
    </xf>
    <xf numFmtId="0" fontId="2" fillId="6" borderId="29" xfId="0" applyFont="1" applyFill="1" applyBorder="1" applyAlignment="1">
      <alignment horizontal="right"/>
    </xf>
    <xf numFmtId="0" fontId="4" fillId="0" borderId="0" xfId="0" applyFont="1" applyAlignment="1">
      <alignment horizontal="center"/>
    </xf>
    <xf numFmtId="0" fontId="2" fillId="0" borderId="10" xfId="0" applyFont="1" applyBorder="1" applyAlignment="1" applyProtection="1">
      <alignment horizontal="center" vertical="center"/>
      <protection locked="0"/>
    </xf>
    <xf numFmtId="0" fontId="2" fillId="6" borderId="12" xfId="0" applyFont="1" applyFill="1" applyBorder="1" applyAlignment="1">
      <alignment horizontal="right"/>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0" borderId="0" xfId="0" applyFont="1" applyAlignment="1">
      <alignment horizontal="center" vertical="center"/>
    </xf>
    <xf numFmtId="14" fontId="2" fillId="0" borderId="10" xfId="0" applyNumberFormat="1" applyFont="1" applyBorder="1" applyAlignment="1" applyProtection="1">
      <alignment horizontal="center" vertical="center"/>
      <protection locked="0"/>
    </xf>
    <xf numFmtId="0" fontId="12" fillId="0" borderId="0" xfId="0" applyFont="1" applyAlignment="1">
      <alignment horizontal="left"/>
    </xf>
    <xf numFmtId="0" fontId="1" fillId="4" borderId="5" xfId="0" applyFont="1" applyFill="1" applyBorder="1" applyAlignment="1" applyProtection="1">
      <alignment horizontal="justify" vertical="justify" wrapText="1"/>
    </xf>
    <xf numFmtId="0" fontId="2" fillId="4" borderId="6" xfId="0" applyFont="1" applyFill="1" applyBorder="1" applyAlignment="1" applyProtection="1">
      <alignment horizontal="justify" vertical="justify" wrapText="1"/>
    </xf>
    <xf numFmtId="0" fontId="2" fillId="4" borderId="7" xfId="0" applyFont="1" applyFill="1" applyBorder="1" applyAlignment="1" applyProtection="1">
      <alignment horizontal="justify" vertical="justify" wrapText="1"/>
    </xf>
    <xf numFmtId="0" fontId="2" fillId="4" borderId="8" xfId="0" applyFont="1" applyFill="1" applyBorder="1" applyAlignment="1" applyProtection="1">
      <alignment horizontal="justify" vertical="justify" wrapText="1"/>
    </xf>
    <xf numFmtId="0" fontId="2" fillId="4" borderId="0" xfId="0" applyFont="1" applyFill="1" applyAlignment="1" applyProtection="1">
      <alignment horizontal="justify" vertical="justify" wrapText="1"/>
    </xf>
    <xf numFmtId="0" fontId="2" fillId="4" borderId="1" xfId="0" applyFont="1" applyFill="1" applyBorder="1" applyAlignment="1" applyProtection="1">
      <alignment horizontal="justify" vertical="justify" wrapText="1"/>
    </xf>
    <xf numFmtId="0" fontId="2" fillId="4" borderId="9" xfId="0" applyFont="1" applyFill="1" applyBorder="1" applyAlignment="1" applyProtection="1">
      <alignment horizontal="justify" vertical="justify" wrapText="1"/>
    </xf>
    <xf numFmtId="0" fontId="2" fillId="4" borderId="10" xfId="0" applyFont="1" applyFill="1" applyBorder="1" applyAlignment="1" applyProtection="1">
      <alignment horizontal="justify" vertical="justify" wrapText="1"/>
    </xf>
    <xf numFmtId="0" fontId="2" fillId="4" borderId="11" xfId="0" applyFont="1" applyFill="1" applyBorder="1" applyAlignment="1" applyProtection="1">
      <alignment horizontal="justify" vertical="justify" wrapText="1"/>
    </xf>
    <xf numFmtId="0" fontId="1" fillId="0" borderId="8"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45"/>
  <sheetViews>
    <sheetView tabSelected="1" zoomScaleNormal="100" workbookViewId="0">
      <selection activeCell="AK64" sqref="AK64"/>
    </sheetView>
  </sheetViews>
  <sheetFormatPr defaultColWidth="9.140625" defaultRowHeight="15" x14ac:dyDescent="0.25"/>
  <cols>
    <col min="1" max="1" width="9.140625" style="43"/>
    <col min="2" max="2" width="9.7109375" style="43" customWidth="1"/>
    <col min="3" max="3" width="9.5703125" style="43" customWidth="1"/>
    <col min="4" max="4" width="11.140625" style="43" customWidth="1"/>
    <col min="5" max="5" width="11.42578125" style="43" customWidth="1"/>
    <col min="6" max="6" width="10.42578125" style="43" customWidth="1"/>
    <col min="7" max="7" width="11.42578125" style="43" customWidth="1"/>
    <col min="8" max="8" width="6.5703125" style="43" customWidth="1"/>
    <col min="9" max="9" width="11.5703125" style="43" customWidth="1"/>
    <col min="10" max="10" width="9.85546875" style="43" customWidth="1"/>
    <col min="11" max="11" width="9.140625" style="43" customWidth="1"/>
    <col min="12" max="12" width="4" style="43" customWidth="1"/>
    <col min="13" max="13" width="9.5703125" style="43" customWidth="1"/>
    <col min="14" max="14" width="7.85546875" style="43" bestFit="1" customWidth="1"/>
    <col min="15" max="15" width="9.85546875" style="43" bestFit="1" customWidth="1"/>
    <col min="16" max="16" width="8.5703125" style="43" customWidth="1"/>
    <col min="17" max="17" width="5.42578125" style="43" customWidth="1"/>
    <col min="18" max="18" width="9.140625" style="43"/>
    <col min="19" max="16384" width="9.140625" style="1"/>
  </cols>
  <sheetData>
    <row r="1" spans="1:18" ht="23.25" customHeight="1" thickBot="1" x14ac:dyDescent="0.3">
      <c r="A1" s="73" t="s">
        <v>22</v>
      </c>
      <c r="B1" s="74"/>
      <c r="C1" s="74"/>
      <c r="D1" s="74"/>
      <c r="E1" s="74"/>
      <c r="F1" s="74"/>
      <c r="G1" s="74"/>
      <c r="H1" s="74"/>
      <c r="I1" s="74"/>
      <c r="J1" s="74"/>
      <c r="K1" s="74"/>
      <c r="L1" s="74"/>
      <c r="M1" s="74"/>
      <c r="N1" s="74"/>
      <c r="O1" s="74"/>
      <c r="P1" s="74"/>
      <c r="Q1" s="75"/>
      <c r="R1" s="35"/>
    </row>
    <row r="3" spans="1:18" ht="15.75" thickBot="1" x14ac:dyDescent="0.3">
      <c r="A3" s="82" t="s">
        <v>6</v>
      </c>
      <c r="B3" s="82"/>
      <c r="C3" s="82"/>
      <c r="D3" s="82"/>
      <c r="E3" s="83"/>
      <c r="F3" s="83"/>
      <c r="H3" s="89" t="s">
        <v>5</v>
      </c>
      <c r="I3" s="89"/>
      <c r="J3" s="89"/>
      <c r="K3" s="90"/>
      <c r="L3" s="90"/>
      <c r="M3" s="90"/>
    </row>
    <row r="4" spans="1:18" ht="15.75" thickBot="1" x14ac:dyDescent="0.3">
      <c r="A4" s="82" t="s">
        <v>25</v>
      </c>
      <c r="B4" s="82"/>
      <c r="C4" s="82"/>
      <c r="D4" s="82"/>
      <c r="E4" s="57"/>
      <c r="F4" s="57"/>
      <c r="H4" s="89" t="s">
        <v>26</v>
      </c>
      <c r="I4" s="89"/>
      <c r="J4" s="89"/>
      <c r="K4" s="57"/>
      <c r="L4" s="57"/>
      <c r="M4" s="57"/>
    </row>
    <row r="5" spans="1:18" ht="15.75" thickBot="1" x14ac:dyDescent="0.3">
      <c r="A5" s="82" t="s">
        <v>24</v>
      </c>
      <c r="B5" s="82"/>
      <c r="C5" s="82"/>
      <c r="D5" s="82"/>
      <c r="E5" s="57"/>
      <c r="F5" s="57"/>
    </row>
    <row r="6" spans="1:18" ht="15.75" thickBot="1" x14ac:dyDescent="0.3">
      <c r="M6" s="44"/>
    </row>
    <row r="7" spans="1:18" ht="36.75" customHeight="1" thickBot="1" x14ac:dyDescent="0.3">
      <c r="A7" s="85" t="s">
        <v>14</v>
      </c>
      <c r="B7" s="86"/>
      <c r="C7" s="87"/>
      <c r="D7" s="87"/>
      <c r="E7" s="88"/>
      <c r="F7" s="70" t="s">
        <v>13</v>
      </c>
      <c r="G7" s="71"/>
      <c r="H7" s="71"/>
      <c r="I7" s="71"/>
      <c r="J7" s="71"/>
      <c r="K7" s="71"/>
      <c r="L7" s="71"/>
      <c r="M7" s="71"/>
      <c r="N7" s="71"/>
      <c r="O7" s="71"/>
      <c r="P7" s="71"/>
      <c r="Q7" s="72"/>
    </row>
    <row r="8" spans="1:18" x14ac:dyDescent="0.25">
      <c r="A8" s="2"/>
      <c r="B8" s="3"/>
      <c r="C8" s="16" t="s">
        <v>19</v>
      </c>
      <c r="D8" s="17" t="s">
        <v>0</v>
      </c>
      <c r="E8" s="18" t="s">
        <v>1</v>
      </c>
      <c r="F8" s="19" t="s">
        <v>20</v>
      </c>
      <c r="G8" s="20" t="s">
        <v>21</v>
      </c>
      <c r="H8" s="4"/>
      <c r="I8" s="28" t="s">
        <v>16</v>
      </c>
      <c r="J8" s="29"/>
      <c r="K8" s="29"/>
      <c r="L8" s="29"/>
      <c r="M8" s="29"/>
      <c r="N8" s="29"/>
      <c r="O8" s="33"/>
      <c r="P8" s="45"/>
      <c r="Q8" s="46"/>
    </row>
    <row r="9" spans="1:18" ht="15.75" thickBot="1" x14ac:dyDescent="0.3">
      <c r="A9" s="21" t="s">
        <v>27</v>
      </c>
      <c r="B9" s="51"/>
      <c r="C9" s="22">
        <v>1</v>
      </c>
      <c r="D9" s="52"/>
      <c r="E9" s="51"/>
      <c r="F9" s="53" t="str">
        <f>IF(AND(E9=""),"",(D24+(K12*(E9-E24))))</f>
        <v/>
      </c>
      <c r="G9" s="54" t="str">
        <f t="shared" ref="G9:G18" si="0">IFERROR((D9-F9)^2,"")</f>
        <v/>
      </c>
      <c r="H9" s="6"/>
      <c r="I9" s="7"/>
      <c r="J9" s="7"/>
      <c r="K9" s="7"/>
      <c r="L9" s="7"/>
      <c r="M9" s="7"/>
      <c r="N9" s="7"/>
      <c r="O9" s="7"/>
      <c r="Q9" s="47"/>
    </row>
    <row r="10" spans="1:18" ht="15.75" thickBot="1" x14ac:dyDescent="0.3">
      <c r="A10" s="21" t="s">
        <v>28</v>
      </c>
      <c r="B10" s="5"/>
      <c r="C10" s="22">
        <v>2</v>
      </c>
      <c r="D10" s="52"/>
      <c r="E10" s="51"/>
      <c r="F10" s="53" t="str">
        <f>IF(AND(E10=""),"",(D24+(K12*(E10-E24))))</f>
        <v/>
      </c>
      <c r="G10" s="54" t="str">
        <f t="shared" si="0"/>
        <v/>
      </c>
      <c r="H10" s="6"/>
      <c r="I10" s="58" t="s">
        <v>15</v>
      </c>
      <c r="J10" s="59"/>
      <c r="K10" s="60"/>
      <c r="L10" s="38" t="s">
        <v>32</v>
      </c>
      <c r="M10" s="39" t="str">
        <f>K12</f>
        <v/>
      </c>
      <c r="N10" s="40" t="s">
        <v>33</v>
      </c>
      <c r="O10" s="39" t="str">
        <f>IF(K13&lt;0,"-","+")</f>
        <v>+</v>
      </c>
      <c r="P10" s="56" t="str">
        <f>IFERROR(ABS(K13),"")</f>
        <v/>
      </c>
      <c r="Q10" s="47"/>
    </row>
    <row r="11" spans="1:18" x14ac:dyDescent="0.25">
      <c r="A11" s="21" t="s">
        <v>10</v>
      </c>
      <c r="B11" s="9"/>
      <c r="C11" s="22">
        <v>3</v>
      </c>
      <c r="D11" s="52"/>
      <c r="E11" s="51"/>
      <c r="F11" s="53" t="str">
        <f>IF(AND(E11=""),"",(D24+(K12*(E11-E24))))</f>
        <v/>
      </c>
      <c r="G11" s="54" t="str">
        <f t="shared" si="0"/>
        <v/>
      </c>
      <c r="H11" s="6"/>
      <c r="I11" s="7"/>
      <c r="J11" s="7"/>
      <c r="K11" s="7"/>
      <c r="L11" s="7"/>
      <c r="M11" s="7"/>
      <c r="N11" s="7"/>
      <c r="O11" s="7"/>
      <c r="Q11" s="47"/>
    </row>
    <row r="12" spans="1:18" x14ac:dyDescent="0.25">
      <c r="A12" s="10"/>
      <c r="B12" s="8"/>
      <c r="C12" s="22">
        <v>4</v>
      </c>
      <c r="D12" s="52"/>
      <c r="E12" s="51"/>
      <c r="F12" s="53" t="str">
        <f>IF(AND(E12=""),"",(D24+(K12*(E12-E24))))</f>
        <v/>
      </c>
      <c r="G12" s="54" t="str">
        <f t="shared" si="0"/>
        <v/>
      </c>
      <c r="H12" s="6"/>
      <c r="I12" s="84" t="s">
        <v>7</v>
      </c>
      <c r="J12" s="84"/>
      <c r="K12" s="30" t="str">
        <f>IFERROR(SLOPE(D9:D23,E9:E23),"")</f>
        <v/>
      </c>
      <c r="L12" s="7"/>
      <c r="M12" s="7"/>
      <c r="N12" s="7"/>
      <c r="O12" s="7"/>
      <c r="Q12" s="47"/>
    </row>
    <row r="13" spans="1:18" x14ac:dyDescent="0.25">
      <c r="A13" s="10"/>
      <c r="B13" s="8"/>
      <c r="C13" s="22">
        <v>5</v>
      </c>
      <c r="D13" s="52"/>
      <c r="E13" s="51"/>
      <c r="F13" s="53" t="str">
        <f>IF(AND(E13=""),"",(D24+(K12*(E13-E24))))</f>
        <v/>
      </c>
      <c r="G13" s="54" t="str">
        <f t="shared" si="0"/>
        <v/>
      </c>
      <c r="H13" s="6"/>
      <c r="I13" s="84" t="s">
        <v>8</v>
      </c>
      <c r="J13" s="84"/>
      <c r="K13" s="30" t="str">
        <f>IFERROR(INTERCEPT(D9:D23,E9:E23),"")</f>
        <v/>
      </c>
      <c r="L13" s="7"/>
      <c r="M13" s="7"/>
      <c r="N13" s="7"/>
      <c r="O13" s="7"/>
      <c r="Q13" s="47"/>
    </row>
    <row r="14" spans="1:18" x14ac:dyDescent="0.25">
      <c r="A14" s="10"/>
      <c r="B14" s="8"/>
      <c r="C14" s="22">
        <v>6</v>
      </c>
      <c r="D14" s="52"/>
      <c r="E14" s="51"/>
      <c r="F14" s="53" t="str">
        <f>IF(AND(E14=""),"",(D24+(K12*(E14-E24))))</f>
        <v/>
      </c>
      <c r="G14" s="54" t="str">
        <f t="shared" si="0"/>
        <v/>
      </c>
      <c r="H14" s="6"/>
      <c r="I14" s="80" t="s">
        <v>18</v>
      </c>
      <c r="J14" s="81"/>
      <c r="K14" s="30" t="str">
        <f>IFERROR(RSQ(D9:D23,E9:E23),"")</f>
        <v/>
      </c>
      <c r="L14" s="7"/>
      <c r="M14" s="7"/>
      <c r="N14" s="7"/>
      <c r="O14" s="7"/>
      <c r="Q14" s="47"/>
    </row>
    <row r="15" spans="1:18" x14ac:dyDescent="0.25">
      <c r="A15" s="10"/>
      <c r="B15" s="8"/>
      <c r="C15" s="22">
        <v>7</v>
      </c>
      <c r="D15" s="52"/>
      <c r="E15" s="51"/>
      <c r="F15" s="53" t="str">
        <f>IF(AND(E15=""),"",(D24+(K12*(E15-E24))))</f>
        <v/>
      </c>
      <c r="G15" s="54" t="str">
        <f t="shared" si="0"/>
        <v/>
      </c>
      <c r="H15" s="6"/>
      <c r="J15" s="7"/>
      <c r="K15" s="7"/>
      <c r="L15" s="7"/>
      <c r="M15" s="7"/>
      <c r="N15" s="7"/>
      <c r="O15" s="7"/>
      <c r="Q15" s="47"/>
    </row>
    <row r="16" spans="1:18" x14ac:dyDescent="0.25">
      <c r="A16" s="10"/>
      <c r="B16" s="8"/>
      <c r="C16" s="22">
        <v>8</v>
      </c>
      <c r="D16" s="52"/>
      <c r="E16" s="51"/>
      <c r="F16" s="53" t="str">
        <f>IF(AND(E16=""),"",(D24+(K12*(E16-E24))))</f>
        <v/>
      </c>
      <c r="G16" s="54" t="str">
        <f t="shared" si="0"/>
        <v/>
      </c>
      <c r="H16" s="6"/>
      <c r="I16" s="31" t="s">
        <v>34</v>
      </c>
      <c r="J16" s="31"/>
      <c r="K16" s="31"/>
      <c r="L16" s="31"/>
      <c r="M16" s="31"/>
      <c r="N16" s="31"/>
      <c r="O16" s="7"/>
      <c r="Q16" s="47"/>
    </row>
    <row r="17" spans="1:17" x14ac:dyDescent="0.25">
      <c r="A17" s="10"/>
      <c r="B17" s="8"/>
      <c r="C17" s="22">
        <v>9</v>
      </c>
      <c r="D17" s="52"/>
      <c r="E17" s="51"/>
      <c r="F17" s="53" t="str">
        <f>IF(AND(E17=""),"",(D24+(K12*(E17-E24))))</f>
        <v/>
      </c>
      <c r="G17" s="54" t="str">
        <f t="shared" si="0"/>
        <v/>
      </c>
      <c r="H17" s="6"/>
      <c r="J17" s="31"/>
      <c r="K17" s="31"/>
      <c r="L17" s="31"/>
      <c r="M17" s="31"/>
      <c r="N17" s="31"/>
      <c r="O17" s="7"/>
      <c r="Q17" s="47"/>
    </row>
    <row r="18" spans="1:17" x14ac:dyDescent="0.25">
      <c r="A18" s="10"/>
      <c r="B18" s="8"/>
      <c r="C18" s="22">
        <v>10</v>
      </c>
      <c r="D18" s="52"/>
      <c r="E18" s="51"/>
      <c r="F18" s="53" t="str">
        <f>IF(AND(E18=""),"",(D24+(K12*(E18-E24))))</f>
        <v/>
      </c>
      <c r="G18" s="54" t="str">
        <f t="shared" si="0"/>
        <v/>
      </c>
      <c r="H18" s="6"/>
      <c r="I18" s="7"/>
      <c r="J18" s="7"/>
      <c r="K18" s="7"/>
      <c r="L18" s="7"/>
      <c r="M18" s="7"/>
      <c r="N18" s="7"/>
      <c r="O18" s="7"/>
      <c r="Q18" s="47"/>
    </row>
    <row r="19" spans="1:17" x14ac:dyDescent="0.25">
      <c r="A19" s="10"/>
      <c r="B19" s="8"/>
      <c r="C19" s="22">
        <v>11</v>
      </c>
      <c r="D19" s="52"/>
      <c r="E19" s="51"/>
      <c r="F19" s="53" t="str">
        <f>IF(AND(E19=""),"",(D24+(K12*(E19-E24))))</f>
        <v/>
      </c>
      <c r="G19" s="54" t="str">
        <f t="shared" ref="G19:G23" si="1">IFERROR((D19-F19)^2,"")</f>
        <v/>
      </c>
      <c r="H19" s="6"/>
      <c r="I19" s="32" t="s">
        <v>17</v>
      </c>
      <c r="J19" s="31"/>
      <c r="K19" s="7"/>
      <c r="L19" s="7"/>
      <c r="M19" s="7"/>
      <c r="N19" s="7"/>
      <c r="O19" s="7"/>
      <c r="Q19" s="47"/>
    </row>
    <row r="20" spans="1:17" x14ac:dyDescent="0.25">
      <c r="A20" s="10"/>
      <c r="B20" s="8"/>
      <c r="C20" s="22">
        <v>12</v>
      </c>
      <c r="D20" s="52"/>
      <c r="E20" s="51"/>
      <c r="F20" s="53" t="str">
        <f>IF(AND(E20=""),"",(D24+(K12*(E20-E24))))</f>
        <v/>
      </c>
      <c r="G20" s="54" t="str">
        <f t="shared" si="1"/>
        <v/>
      </c>
      <c r="H20" s="6"/>
      <c r="I20" s="7"/>
      <c r="J20" s="7"/>
      <c r="K20" s="7"/>
      <c r="L20" s="7"/>
      <c r="M20" s="7"/>
      <c r="N20" s="7"/>
      <c r="O20" s="7"/>
      <c r="Q20" s="47"/>
    </row>
    <row r="21" spans="1:17" x14ac:dyDescent="0.25">
      <c r="A21" s="10"/>
      <c r="B21" s="8"/>
      <c r="C21" s="22">
        <v>13</v>
      </c>
      <c r="D21" s="52"/>
      <c r="E21" s="51"/>
      <c r="F21" s="53" t="str">
        <f>IF(AND(E21=""),"",(D24+(K12*(E21-E24))))</f>
        <v/>
      </c>
      <c r="G21" s="54" t="str">
        <f t="shared" si="1"/>
        <v/>
      </c>
      <c r="H21" s="6"/>
      <c r="I21" s="7"/>
      <c r="J21" s="42" t="s">
        <v>9</v>
      </c>
      <c r="K21" s="30">
        <f>SQRT(G24/(B11-2))</f>
        <v>0</v>
      </c>
      <c r="L21" s="7"/>
      <c r="M21" s="7"/>
      <c r="N21" s="7"/>
      <c r="O21" s="7"/>
      <c r="Q21" s="47"/>
    </row>
    <row r="22" spans="1:17" x14ac:dyDescent="0.25">
      <c r="A22" s="10"/>
      <c r="B22" s="8"/>
      <c r="C22" s="22">
        <v>14</v>
      </c>
      <c r="D22" s="52"/>
      <c r="E22" s="51"/>
      <c r="F22" s="53" t="str">
        <f>IF(AND(E22=""),"",(D24+(K12*(E22-E24))))</f>
        <v/>
      </c>
      <c r="G22" s="54" t="str">
        <f t="shared" si="1"/>
        <v/>
      </c>
      <c r="H22" s="6"/>
      <c r="I22" s="7"/>
      <c r="J22" s="42" t="s">
        <v>11</v>
      </c>
      <c r="K22" s="30" t="str">
        <f>IFERROR(B9/B10,"")</f>
        <v/>
      </c>
      <c r="L22" s="7"/>
      <c r="M22" s="7"/>
      <c r="N22" s="7"/>
      <c r="O22" s="7"/>
      <c r="Q22" s="47"/>
    </row>
    <row r="23" spans="1:17" ht="15.75" x14ac:dyDescent="0.25">
      <c r="A23" s="10"/>
      <c r="B23" s="8"/>
      <c r="C23" s="22">
        <v>15</v>
      </c>
      <c r="D23" s="52"/>
      <c r="E23" s="51"/>
      <c r="F23" s="53" t="str">
        <f>IF(AND(E23=""),"",(D24+(K12*(E23-E24))))</f>
        <v/>
      </c>
      <c r="G23" s="54" t="str">
        <f t="shared" si="1"/>
        <v/>
      </c>
      <c r="H23" s="6"/>
      <c r="I23" s="7"/>
      <c r="J23" s="41" t="s">
        <v>12</v>
      </c>
      <c r="K23" s="55" t="str">
        <f>IFERROR(B10*(SQRT((K22^2)+(K21^2))),"")</f>
        <v/>
      </c>
      <c r="L23" s="7"/>
      <c r="M23" s="7"/>
      <c r="N23" s="7"/>
      <c r="O23" s="7"/>
      <c r="Q23" s="47"/>
    </row>
    <row r="24" spans="1:17" x14ac:dyDescent="0.25">
      <c r="A24" s="10"/>
      <c r="B24" s="8"/>
      <c r="C24" s="78"/>
      <c r="D24" s="23" t="str">
        <f>IFERROR(AVERAGE(D9:D23),"")</f>
        <v/>
      </c>
      <c r="E24" s="24" t="str">
        <f>IFERROR(AVERAGE(E9:E23),"")</f>
        <v/>
      </c>
      <c r="F24" s="76"/>
      <c r="G24" s="25">
        <f>SUM(G9:G18)</f>
        <v>0</v>
      </c>
      <c r="H24" s="6"/>
      <c r="I24" s="7"/>
      <c r="J24" s="7"/>
      <c r="K24" s="7"/>
      <c r="L24" s="7"/>
      <c r="M24" s="7"/>
      <c r="N24" s="7"/>
      <c r="O24" s="7"/>
      <c r="Q24" s="47"/>
    </row>
    <row r="25" spans="1:17" ht="15.75" customHeight="1" thickBot="1" x14ac:dyDescent="0.3">
      <c r="A25" s="10"/>
      <c r="B25" s="8"/>
      <c r="C25" s="79"/>
      <c r="D25" s="26" t="s">
        <v>2</v>
      </c>
      <c r="E25" s="27" t="s">
        <v>3</v>
      </c>
      <c r="F25" s="77"/>
      <c r="G25" s="48" t="s">
        <v>35</v>
      </c>
      <c r="H25" s="6"/>
      <c r="I25" s="36"/>
      <c r="J25" s="36"/>
      <c r="K25" s="36"/>
      <c r="L25" s="36"/>
      <c r="M25" s="36"/>
      <c r="N25" s="36"/>
      <c r="O25" s="36"/>
      <c r="P25" s="36"/>
      <c r="Q25" s="47"/>
    </row>
    <row r="26" spans="1:17" ht="15.75" thickBot="1" x14ac:dyDescent="0.3">
      <c r="A26" s="10"/>
      <c r="B26" s="8"/>
      <c r="H26" s="14"/>
      <c r="I26" s="36"/>
      <c r="J26" s="36"/>
      <c r="K26" s="36"/>
      <c r="L26" s="36"/>
      <c r="M26" s="36"/>
      <c r="N26" s="36"/>
      <c r="O26" s="36"/>
      <c r="P26" s="36"/>
      <c r="Q26" s="47"/>
    </row>
    <row r="27" spans="1:17" ht="15" customHeight="1" x14ac:dyDescent="0.25">
      <c r="A27" s="10"/>
      <c r="B27" s="8"/>
      <c r="D27" s="92" t="s">
        <v>36</v>
      </c>
      <c r="E27" s="93"/>
      <c r="F27" s="93"/>
      <c r="G27" s="93"/>
      <c r="H27" s="93"/>
      <c r="I27" s="93"/>
      <c r="J27" s="93"/>
      <c r="K27" s="93"/>
      <c r="L27" s="93"/>
      <c r="M27" s="93"/>
      <c r="N27" s="93"/>
      <c r="O27" s="93"/>
      <c r="P27" s="94"/>
      <c r="Q27" s="47"/>
    </row>
    <row r="28" spans="1:17" ht="4.5" customHeight="1" x14ac:dyDescent="0.25">
      <c r="A28" s="10"/>
      <c r="B28" s="8"/>
      <c r="C28" s="34"/>
      <c r="D28" s="95"/>
      <c r="E28" s="96"/>
      <c r="F28" s="96"/>
      <c r="G28" s="96"/>
      <c r="H28" s="96"/>
      <c r="I28" s="96"/>
      <c r="J28" s="96"/>
      <c r="K28" s="96"/>
      <c r="L28" s="96"/>
      <c r="M28" s="96"/>
      <c r="N28" s="96"/>
      <c r="O28" s="96"/>
      <c r="P28" s="97"/>
      <c r="Q28" s="47"/>
    </row>
    <row r="29" spans="1:17" x14ac:dyDescent="0.25">
      <c r="A29" s="10"/>
      <c r="B29" s="8"/>
      <c r="D29" s="95"/>
      <c r="E29" s="96"/>
      <c r="F29" s="96"/>
      <c r="G29" s="96"/>
      <c r="H29" s="96"/>
      <c r="I29" s="96"/>
      <c r="J29" s="96"/>
      <c r="K29" s="96"/>
      <c r="L29" s="96"/>
      <c r="M29" s="96"/>
      <c r="N29" s="96"/>
      <c r="O29" s="96"/>
      <c r="P29" s="97"/>
      <c r="Q29" s="47"/>
    </row>
    <row r="30" spans="1:17" x14ac:dyDescent="0.25">
      <c r="A30" s="10"/>
      <c r="B30" s="8"/>
      <c r="D30" s="95"/>
      <c r="E30" s="96"/>
      <c r="F30" s="96"/>
      <c r="G30" s="96"/>
      <c r="H30" s="96"/>
      <c r="I30" s="96"/>
      <c r="J30" s="96"/>
      <c r="K30" s="96"/>
      <c r="L30" s="96"/>
      <c r="M30" s="96"/>
      <c r="N30" s="96"/>
      <c r="O30" s="96"/>
      <c r="P30" s="97"/>
      <c r="Q30" s="47"/>
    </row>
    <row r="31" spans="1:17" x14ac:dyDescent="0.25">
      <c r="A31" s="10"/>
      <c r="B31" s="8"/>
      <c r="D31" s="95"/>
      <c r="E31" s="96"/>
      <c r="F31" s="96"/>
      <c r="G31" s="96"/>
      <c r="H31" s="96"/>
      <c r="I31" s="96"/>
      <c r="J31" s="96"/>
      <c r="K31" s="96"/>
      <c r="L31" s="96"/>
      <c r="M31" s="96"/>
      <c r="N31" s="96"/>
      <c r="O31" s="96"/>
      <c r="P31" s="97"/>
      <c r="Q31" s="47"/>
    </row>
    <row r="32" spans="1:17" x14ac:dyDescent="0.25">
      <c r="A32" s="10"/>
      <c r="B32" s="8"/>
      <c r="D32" s="95"/>
      <c r="E32" s="96"/>
      <c r="F32" s="96"/>
      <c r="G32" s="96"/>
      <c r="H32" s="96"/>
      <c r="I32" s="96"/>
      <c r="J32" s="96"/>
      <c r="K32" s="96"/>
      <c r="L32" s="96"/>
      <c r="M32" s="96"/>
      <c r="N32" s="96"/>
      <c r="O32" s="96"/>
      <c r="P32" s="97"/>
      <c r="Q32" s="47"/>
    </row>
    <row r="33" spans="1:18" x14ac:dyDescent="0.25">
      <c r="A33" s="10"/>
      <c r="B33" s="8"/>
      <c r="D33" s="95"/>
      <c r="E33" s="96"/>
      <c r="F33" s="96"/>
      <c r="G33" s="96"/>
      <c r="H33" s="96"/>
      <c r="I33" s="96"/>
      <c r="J33" s="96"/>
      <c r="K33" s="96"/>
      <c r="L33" s="96"/>
      <c r="M33" s="96"/>
      <c r="N33" s="96"/>
      <c r="O33" s="96"/>
      <c r="P33" s="97"/>
      <c r="Q33" s="47"/>
    </row>
    <row r="34" spans="1:18" ht="33.75" customHeight="1" x14ac:dyDescent="0.25">
      <c r="A34" s="11"/>
      <c r="B34" s="8"/>
      <c r="D34" s="95"/>
      <c r="E34" s="96"/>
      <c r="F34" s="96"/>
      <c r="G34" s="96"/>
      <c r="H34" s="96"/>
      <c r="I34" s="96"/>
      <c r="J34" s="96"/>
      <c r="K34" s="96"/>
      <c r="L34" s="96"/>
      <c r="M34" s="96"/>
      <c r="N34" s="96"/>
      <c r="O34" s="96"/>
      <c r="P34" s="97"/>
      <c r="Q34" s="47"/>
    </row>
    <row r="35" spans="1:18" ht="33" customHeight="1" thickBot="1" x14ac:dyDescent="0.3">
      <c r="A35" s="12"/>
      <c r="B35" s="13"/>
      <c r="C35" s="49"/>
      <c r="D35" s="98"/>
      <c r="E35" s="99"/>
      <c r="F35" s="99"/>
      <c r="G35" s="99"/>
      <c r="H35" s="99"/>
      <c r="I35" s="99"/>
      <c r="J35" s="99"/>
      <c r="K35" s="99"/>
      <c r="L35" s="99"/>
      <c r="M35" s="99"/>
      <c r="N35" s="99"/>
      <c r="O35" s="99"/>
      <c r="P35" s="100"/>
      <c r="Q35" s="50"/>
    </row>
    <row r="36" spans="1:18" s="37" customFormat="1" x14ac:dyDescent="0.25">
      <c r="A36" s="61" t="s">
        <v>31</v>
      </c>
      <c r="B36" s="62"/>
      <c r="C36" s="62"/>
      <c r="D36" s="62"/>
      <c r="E36" s="62"/>
      <c r="F36" s="62"/>
      <c r="G36" s="62"/>
      <c r="H36" s="62"/>
      <c r="I36" s="62"/>
      <c r="J36" s="62"/>
      <c r="K36" s="62"/>
      <c r="L36" s="62"/>
      <c r="M36" s="62"/>
      <c r="N36" s="62"/>
      <c r="O36" s="62"/>
      <c r="P36" s="62"/>
      <c r="Q36" s="63"/>
      <c r="R36" s="44"/>
    </row>
    <row r="37" spans="1:18" x14ac:dyDescent="0.25">
      <c r="A37" s="64" t="s">
        <v>4</v>
      </c>
      <c r="B37" s="65"/>
      <c r="C37" s="65"/>
      <c r="D37" s="65"/>
      <c r="E37" s="65"/>
      <c r="F37" s="65"/>
      <c r="G37" s="65"/>
      <c r="H37" s="65"/>
      <c r="I37" s="65"/>
      <c r="J37" s="65"/>
      <c r="K37" s="65"/>
      <c r="L37" s="65"/>
      <c r="M37" s="65"/>
      <c r="N37" s="65"/>
      <c r="O37" s="65"/>
      <c r="P37" s="65"/>
      <c r="Q37" s="66"/>
    </row>
    <row r="38" spans="1:18" x14ac:dyDescent="0.25">
      <c r="A38" s="64" t="s">
        <v>29</v>
      </c>
      <c r="B38" s="65"/>
      <c r="C38" s="65"/>
      <c r="D38" s="65"/>
      <c r="E38" s="65"/>
      <c r="F38" s="65"/>
      <c r="G38" s="65"/>
      <c r="H38" s="65"/>
      <c r="I38" s="65"/>
      <c r="J38" s="65"/>
      <c r="K38" s="65"/>
      <c r="L38" s="65"/>
      <c r="M38" s="65"/>
      <c r="N38" s="65"/>
      <c r="O38" s="65"/>
      <c r="P38" s="65"/>
      <c r="Q38" s="66"/>
    </row>
    <row r="39" spans="1:18" ht="27.75" customHeight="1" x14ac:dyDescent="0.25">
      <c r="A39" s="101" t="s">
        <v>30</v>
      </c>
      <c r="B39" s="65"/>
      <c r="C39" s="65"/>
      <c r="D39" s="65"/>
      <c r="E39" s="65"/>
      <c r="F39" s="65"/>
      <c r="G39" s="65"/>
      <c r="H39" s="65"/>
      <c r="I39" s="65"/>
      <c r="J39" s="65"/>
      <c r="K39" s="65"/>
      <c r="L39" s="65"/>
      <c r="M39" s="65"/>
      <c r="N39" s="65"/>
      <c r="O39" s="65"/>
      <c r="P39" s="65"/>
      <c r="Q39" s="66"/>
    </row>
    <row r="40" spans="1:18" ht="15.75" thickBot="1" x14ac:dyDescent="0.3">
      <c r="A40" s="67" t="s">
        <v>23</v>
      </c>
      <c r="B40" s="68"/>
      <c r="C40" s="68"/>
      <c r="D40" s="68"/>
      <c r="E40" s="68"/>
      <c r="F40" s="68"/>
      <c r="G40" s="68"/>
      <c r="H40" s="68"/>
      <c r="I40" s="68"/>
      <c r="J40" s="68"/>
      <c r="K40" s="68"/>
      <c r="L40" s="68"/>
      <c r="M40" s="68"/>
      <c r="N40" s="68"/>
      <c r="O40" s="68"/>
      <c r="P40" s="68"/>
      <c r="Q40" s="69"/>
    </row>
    <row r="42" spans="1:18" x14ac:dyDescent="0.25">
      <c r="A42" s="91" t="s">
        <v>37</v>
      </c>
      <c r="B42" s="91"/>
      <c r="C42" s="91"/>
      <c r="D42" s="91"/>
      <c r="E42" s="91"/>
      <c r="F42" s="91"/>
      <c r="G42" s="91"/>
      <c r="H42" s="91"/>
      <c r="I42" s="91"/>
      <c r="J42" s="91"/>
      <c r="K42" s="91"/>
      <c r="L42" s="91"/>
      <c r="M42" s="91"/>
      <c r="N42" s="91"/>
      <c r="O42" s="91"/>
      <c r="P42" s="91"/>
      <c r="Q42" s="91"/>
    </row>
    <row r="45" spans="1:18" x14ac:dyDescent="0.25">
      <c r="B45" s="15"/>
    </row>
  </sheetData>
  <sheetProtection algorithmName="SHA-512" hashValue="E54A48FA0ZjC1hN3ykPodLPxZHuwy/60oHzcJ52FTgbNUf6CjX6gMNfx+l5crIqAazinm6/LErbRAVesfMSjUg==" saltValue="d7E4VjnaVuFktZSTzfEg2A==" spinCount="100000" sheet="1" objects="1" scenarios="1"/>
  <mergeCells count="26">
    <mergeCell ref="A1:Q1"/>
    <mergeCell ref="F24:F25"/>
    <mergeCell ref="C24:C25"/>
    <mergeCell ref="I14:J14"/>
    <mergeCell ref="A5:D5"/>
    <mergeCell ref="E3:F3"/>
    <mergeCell ref="E4:F4"/>
    <mergeCell ref="A4:D4"/>
    <mergeCell ref="I12:J12"/>
    <mergeCell ref="I13:J13"/>
    <mergeCell ref="A7:E7"/>
    <mergeCell ref="A3:D3"/>
    <mergeCell ref="E5:F5"/>
    <mergeCell ref="H3:J3"/>
    <mergeCell ref="H4:J4"/>
    <mergeCell ref="K3:M3"/>
    <mergeCell ref="K4:M4"/>
    <mergeCell ref="I10:K10"/>
    <mergeCell ref="A42:Q42"/>
    <mergeCell ref="A36:Q36"/>
    <mergeCell ref="A37:Q37"/>
    <mergeCell ref="A38:Q38"/>
    <mergeCell ref="A39:Q39"/>
    <mergeCell ref="A40:Q40"/>
    <mergeCell ref="D27:P35"/>
    <mergeCell ref="F7:Q7"/>
  </mergeCells>
  <printOptions horizontalCentered="1" verticalCentered="1"/>
  <pageMargins left="0.51181102362204722" right="0.51181102362204722" top="0.78740157480314965" bottom="0.78740157480314965" header="0.31496062992125984" footer="0.31496062992125984"/>
  <pageSetup paperSize="9" scale="72" orientation="landscape" r:id="rId1"/>
  <headerFooter>
    <oddFooter>&amp;L&amp;"Arial,Normal"&amp;10FQ-07.56 (anexo ao PQ-07.03) - RA - revisão 02 de 19/09/24 - Página 1/1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FQ0756</vt:lpstr>
      <vt:lpstr>'FQ0756'!Area_de_impressao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Mary</dc:creator>
  <cp:lastModifiedBy>SGQ</cp:lastModifiedBy>
  <cp:lastPrinted>2024-09-18T12:48:19Z</cp:lastPrinted>
  <dcterms:created xsi:type="dcterms:W3CDTF">2021-06-25T12:21:13Z</dcterms:created>
  <dcterms:modified xsi:type="dcterms:W3CDTF">2024-09-18T12:51:19Z</dcterms:modified>
</cp:coreProperties>
</file>