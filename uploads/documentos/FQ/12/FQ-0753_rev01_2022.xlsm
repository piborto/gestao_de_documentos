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192.168.89.2\qualidadeRA-21\Novos Documentos RA-133\Aprovados\2022\E 27 04 22\"/>
    </mc:Choice>
  </mc:AlternateContent>
  <xr:revisionPtr revIDLastSave="0" documentId="13_ncr:1_{FBCEE46F-CE40-4314-897D-47351A5A9B97}" xr6:coauthVersionLast="45" xr6:coauthVersionMax="45" xr10:uidLastSave="{00000000-0000-0000-0000-000000000000}"/>
  <bookViews>
    <workbookView xWindow="-120" yWindow="-120" windowWidth="19440" windowHeight="11160" tabRatio="534" firstSheet="1" activeTab="1" xr2:uid="{00000000-000D-0000-FFFF-FFFF00000000}"/>
  </bookViews>
  <sheets>
    <sheet name="IND.ESTRATÉGICOSjan.dez.2013" sheetId="5" state="hidden" r:id="rId1"/>
    <sheet name="Página 01" sheetId="6" r:id="rId2"/>
    <sheet name="Página 02_Fale Conosco" sheetId="7" r:id="rId3"/>
    <sheet name="Página 03_Ouvidoria" sheetId="8" r:id="rId4"/>
    <sheet name="Página 04_SIC" sheetId="9" r:id="rId5"/>
  </sheets>
  <definedNames>
    <definedName name="_xlnm.Print_Area" localSheetId="0">'IND.ESTRATÉGICOSjan.dez.2013'!$A$1:$AS$50</definedName>
    <definedName name="_xlnm.Print_Area" localSheetId="1">'Página 01'!$A$1:$N$468</definedName>
    <definedName name="_xlnm.Print_Area" localSheetId="2">'Página 02_Fale Conosco'!$A$1:$N$42</definedName>
    <definedName name="_xlnm.Print_Area" localSheetId="3">'Página 03_Ouvidoria'!$A$1:$N$42</definedName>
    <definedName name="_xlnm.Print_Area" localSheetId="4">'Página 04_SIC'!$A$1:$N$42</definedName>
    <definedName name="_xlnm.Print_Titles" localSheetId="1">'Página 01'!$1:$3</definedName>
    <definedName name="Z_2901D317_5E92_401A_86B1_97347976552B_.wvu.PrintArea" localSheetId="0" hidden="1">'IND.ESTRATÉGICOSjan.dez.2013'!$A$1:$AS$45</definedName>
    <definedName name="Z_2901D317_5E92_401A_86B1_97347976552B_.wvu.PrintArea" localSheetId="1" hidden="1">'Página 01'!$A$1:$V$471</definedName>
  </definedNames>
  <calcPr calcId="181029"/>
  <customWorkbookViews>
    <customWorkbookView name="Yone - Modo de exibição pessoal" guid="{2901D317-5E92-401A-86B1-97347976552B}" mergeInterval="0" personalView="1" maximized="1" windowWidth="796" windowHeight="411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7" i="9" l="1"/>
  <c r="L27" i="9"/>
  <c r="K27" i="9"/>
  <c r="J27" i="9"/>
  <c r="J40" i="9" s="1"/>
  <c r="I27" i="9"/>
  <c r="H27" i="9"/>
  <c r="G27" i="9"/>
  <c r="F27" i="9"/>
  <c r="E27" i="9"/>
  <c r="D27" i="9"/>
  <c r="C27" i="9"/>
  <c r="B27" i="9"/>
  <c r="M26" i="9"/>
  <c r="L26" i="9"/>
  <c r="K26" i="9"/>
  <c r="J26" i="9"/>
  <c r="I26" i="9"/>
  <c r="H26" i="9"/>
  <c r="G26" i="9"/>
  <c r="F26" i="9"/>
  <c r="F39" i="9" s="1"/>
  <c r="E26" i="9"/>
  <c r="D26" i="9"/>
  <c r="C26" i="9"/>
  <c r="B26" i="9"/>
  <c r="M25" i="9"/>
  <c r="L25" i="9"/>
  <c r="K25" i="9"/>
  <c r="J25" i="9"/>
  <c r="J38" i="9" s="1"/>
  <c r="I25" i="9"/>
  <c r="H25" i="9"/>
  <c r="G25" i="9"/>
  <c r="F25" i="9"/>
  <c r="E25" i="9"/>
  <c r="D25" i="9"/>
  <c r="C25" i="9"/>
  <c r="B25" i="9"/>
  <c r="M24" i="9"/>
  <c r="L24" i="9"/>
  <c r="K24" i="9"/>
  <c r="J24" i="9"/>
  <c r="I24" i="9"/>
  <c r="H24" i="9"/>
  <c r="G24" i="9"/>
  <c r="F24" i="9"/>
  <c r="E24" i="9"/>
  <c r="D24" i="9"/>
  <c r="C24" i="9"/>
  <c r="B24" i="9"/>
  <c r="M23" i="9"/>
  <c r="L23" i="9"/>
  <c r="K23" i="9"/>
  <c r="J23" i="9"/>
  <c r="I23" i="9"/>
  <c r="H23" i="9"/>
  <c r="G23" i="9"/>
  <c r="F23" i="9"/>
  <c r="E23" i="9"/>
  <c r="D23" i="9"/>
  <c r="C23" i="9"/>
  <c r="B23" i="9"/>
  <c r="B36" i="9" s="1"/>
  <c r="M22" i="9"/>
  <c r="L22" i="9"/>
  <c r="K22" i="9"/>
  <c r="J22" i="9"/>
  <c r="I22" i="9"/>
  <c r="H22" i="9"/>
  <c r="G22" i="9"/>
  <c r="F22" i="9"/>
  <c r="F35" i="9" s="1"/>
  <c r="E22" i="9"/>
  <c r="D22" i="9"/>
  <c r="C22" i="9"/>
  <c r="B22" i="9"/>
  <c r="M21" i="9"/>
  <c r="L21" i="9"/>
  <c r="K21" i="9"/>
  <c r="J21" i="9"/>
  <c r="I21" i="9"/>
  <c r="H21" i="9"/>
  <c r="G21" i="9"/>
  <c r="F21" i="9"/>
  <c r="E21" i="9"/>
  <c r="D21" i="9"/>
  <c r="C21" i="9"/>
  <c r="B21" i="9"/>
  <c r="M20" i="9"/>
  <c r="L20" i="9"/>
  <c r="K20" i="9"/>
  <c r="J20" i="9"/>
  <c r="I20" i="9"/>
  <c r="H20" i="9"/>
  <c r="G20" i="9"/>
  <c r="F20" i="9"/>
  <c r="E20" i="9"/>
  <c r="D20" i="9"/>
  <c r="C20" i="9"/>
  <c r="C28" i="9" s="1"/>
  <c r="B20" i="9"/>
  <c r="M14" i="9"/>
  <c r="L14" i="9"/>
  <c r="K14" i="9"/>
  <c r="J14" i="9"/>
  <c r="I14" i="9"/>
  <c r="H14" i="9"/>
  <c r="H40" i="9" s="1"/>
  <c r="G14" i="9"/>
  <c r="F14" i="9"/>
  <c r="E14" i="9"/>
  <c r="E40" i="9" s="1"/>
  <c r="D14" i="9"/>
  <c r="D40" i="9" s="1"/>
  <c r="C14" i="9"/>
  <c r="B14" i="9"/>
  <c r="M13" i="9"/>
  <c r="L13" i="9"/>
  <c r="L39" i="9" s="1"/>
  <c r="K13" i="9"/>
  <c r="J13" i="9"/>
  <c r="I13" i="9"/>
  <c r="I39" i="9" s="1"/>
  <c r="H13" i="9"/>
  <c r="H39" i="9" s="1"/>
  <c r="G13" i="9"/>
  <c r="F13" i="9"/>
  <c r="E13" i="9"/>
  <c r="D13" i="9"/>
  <c r="C13" i="9"/>
  <c r="B13" i="9"/>
  <c r="M12" i="9"/>
  <c r="M38" i="9" s="1"/>
  <c r="L12" i="9"/>
  <c r="L38" i="9" s="1"/>
  <c r="K12" i="9"/>
  <c r="J12" i="9"/>
  <c r="I12" i="9"/>
  <c r="H12" i="9"/>
  <c r="G12" i="9"/>
  <c r="F12" i="9"/>
  <c r="E12" i="9"/>
  <c r="D12" i="9"/>
  <c r="D38" i="9" s="1"/>
  <c r="C12" i="9"/>
  <c r="B12" i="9"/>
  <c r="M11" i="9"/>
  <c r="M37" i="9" s="1"/>
  <c r="L11" i="9"/>
  <c r="K11" i="9"/>
  <c r="J11" i="9"/>
  <c r="I11" i="9"/>
  <c r="H11" i="9"/>
  <c r="H37" i="9" s="1"/>
  <c r="G11" i="9"/>
  <c r="F11" i="9"/>
  <c r="E11" i="9"/>
  <c r="D11" i="9"/>
  <c r="C11" i="9"/>
  <c r="B11" i="9"/>
  <c r="M10" i="9"/>
  <c r="L10" i="9"/>
  <c r="L36" i="9" s="1"/>
  <c r="K10" i="9"/>
  <c r="J10" i="9"/>
  <c r="I10" i="9"/>
  <c r="H10" i="9"/>
  <c r="G10" i="9"/>
  <c r="G36" i="9" s="1"/>
  <c r="F10" i="9"/>
  <c r="E10" i="9"/>
  <c r="D10" i="9"/>
  <c r="D36" i="9" s="1"/>
  <c r="C10" i="9"/>
  <c r="B10" i="9"/>
  <c r="M9" i="9"/>
  <c r="M35" i="9" s="1"/>
  <c r="L9" i="9"/>
  <c r="K9" i="9"/>
  <c r="J9" i="9"/>
  <c r="I9" i="9"/>
  <c r="H9" i="9"/>
  <c r="G9" i="9"/>
  <c r="F9" i="9"/>
  <c r="E9" i="9"/>
  <c r="E35" i="9" s="1"/>
  <c r="D9" i="9"/>
  <c r="C9" i="9"/>
  <c r="B9" i="9"/>
  <c r="M8" i="9"/>
  <c r="L8" i="9"/>
  <c r="K8" i="9"/>
  <c r="J8" i="9"/>
  <c r="I8" i="9"/>
  <c r="I34" i="9" s="1"/>
  <c r="H8" i="9"/>
  <c r="G8" i="9"/>
  <c r="F8" i="9"/>
  <c r="E8" i="9"/>
  <c r="D8" i="9"/>
  <c r="C8" i="9"/>
  <c r="B8" i="9"/>
  <c r="M7" i="9"/>
  <c r="L7" i="9"/>
  <c r="L33" i="9" s="1"/>
  <c r="K7" i="9"/>
  <c r="K15" i="9" s="1"/>
  <c r="J7" i="9"/>
  <c r="J15" i="9" s="1"/>
  <c r="I7" i="9"/>
  <c r="I15" i="9" s="1"/>
  <c r="H7" i="9"/>
  <c r="G7" i="9"/>
  <c r="F7" i="9"/>
  <c r="F33" i="9" s="1"/>
  <c r="E7" i="9"/>
  <c r="E33" i="9" s="1"/>
  <c r="D7" i="9"/>
  <c r="C7" i="9"/>
  <c r="C15" i="9" s="1"/>
  <c r="B7" i="9"/>
  <c r="B15" i="9" s="1"/>
  <c r="M40" i="9"/>
  <c r="L40" i="9"/>
  <c r="I40" i="9"/>
  <c r="C40" i="9"/>
  <c r="B40" i="9"/>
  <c r="M39" i="9"/>
  <c r="G39" i="9"/>
  <c r="E39" i="9"/>
  <c r="C39" i="9"/>
  <c r="K38" i="9"/>
  <c r="I38" i="9"/>
  <c r="G38" i="9"/>
  <c r="C38" i="9"/>
  <c r="G37" i="9"/>
  <c r="F37" i="9"/>
  <c r="E37" i="9"/>
  <c r="D37" i="9"/>
  <c r="K36" i="9"/>
  <c r="J36" i="9"/>
  <c r="I36" i="9"/>
  <c r="C36" i="9"/>
  <c r="G35" i="9"/>
  <c r="C35" i="9"/>
  <c r="K34" i="9"/>
  <c r="J34" i="9"/>
  <c r="C34" i="9"/>
  <c r="M33" i="9"/>
  <c r="G28" i="9"/>
  <c r="A2" i="9"/>
  <c r="D35" i="9" l="1"/>
  <c r="H36" i="9"/>
  <c r="H38" i="9"/>
  <c r="D39" i="9"/>
  <c r="F15" i="9"/>
  <c r="H15" i="9"/>
  <c r="G34" i="9"/>
  <c r="K35" i="9"/>
  <c r="C37" i="9"/>
  <c r="K37" i="9"/>
  <c r="K39" i="9"/>
  <c r="G40" i="9"/>
  <c r="D33" i="9"/>
  <c r="H34" i="9"/>
  <c r="L35" i="9"/>
  <c r="L37" i="9"/>
  <c r="D15" i="9"/>
  <c r="L15" i="9"/>
  <c r="J33" i="9"/>
  <c r="J35" i="9"/>
  <c r="F38" i="9"/>
  <c r="F34" i="9"/>
  <c r="B37" i="9"/>
  <c r="B39" i="9"/>
  <c r="B35" i="9"/>
  <c r="J37" i="9"/>
  <c r="J39" i="9"/>
  <c r="H35" i="9"/>
  <c r="B33" i="9"/>
  <c r="F36" i="9"/>
  <c r="F40" i="9"/>
  <c r="M15" i="9"/>
  <c r="G15" i="9"/>
  <c r="G41" i="9" s="1"/>
  <c r="N12" i="9"/>
  <c r="I33" i="9"/>
  <c r="E34" i="9"/>
  <c r="M34" i="9"/>
  <c r="I35" i="9"/>
  <c r="E36" i="9"/>
  <c r="M36" i="9"/>
  <c r="I37" i="9"/>
  <c r="E38" i="9"/>
  <c r="N9" i="9"/>
  <c r="N11" i="9"/>
  <c r="N13" i="9"/>
  <c r="D34" i="9"/>
  <c r="L34" i="9"/>
  <c r="N8" i="9"/>
  <c r="N34" i="9" s="1"/>
  <c r="H33" i="9"/>
  <c r="E15" i="9"/>
  <c r="N10" i="9"/>
  <c r="N14" i="9"/>
  <c r="N21" i="9"/>
  <c r="N25" i="9"/>
  <c r="K28" i="9"/>
  <c r="K41" i="9" s="1"/>
  <c r="K40" i="9"/>
  <c r="C41" i="9"/>
  <c r="N22" i="9"/>
  <c r="N26" i="9"/>
  <c r="D28" i="9"/>
  <c r="H28" i="9"/>
  <c r="H41" i="9" s="1"/>
  <c r="L28" i="9"/>
  <c r="C33" i="9"/>
  <c r="G33" i="9"/>
  <c r="K33" i="9"/>
  <c r="B34" i="9"/>
  <c r="B38" i="9"/>
  <c r="N7" i="9"/>
  <c r="N23" i="9"/>
  <c r="N27" i="9"/>
  <c r="E28" i="9"/>
  <c r="I28" i="9"/>
  <c r="I41" i="9" s="1"/>
  <c r="M28" i="9"/>
  <c r="N20" i="9"/>
  <c r="N24" i="9"/>
  <c r="B28" i="9"/>
  <c r="B41" i="9" s="1"/>
  <c r="F28" i="9"/>
  <c r="F41" i="9" s="1"/>
  <c r="J28" i="9"/>
  <c r="J41" i="9" s="1"/>
  <c r="L5" i="6"/>
  <c r="M5" i="6"/>
  <c r="L6" i="6"/>
  <c r="M6" i="6"/>
  <c r="L7" i="6"/>
  <c r="M7" i="6"/>
  <c r="L8" i="6"/>
  <c r="M8" i="6"/>
  <c r="L9" i="6"/>
  <c r="M9" i="6"/>
  <c r="L10" i="6"/>
  <c r="M10" i="6"/>
  <c r="L11" i="6"/>
  <c r="M11" i="6"/>
  <c r="L12" i="6"/>
  <c r="M12" i="6"/>
  <c r="L13" i="6"/>
  <c r="M13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L63" i="6"/>
  <c r="M63" i="6"/>
  <c r="L64" i="6"/>
  <c r="M64" i="6"/>
  <c r="L65" i="6"/>
  <c r="M65" i="6"/>
  <c r="L66" i="6"/>
  <c r="M66" i="6"/>
  <c r="L67" i="6"/>
  <c r="M67" i="6"/>
  <c r="L68" i="6"/>
  <c r="M68" i="6"/>
  <c r="L69" i="6"/>
  <c r="M69" i="6"/>
  <c r="L70" i="6"/>
  <c r="M70" i="6"/>
  <c r="L71" i="6"/>
  <c r="M71" i="6"/>
  <c r="L72" i="6"/>
  <c r="M72" i="6"/>
  <c r="L73" i="6"/>
  <c r="M73" i="6"/>
  <c r="L74" i="6"/>
  <c r="M74" i="6"/>
  <c r="L75" i="6"/>
  <c r="M75" i="6"/>
  <c r="L76" i="6"/>
  <c r="M76" i="6"/>
  <c r="L77" i="6"/>
  <c r="M77" i="6"/>
  <c r="L78" i="6"/>
  <c r="M78" i="6"/>
  <c r="L79" i="6"/>
  <c r="M79" i="6"/>
  <c r="L80" i="6"/>
  <c r="M80" i="6"/>
  <c r="L81" i="6"/>
  <c r="M81" i="6"/>
  <c r="L82" i="6"/>
  <c r="M82" i="6"/>
  <c r="L83" i="6"/>
  <c r="M83" i="6"/>
  <c r="L84" i="6"/>
  <c r="M84" i="6"/>
  <c r="L85" i="6"/>
  <c r="M85" i="6"/>
  <c r="L86" i="6"/>
  <c r="M86" i="6"/>
  <c r="L87" i="6"/>
  <c r="M87" i="6"/>
  <c r="L88" i="6"/>
  <c r="M88" i="6"/>
  <c r="L89" i="6"/>
  <c r="M89" i="6"/>
  <c r="L90" i="6"/>
  <c r="M90" i="6"/>
  <c r="L91" i="6"/>
  <c r="M91" i="6"/>
  <c r="L92" i="6"/>
  <c r="M92" i="6"/>
  <c r="L93" i="6"/>
  <c r="M93" i="6"/>
  <c r="L94" i="6"/>
  <c r="M94" i="6"/>
  <c r="L95" i="6"/>
  <c r="M95" i="6"/>
  <c r="O5" i="6"/>
  <c r="N5" i="6" s="1"/>
  <c r="P5" i="6"/>
  <c r="Q5" i="6"/>
  <c r="O6" i="6"/>
  <c r="N6" i="6" s="1"/>
  <c r="P6" i="6"/>
  <c r="Q6" i="6"/>
  <c r="O7" i="6"/>
  <c r="N7" i="6" s="1"/>
  <c r="P7" i="6"/>
  <c r="Q7" i="6"/>
  <c r="O8" i="6"/>
  <c r="N8" i="6" s="1"/>
  <c r="P8" i="6"/>
  <c r="Q8" i="6"/>
  <c r="O9" i="6"/>
  <c r="N9" i="6" s="1"/>
  <c r="P9" i="6"/>
  <c r="Q9" i="6"/>
  <c r="O10" i="6"/>
  <c r="N10" i="6" s="1"/>
  <c r="P10" i="6"/>
  <c r="Q10" i="6"/>
  <c r="O11" i="6"/>
  <c r="N11" i="6" s="1"/>
  <c r="P11" i="6"/>
  <c r="Q11" i="6"/>
  <c r="O12" i="6"/>
  <c r="N12" i="6" s="1"/>
  <c r="P12" i="6"/>
  <c r="Q12" i="6"/>
  <c r="O13" i="6"/>
  <c r="N13" i="6" s="1"/>
  <c r="P13" i="6"/>
  <c r="Q13" i="6"/>
  <c r="O14" i="6"/>
  <c r="N14" i="6" s="1"/>
  <c r="P14" i="6"/>
  <c r="Q14" i="6"/>
  <c r="O15" i="6"/>
  <c r="N15" i="6" s="1"/>
  <c r="P15" i="6"/>
  <c r="Q15" i="6"/>
  <c r="O16" i="6"/>
  <c r="N16" i="6" s="1"/>
  <c r="P16" i="6"/>
  <c r="Q16" i="6"/>
  <c r="O17" i="6"/>
  <c r="N17" i="6" s="1"/>
  <c r="P17" i="6"/>
  <c r="Q17" i="6"/>
  <c r="O18" i="6"/>
  <c r="N18" i="6" s="1"/>
  <c r="P18" i="6"/>
  <c r="Q18" i="6"/>
  <c r="O19" i="6"/>
  <c r="N19" i="6" s="1"/>
  <c r="P19" i="6"/>
  <c r="Q19" i="6"/>
  <c r="O20" i="6"/>
  <c r="N20" i="6" s="1"/>
  <c r="P20" i="6"/>
  <c r="Q20" i="6"/>
  <c r="O21" i="6"/>
  <c r="N21" i="6" s="1"/>
  <c r="P21" i="6"/>
  <c r="Q21" i="6"/>
  <c r="O22" i="6"/>
  <c r="N22" i="6" s="1"/>
  <c r="P22" i="6"/>
  <c r="Q22" i="6"/>
  <c r="O23" i="6"/>
  <c r="N23" i="6" s="1"/>
  <c r="P23" i="6"/>
  <c r="Q23" i="6"/>
  <c r="O24" i="6"/>
  <c r="N24" i="6" s="1"/>
  <c r="P24" i="6"/>
  <c r="Q24" i="6"/>
  <c r="O25" i="6"/>
  <c r="N25" i="6" s="1"/>
  <c r="P25" i="6"/>
  <c r="Q25" i="6"/>
  <c r="O26" i="6"/>
  <c r="N26" i="6" s="1"/>
  <c r="P26" i="6"/>
  <c r="Q26" i="6"/>
  <c r="O27" i="6"/>
  <c r="N27" i="6" s="1"/>
  <c r="P27" i="6"/>
  <c r="Q27" i="6"/>
  <c r="O28" i="6"/>
  <c r="N28" i="6" s="1"/>
  <c r="P28" i="6"/>
  <c r="Q28" i="6"/>
  <c r="O29" i="6"/>
  <c r="N29" i="6" s="1"/>
  <c r="P29" i="6"/>
  <c r="Q29" i="6"/>
  <c r="O30" i="6"/>
  <c r="N30" i="6" s="1"/>
  <c r="P30" i="6"/>
  <c r="Q30" i="6"/>
  <c r="O31" i="6"/>
  <c r="N31" i="6" s="1"/>
  <c r="P31" i="6"/>
  <c r="Q31" i="6"/>
  <c r="O32" i="6"/>
  <c r="N32" i="6" s="1"/>
  <c r="P32" i="6"/>
  <c r="Q32" i="6"/>
  <c r="O33" i="6"/>
  <c r="N33" i="6" s="1"/>
  <c r="P33" i="6"/>
  <c r="Q33" i="6"/>
  <c r="O34" i="6"/>
  <c r="N34" i="6" s="1"/>
  <c r="P34" i="6"/>
  <c r="Q34" i="6"/>
  <c r="O35" i="6"/>
  <c r="N35" i="6" s="1"/>
  <c r="P35" i="6"/>
  <c r="Q35" i="6"/>
  <c r="O36" i="6"/>
  <c r="N36" i="6" s="1"/>
  <c r="P36" i="6"/>
  <c r="Q36" i="6"/>
  <c r="O37" i="6"/>
  <c r="N37" i="6" s="1"/>
  <c r="P37" i="6"/>
  <c r="Q37" i="6"/>
  <c r="O38" i="6"/>
  <c r="N38" i="6" s="1"/>
  <c r="P38" i="6"/>
  <c r="Q38" i="6"/>
  <c r="O39" i="6"/>
  <c r="N39" i="6" s="1"/>
  <c r="P39" i="6"/>
  <c r="Q39" i="6"/>
  <c r="O40" i="6"/>
  <c r="N40" i="6" s="1"/>
  <c r="P40" i="6"/>
  <c r="Q40" i="6"/>
  <c r="O41" i="6"/>
  <c r="N41" i="6" s="1"/>
  <c r="P41" i="6"/>
  <c r="Q41" i="6"/>
  <c r="O42" i="6"/>
  <c r="N42" i="6" s="1"/>
  <c r="P42" i="6"/>
  <c r="Q42" i="6"/>
  <c r="O43" i="6"/>
  <c r="N43" i="6" s="1"/>
  <c r="P43" i="6"/>
  <c r="Q43" i="6"/>
  <c r="O44" i="6"/>
  <c r="N44" i="6" s="1"/>
  <c r="P44" i="6"/>
  <c r="Q44" i="6"/>
  <c r="O45" i="6"/>
  <c r="N45" i="6" s="1"/>
  <c r="P45" i="6"/>
  <c r="Q45" i="6"/>
  <c r="O46" i="6"/>
  <c r="N46" i="6" s="1"/>
  <c r="P46" i="6"/>
  <c r="Q46" i="6"/>
  <c r="O47" i="6"/>
  <c r="N47" i="6" s="1"/>
  <c r="P47" i="6"/>
  <c r="Q47" i="6"/>
  <c r="O48" i="6"/>
  <c r="N48" i="6" s="1"/>
  <c r="P48" i="6"/>
  <c r="Q48" i="6"/>
  <c r="O49" i="6"/>
  <c r="N49" i="6" s="1"/>
  <c r="P49" i="6"/>
  <c r="Q49" i="6"/>
  <c r="O50" i="6"/>
  <c r="N50" i="6" s="1"/>
  <c r="P50" i="6"/>
  <c r="Q50" i="6"/>
  <c r="O51" i="6"/>
  <c r="N51" i="6" s="1"/>
  <c r="P51" i="6"/>
  <c r="Q51" i="6"/>
  <c r="O52" i="6"/>
  <c r="N52" i="6" s="1"/>
  <c r="P52" i="6"/>
  <c r="Q52" i="6"/>
  <c r="O53" i="6"/>
  <c r="N53" i="6" s="1"/>
  <c r="P53" i="6"/>
  <c r="Q53" i="6"/>
  <c r="O54" i="6"/>
  <c r="N54" i="6" s="1"/>
  <c r="P54" i="6"/>
  <c r="Q54" i="6"/>
  <c r="O55" i="6"/>
  <c r="N55" i="6" s="1"/>
  <c r="P55" i="6"/>
  <c r="Q55" i="6"/>
  <c r="O56" i="6"/>
  <c r="N56" i="6" s="1"/>
  <c r="P56" i="6"/>
  <c r="Q56" i="6"/>
  <c r="O57" i="6"/>
  <c r="N57" i="6" s="1"/>
  <c r="P57" i="6"/>
  <c r="Q57" i="6"/>
  <c r="O58" i="6"/>
  <c r="N58" i="6" s="1"/>
  <c r="P58" i="6"/>
  <c r="Q58" i="6"/>
  <c r="O59" i="6"/>
  <c r="N59" i="6" s="1"/>
  <c r="P59" i="6"/>
  <c r="Q59" i="6"/>
  <c r="O60" i="6"/>
  <c r="N60" i="6" s="1"/>
  <c r="P60" i="6"/>
  <c r="Q60" i="6"/>
  <c r="O61" i="6"/>
  <c r="N61" i="6" s="1"/>
  <c r="P61" i="6"/>
  <c r="Q61" i="6"/>
  <c r="O62" i="6"/>
  <c r="N62" i="6" s="1"/>
  <c r="P62" i="6"/>
  <c r="Q62" i="6"/>
  <c r="O63" i="6"/>
  <c r="N63" i="6" s="1"/>
  <c r="P63" i="6"/>
  <c r="Q63" i="6"/>
  <c r="O64" i="6"/>
  <c r="N64" i="6" s="1"/>
  <c r="P64" i="6"/>
  <c r="Q64" i="6"/>
  <c r="O65" i="6"/>
  <c r="N65" i="6" s="1"/>
  <c r="P65" i="6"/>
  <c r="Q65" i="6"/>
  <c r="O66" i="6"/>
  <c r="N66" i="6" s="1"/>
  <c r="P66" i="6"/>
  <c r="Q66" i="6"/>
  <c r="O67" i="6"/>
  <c r="N67" i="6" s="1"/>
  <c r="P67" i="6"/>
  <c r="Q67" i="6"/>
  <c r="O68" i="6"/>
  <c r="N68" i="6" s="1"/>
  <c r="P68" i="6"/>
  <c r="Q68" i="6"/>
  <c r="O69" i="6"/>
  <c r="N69" i="6" s="1"/>
  <c r="P69" i="6"/>
  <c r="Q69" i="6"/>
  <c r="O70" i="6"/>
  <c r="N70" i="6" s="1"/>
  <c r="P70" i="6"/>
  <c r="Q70" i="6"/>
  <c r="O71" i="6"/>
  <c r="N71" i="6" s="1"/>
  <c r="P71" i="6"/>
  <c r="Q71" i="6"/>
  <c r="O72" i="6"/>
  <c r="N72" i="6" s="1"/>
  <c r="P72" i="6"/>
  <c r="Q72" i="6"/>
  <c r="O73" i="6"/>
  <c r="N73" i="6" s="1"/>
  <c r="P73" i="6"/>
  <c r="Q73" i="6"/>
  <c r="O74" i="6"/>
  <c r="N74" i="6" s="1"/>
  <c r="P74" i="6"/>
  <c r="Q74" i="6"/>
  <c r="O75" i="6"/>
  <c r="N75" i="6" s="1"/>
  <c r="P75" i="6"/>
  <c r="Q75" i="6"/>
  <c r="O76" i="6"/>
  <c r="N76" i="6" s="1"/>
  <c r="P76" i="6"/>
  <c r="Q76" i="6"/>
  <c r="O77" i="6"/>
  <c r="N77" i="6" s="1"/>
  <c r="P77" i="6"/>
  <c r="Q77" i="6"/>
  <c r="O78" i="6"/>
  <c r="N78" i="6" s="1"/>
  <c r="P78" i="6"/>
  <c r="Q78" i="6"/>
  <c r="O79" i="6"/>
  <c r="N79" i="6" s="1"/>
  <c r="P79" i="6"/>
  <c r="Q79" i="6"/>
  <c r="O80" i="6"/>
  <c r="N80" i="6" s="1"/>
  <c r="P80" i="6"/>
  <c r="Q80" i="6"/>
  <c r="O81" i="6"/>
  <c r="N81" i="6" s="1"/>
  <c r="P81" i="6"/>
  <c r="Q81" i="6"/>
  <c r="O82" i="6"/>
  <c r="N82" i="6" s="1"/>
  <c r="P82" i="6"/>
  <c r="Q82" i="6"/>
  <c r="O83" i="6"/>
  <c r="N83" i="6" s="1"/>
  <c r="P83" i="6"/>
  <c r="Q83" i="6"/>
  <c r="O84" i="6"/>
  <c r="N84" i="6" s="1"/>
  <c r="P84" i="6"/>
  <c r="Q84" i="6"/>
  <c r="O85" i="6"/>
  <c r="N85" i="6" s="1"/>
  <c r="P85" i="6"/>
  <c r="Q85" i="6"/>
  <c r="O86" i="6"/>
  <c r="N86" i="6" s="1"/>
  <c r="P86" i="6"/>
  <c r="Q86" i="6"/>
  <c r="O87" i="6"/>
  <c r="N87" i="6" s="1"/>
  <c r="P87" i="6"/>
  <c r="Q87" i="6"/>
  <c r="O88" i="6"/>
  <c r="N88" i="6" s="1"/>
  <c r="P88" i="6"/>
  <c r="Q88" i="6"/>
  <c r="O89" i="6"/>
  <c r="N89" i="6" s="1"/>
  <c r="P89" i="6"/>
  <c r="Q89" i="6"/>
  <c r="O90" i="6"/>
  <c r="N90" i="6" s="1"/>
  <c r="P90" i="6"/>
  <c r="Q90" i="6"/>
  <c r="O91" i="6"/>
  <c r="N91" i="6" s="1"/>
  <c r="P91" i="6"/>
  <c r="Q91" i="6"/>
  <c r="O92" i="6"/>
  <c r="N92" i="6" s="1"/>
  <c r="P92" i="6"/>
  <c r="Q92" i="6"/>
  <c r="O93" i="6"/>
  <c r="N93" i="6" s="1"/>
  <c r="P93" i="6"/>
  <c r="Q93" i="6"/>
  <c r="O94" i="6"/>
  <c r="N94" i="6" s="1"/>
  <c r="P94" i="6"/>
  <c r="Q94" i="6"/>
  <c r="O95" i="6"/>
  <c r="N95" i="6" s="1"/>
  <c r="P95" i="6"/>
  <c r="Q95" i="6"/>
  <c r="O96" i="6"/>
  <c r="P96" i="6"/>
  <c r="Q96" i="6"/>
  <c r="O97" i="6"/>
  <c r="P97" i="6"/>
  <c r="Q97" i="6"/>
  <c r="O98" i="6"/>
  <c r="P98" i="6"/>
  <c r="Q98" i="6"/>
  <c r="O99" i="6"/>
  <c r="P99" i="6"/>
  <c r="Q99" i="6"/>
  <c r="O100" i="6"/>
  <c r="P100" i="6"/>
  <c r="Q100" i="6"/>
  <c r="O101" i="6"/>
  <c r="P101" i="6"/>
  <c r="Q101" i="6"/>
  <c r="O102" i="6"/>
  <c r="P102" i="6"/>
  <c r="Q102" i="6"/>
  <c r="O103" i="6"/>
  <c r="P103" i="6"/>
  <c r="Q103" i="6"/>
  <c r="O104" i="6"/>
  <c r="P104" i="6"/>
  <c r="Q104" i="6"/>
  <c r="O105" i="6"/>
  <c r="P105" i="6"/>
  <c r="Q105" i="6"/>
  <c r="O106" i="6"/>
  <c r="P106" i="6"/>
  <c r="Q106" i="6"/>
  <c r="O107" i="6"/>
  <c r="P107" i="6"/>
  <c r="Q107" i="6"/>
  <c r="O108" i="6"/>
  <c r="P108" i="6"/>
  <c r="Q108" i="6"/>
  <c r="O109" i="6"/>
  <c r="P109" i="6"/>
  <c r="Q109" i="6"/>
  <c r="O110" i="6"/>
  <c r="P110" i="6"/>
  <c r="Q110" i="6"/>
  <c r="O111" i="6"/>
  <c r="P111" i="6"/>
  <c r="Q111" i="6"/>
  <c r="O112" i="6"/>
  <c r="P112" i="6"/>
  <c r="Q112" i="6"/>
  <c r="O113" i="6"/>
  <c r="P113" i="6"/>
  <c r="Q113" i="6"/>
  <c r="O114" i="6"/>
  <c r="P114" i="6"/>
  <c r="Q114" i="6"/>
  <c r="O115" i="6"/>
  <c r="P115" i="6"/>
  <c r="Q115" i="6"/>
  <c r="O116" i="6"/>
  <c r="P116" i="6"/>
  <c r="Q116" i="6"/>
  <c r="O117" i="6"/>
  <c r="P117" i="6"/>
  <c r="Q117" i="6"/>
  <c r="O118" i="6"/>
  <c r="P118" i="6"/>
  <c r="Q118" i="6"/>
  <c r="O119" i="6"/>
  <c r="P119" i="6"/>
  <c r="Q119" i="6"/>
  <c r="O120" i="6"/>
  <c r="P120" i="6"/>
  <c r="Q120" i="6"/>
  <c r="O121" i="6"/>
  <c r="P121" i="6"/>
  <c r="Q121" i="6"/>
  <c r="O122" i="6"/>
  <c r="P122" i="6"/>
  <c r="Q122" i="6"/>
  <c r="O123" i="6"/>
  <c r="P123" i="6"/>
  <c r="Q123" i="6"/>
  <c r="O124" i="6"/>
  <c r="P124" i="6"/>
  <c r="Q124" i="6"/>
  <c r="O125" i="6"/>
  <c r="P125" i="6"/>
  <c r="Q125" i="6"/>
  <c r="O126" i="6"/>
  <c r="P126" i="6"/>
  <c r="Q126" i="6"/>
  <c r="O127" i="6"/>
  <c r="P127" i="6"/>
  <c r="Q127" i="6"/>
  <c r="O128" i="6"/>
  <c r="P128" i="6"/>
  <c r="Q128" i="6"/>
  <c r="O129" i="6"/>
  <c r="P129" i="6"/>
  <c r="Q129" i="6"/>
  <c r="O130" i="6"/>
  <c r="P130" i="6"/>
  <c r="Q130" i="6"/>
  <c r="O131" i="6"/>
  <c r="P131" i="6"/>
  <c r="Q131" i="6"/>
  <c r="O132" i="6"/>
  <c r="P132" i="6"/>
  <c r="Q132" i="6"/>
  <c r="O133" i="6"/>
  <c r="P133" i="6"/>
  <c r="Q133" i="6"/>
  <c r="O134" i="6"/>
  <c r="P134" i="6"/>
  <c r="Q134" i="6"/>
  <c r="O135" i="6"/>
  <c r="P135" i="6"/>
  <c r="Q135" i="6"/>
  <c r="O136" i="6"/>
  <c r="P136" i="6"/>
  <c r="Q136" i="6"/>
  <c r="O137" i="6"/>
  <c r="P137" i="6"/>
  <c r="Q137" i="6"/>
  <c r="O138" i="6"/>
  <c r="P138" i="6"/>
  <c r="Q138" i="6"/>
  <c r="O139" i="6"/>
  <c r="P139" i="6"/>
  <c r="Q139" i="6"/>
  <c r="O140" i="6"/>
  <c r="P140" i="6"/>
  <c r="Q140" i="6"/>
  <c r="O141" i="6"/>
  <c r="P141" i="6"/>
  <c r="Q141" i="6"/>
  <c r="O142" i="6"/>
  <c r="P142" i="6"/>
  <c r="Q142" i="6"/>
  <c r="O143" i="6"/>
  <c r="P143" i="6"/>
  <c r="Q143" i="6"/>
  <c r="O144" i="6"/>
  <c r="P144" i="6"/>
  <c r="Q144" i="6"/>
  <c r="O145" i="6"/>
  <c r="P145" i="6"/>
  <c r="Q145" i="6"/>
  <c r="O146" i="6"/>
  <c r="P146" i="6"/>
  <c r="Q146" i="6"/>
  <c r="O147" i="6"/>
  <c r="P147" i="6"/>
  <c r="Q147" i="6"/>
  <c r="O148" i="6"/>
  <c r="P148" i="6"/>
  <c r="Q148" i="6"/>
  <c r="O149" i="6"/>
  <c r="P149" i="6"/>
  <c r="Q149" i="6"/>
  <c r="O150" i="6"/>
  <c r="P150" i="6"/>
  <c r="Q150" i="6"/>
  <c r="O151" i="6"/>
  <c r="P151" i="6"/>
  <c r="Q151" i="6"/>
  <c r="O152" i="6"/>
  <c r="P152" i="6"/>
  <c r="Q152" i="6"/>
  <c r="O153" i="6"/>
  <c r="P153" i="6"/>
  <c r="Q153" i="6"/>
  <c r="O154" i="6"/>
  <c r="P154" i="6"/>
  <c r="Q154" i="6"/>
  <c r="O155" i="6"/>
  <c r="P155" i="6"/>
  <c r="Q155" i="6"/>
  <c r="O156" i="6"/>
  <c r="P156" i="6"/>
  <c r="Q156" i="6"/>
  <c r="O157" i="6"/>
  <c r="P157" i="6"/>
  <c r="Q157" i="6"/>
  <c r="O158" i="6"/>
  <c r="P158" i="6"/>
  <c r="Q158" i="6"/>
  <c r="O159" i="6"/>
  <c r="P159" i="6"/>
  <c r="Q159" i="6"/>
  <c r="O160" i="6"/>
  <c r="P160" i="6"/>
  <c r="Q160" i="6"/>
  <c r="O161" i="6"/>
  <c r="P161" i="6"/>
  <c r="Q161" i="6"/>
  <c r="O162" i="6"/>
  <c r="P162" i="6"/>
  <c r="Q162" i="6"/>
  <c r="O163" i="6"/>
  <c r="P163" i="6"/>
  <c r="Q163" i="6"/>
  <c r="O164" i="6"/>
  <c r="P164" i="6"/>
  <c r="Q164" i="6"/>
  <c r="O165" i="6"/>
  <c r="P165" i="6"/>
  <c r="Q165" i="6"/>
  <c r="O166" i="6"/>
  <c r="P166" i="6"/>
  <c r="Q166" i="6"/>
  <c r="O167" i="6"/>
  <c r="P167" i="6"/>
  <c r="Q167" i="6"/>
  <c r="O168" i="6"/>
  <c r="P168" i="6"/>
  <c r="Q168" i="6"/>
  <c r="O169" i="6"/>
  <c r="P169" i="6"/>
  <c r="Q169" i="6"/>
  <c r="O170" i="6"/>
  <c r="P170" i="6"/>
  <c r="Q170" i="6"/>
  <c r="O171" i="6"/>
  <c r="P171" i="6"/>
  <c r="Q171" i="6"/>
  <c r="O172" i="6"/>
  <c r="P172" i="6"/>
  <c r="Q172" i="6"/>
  <c r="O173" i="6"/>
  <c r="P173" i="6"/>
  <c r="Q173" i="6"/>
  <c r="O174" i="6"/>
  <c r="P174" i="6"/>
  <c r="Q174" i="6"/>
  <c r="O175" i="6"/>
  <c r="P175" i="6"/>
  <c r="Q175" i="6"/>
  <c r="O176" i="6"/>
  <c r="P176" i="6"/>
  <c r="Q176" i="6"/>
  <c r="O177" i="6"/>
  <c r="P177" i="6"/>
  <c r="Q177" i="6"/>
  <c r="O178" i="6"/>
  <c r="P178" i="6"/>
  <c r="Q178" i="6"/>
  <c r="O179" i="6"/>
  <c r="P179" i="6"/>
  <c r="Q179" i="6"/>
  <c r="O180" i="6"/>
  <c r="P180" i="6"/>
  <c r="Q180" i="6"/>
  <c r="O181" i="6"/>
  <c r="P181" i="6"/>
  <c r="Q181" i="6"/>
  <c r="O182" i="6"/>
  <c r="P182" i="6"/>
  <c r="Q182" i="6"/>
  <c r="O183" i="6"/>
  <c r="P183" i="6"/>
  <c r="Q183" i="6"/>
  <c r="O184" i="6"/>
  <c r="P184" i="6"/>
  <c r="Q184" i="6"/>
  <c r="O185" i="6"/>
  <c r="P185" i="6"/>
  <c r="Q185" i="6"/>
  <c r="O186" i="6"/>
  <c r="P186" i="6"/>
  <c r="Q186" i="6"/>
  <c r="O187" i="6"/>
  <c r="P187" i="6"/>
  <c r="Q187" i="6"/>
  <c r="O188" i="6"/>
  <c r="P188" i="6"/>
  <c r="Q188" i="6"/>
  <c r="O189" i="6"/>
  <c r="P189" i="6"/>
  <c r="Q189" i="6"/>
  <c r="O190" i="6"/>
  <c r="P190" i="6"/>
  <c r="Q190" i="6"/>
  <c r="O191" i="6"/>
  <c r="P191" i="6"/>
  <c r="Q191" i="6"/>
  <c r="O192" i="6"/>
  <c r="P192" i="6"/>
  <c r="Q192" i="6"/>
  <c r="O193" i="6"/>
  <c r="P193" i="6"/>
  <c r="Q193" i="6"/>
  <c r="O194" i="6"/>
  <c r="P194" i="6"/>
  <c r="Q194" i="6"/>
  <c r="O195" i="6"/>
  <c r="P195" i="6"/>
  <c r="Q195" i="6"/>
  <c r="O196" i="6"/>
  <c r="P196" i="6"/>
  <c r="Q196" i="6"/>
  <c r="O197" i="6"/>
  <c r="P197" i="6"/>
  <c r="Q197" i="6"/>
  <c r="O198" i="6"/>
  <c r="P198" i="6"/>
  <c r="Q198" i="6"/>
  <c r="O199" i="6"/>
  <c r="P199" i="6"/>
  <c r="Q199" i="6"/>
  <c r="O200" i="6"/>
  <c r="P200" i="6"/>
  <c r="Q200" i="6"/>
  <c r="O201" i="6"/>
  <c r="P201" i="6"/>
  <c r="Q201" i="6"/>
  <c r="O202" i="6"/>
  <c r="P202" i="6"/>
  <c r="Q202" i="6"/>
  <c r="O203" i="6"/>
  <c r="P203" i="6"/>
  <c r="Q203" i="6"/>
  <c r="O204" i="6"/>
  <c r="P204" i="6"/>
  <c r="Q204" i="6"/>
  <c r="O205" i="6"/>
  <c r="P205" i="6"/>
  <c r="Q205" i="6"/>
  <c r="O206" i="6"/>
  <c r="P206" i="6"/>
  <c r="Q206" i="6"/>
  <c r="O207" i="6"/>
  <c r="P207" i="6"/>
  <c r="Q207" i="6"/>
  <c r="O208" i="6"/>
  <c r="P208" i="6"/>
  <c r="Q208" i="6"/>
  <c r="O209" i="6"/>
  <c r="P209" i="6"/>
  <c r="Q209" i="6"/>
  <c r="O210" i="6"/>
  <c r="P210" i="6"/>
  <c r="Q210" i="6"/>
  <c r="O211" i="6"/>
  <c r="P211" i="6"/>
  <c r="Q211" i="6"/>
  <c r="O212" i="6"/>
  <c r="P212" i="6"/>
  <c r="Q212" i="6"/>
  <c r="O213" i="6"/>
  <c r="P213" i="6"/>
  <c r="Q213" i="6"/>
  <c r="O214" i="6"/>
  <c r="P214" i="6"/>
  <c r="Q214" i="6"/>
  <c r="O215" i="6"/>
  <c r="P215" i="6"/>
  <c r="Q215" i="6"/>
  <c r="O216" i="6"/>
  <c r="P216" i="6"/>
  <c r="Q216" i="6"/>
  <c r="O217" i="6"/>
  <c r="P217" i="6"/>
  <c r="Q217" i="6"/>
  <c r="O218" i="6"/>
  <c r="P218" i="6"/>
  <c r="Q218" i="6"/>
  <c r="O219" i="6"/>
  <c r="P219" i="6"/>
  <c r="Q219" i="6"/>
  <c r="O220" i="6"/>
  <c r="P220" i="6"/>
  <c r="Q220" i="6"/>
  <c r="O221" i="6"/>
  <c r="P221" i="6"/>
  <c r="Q221" i="6"/>
  <c r="O222" i="6"/>
  <c r="P222" i="6"/>
  <c r="Q222" i="6"/>
  <c r="O223" i="6"/>
  <c r="P223" i="6"/>
  <c r="Q223" i="6"/>
  <c r="O224" i="6"/>
  <c r="P224" i="6"/>
  <c r="Q224" i="6"/>
  <c r="O225" i="6"/>
  <c r="P225" i="6"/>
  <c r="Q225" i="6"/>
  <c r="O226" i="6"/>
  <c r="P226" i="6"/>
  <c r="Q226" i="6"/>
  <c r="O227" i="6"/>
  <c r="P227" i="6"/>
  <c r="Q227" i="6"/>
  <c r="O228" i="6"/>
  <c r="P228" i="6"/>
  <c r="Q228" i="6"/>
  <c r="O229" i="6"/>
  <c r="P229" i="6"/>
  <c r="Q229" i="6"/>
  <c r="O230" i="6"/>
  <c r="P230" i="6"/>
  <c r="Q230" i="6"/>
  <c r="O231" i="6"/>
  <c r="P231" i="6"/>
  <c r="Q231" i="6"/>
  <c r="O232" i="6"/>
  <c r="P232" i="6"/>
  <c r="Q232" i="6"/>
  <c r="O233" i="6"/>
  <c r="P233" i="6"/>
  <c r="Q233" i="6"/>
  <c r="O234" i="6"/>
  <c r="P234" i="6"/>
  <c r="Q234" i="6"/>
  <c r="O235" i="6"/>
  <c r="P235" i="6"/>
  <c r="Q235" i="6"/>
  <c r="O236" i="6"/>
  <c r="P236" i="6"/>
  <c r="Q236" i="6"/>
  <c r="O237" i="6"/>
  <c r="P237" i="6"/>
  <c r="Q237" i="6"/>
  <c r="O238" i="6"/>
  <c r="P238" i="6"/>
  <c r="Q238" i="6"/>
  <c r="O239" i="6"/>
  <c r="P239" i="6"/>
  <c r="Q239" i="6"/>
  <c r="O240" i="6"/>
  <c r="P240" i="6"/>
  <c r="Q240" i="6"/>
  <c r="O241" i="6"/>
  <c r="P241" i="6"/>
  <c r="Q241" i="6"/>
  <c r="O242" i="6"/>
  <c r="P242" i="6"/>
  <c r="Q242" i="6"/>
  <c r="O243" i="6"/>
  <c r="P243" i="6"/>
  <c r="Q243" i="6"/>
  <c r="O244" i="6"/>
  <c r="P244" i="6"/>
  <c r="Q244" i="6"/>
  <c r="O245" i="6"/>
  <c r="P245" i="6"/>
  <c r="Q245" i="6"/>
  <c r="O246" i="6"/>
  <c r="P246" i="6"/>
  <c r="Q246" i="6"/>
  <c r="O247" i="6"/>
  <c r="P247" i="6"/>
  <c r="Q247" i="6"/>
  <c r="O248" i="6"/>
  <c r="P248" i="6"/>
  <c r="Q248" i="6"/>
  <c r="O249" i="6"/>
  <c r="P249" i="6"/>
  <c r="Q249" i="6"/>
  <c r="O250" i="6"/>
  <c r="P250" i="6"/>
  <c r="Q250" i="6"/>
  <c r="O251" i="6"/>
  <c r="P251" i="6"/>
  <c r="Q251" i="6"/>
  <c r="O252" i="6"/>
  <c r="P252" i="6"/>
  <c r="Q252" i="6"/>
  <c r="O253" i="6"/>
  <c r="P253" i="6"/>
  <c r="Q253" i="6"/>
  <c r="O254" i="6"/>
  <c r="P254" i="6"/>
  <c r="Q254" i="6"/>
  <c r="O255" i="6"/>
  <c r="P255" i="6"/>
  <c r="Q255" i="6"/>
  <c r="O256" i="6"/>
  <c r="P256" i="6"/>
  <c r="Q256" i="6"/>
  <c r="O257" i="6"/>
  <c r="P257" i="6"/>
  <c r="Q257" i="6"/>
  <c r="O258" i="6"/>
  <c r="P258" i="6"/>
  <c r="Q258" i="6"/>
  <c r="O259" i="6"/>
  <c r="P259" i="6"/>
  <c r="Q259" i="6"/>
  <c r="O260" i="6"/>
  <c r="P260" i="6"/>
  <c r="Q260" i="6"/>
  <c r="O261" i="6"/>
  <c r="P261" i="6"/>
  <c r="Q261" i="6"/>
  <c r="O262" i="6"/>
  <c r="P262" i="6"/>
  <c r="Q262" i="6"/>
  <c r="O263" i="6"/>
  <c r="P263" i="6"/>
  <c r="Q263" i="6"/>
  <c r="O264" i="6"/>
  <c r="P264" i="6"/>
  <c r="Q264" i="6"/>
  <c r="O265" i="6"/>
  <c r="P265" i="6"/>
  <c r="Q265" i="6"/>
  <c r="O266" i="6"/>
  <c r="P266" i="6"/>
  <c r="Q266" i="6"/>
  <c r="O267" i="6"/>
  <c r="P267" i="6"/>
  <c r="Q267" i="6"/>
  <c r="O268" i="6"/>
  <c r="P268" i="6"/>
  <c r="Q268" i="6"/>
  <c r="O269" i="6"/>
  <c r="P269" i="6"/>
  <c r="Q269" i="6"/>
  <c r="O270" i="6"/>
  <c r="P270" i="6"/>
  <c r="Q270" i="6"/>
  <c r="O271" i="6"/>
  <c r="P271" i="6"/>
  <c r="Q271" i="6"/>
  <c r="O272" i="6"/>
  <c r="P272" i="6"/>
  <c r="Q272" i="6"/>
  <c r="O273" i="6"/>
  <c r="P273" i="6"/>
  <c r="Q273" i="6"/>
  <c r="O274" i="6"/>
  <c r="P274" i="6"/>
  <c r="Q274" i="6"/>
  <c r="O275" i="6"/>
  <c r="P275" i="6"/>
  <c r="Q275" i="6"/>
  <c r="O276" i="6"/>
  <c r="P276" i="6"/>
  <c r="Q276" i="6"/>
  <c r="O277" i="6"/>
  <c r="P277" i="6"/>
  <c r="Q277" i="6"/>
  <c r="O278" i="6"/>
  <c r="P278" i="6"/>
  <c r="Q278" i="6"/>
  <c r="O279" i="6"/>
  <c r="P279" i="6"/>
  <c r="Q279" i="6"/>
  <c r="O280" i="6"/>
  <c r="P280" i="6"/>
  <c r="Q280" i="6"/>
  <c r="O281" i="6"/>
  <c r="P281" i="6"/>
  <c r="Q281" i="6"/>
  <c r="O282" i="6"/>
  <c r="P282" i="6"/>
  <c r="Q282" i="6"/>
  <c r="O283" i="6"/>
  <c r="P283" i="6"/>
  <c r="Q283" i="6"/>
  <c r="O284" i="6"/>
  <c r="P284" i="6"/>
  <c r="Q284" i="6"/>
  <c r="O285" i="6"/>
  <c r="P285" i="6"/>
  <c r="Q285" i="6"/>
  <c r="O286" i="6"/>
  <c r="P286" i="6"/>
  <c r="Q286" i="6"/>
  <c r="O287" i="6"/>
  <c r="P287" i="6"/>
  <c r="Q287" i="6"/>
  <c r="O288" i="6"/>
  <c r="P288" i="6"/>
  <c r="Q288" i="6"/>
  <c r="O289" i="6"/>
  <c r="P289" i="6"/>
  <c r="Q289" i="6"/>
  <c r="O290" i="6"/>
  <c r="P290" i="6"/>
  <c r="Q290" i="6"/>
  <c r="O291" i="6"/>
  <c r="P291" i="6"/>
  <c r="Q291" i="6"/>
  <c r="O292" i="6"/>
  <c r="P292" i="6"/>
  <c r="Q292" i="6"/>
  <c r="O293" i="6"/>
  <c r="P293" i="6"/>
  <c r="Q293" i="6"/>
  <c r="O294" i="6"/>
  <c r="P294" i="6"/>
  <c r="Q294" i="6"/>
  <c r="O295" i="6"/>
  <c r="P295" i="6"/>
  <c r="Q295" i="6"/>
  <c r="O296" i="6"/>
  <c r="P296" i="6"/>
  <c r="Q296" i="6"/>
  <c r="O297" i="6"/>
  <c r="P297" i="6"/>
  <c r="Q297" i="6"/>
  <c r="O298" i="6"/>
  <c r="P298" i="6"/>
  <c r="Q298" i="6"/>
  <c r="O299" i="6"/>
  <c r="P299" i="6"/>
  <c r="Q299" i="6"/>
  <c r="O300" i="6"/>
  <c r="P300" i="6"/>
  <c r="Q300" i="6"/>
  <c r="O301" i="6"/>
  <c r="P301" i="6"/>
  <c r="Q301" i="6"/>
  <c r="O302" i="6"/>
  <c r="P302" i="6"/>
  <c r="Q302" i="6"/>
  <c r="O303" i="6"/>
  <c r="P303" i="6"/>
  <c r="Q303" i="6"/>
  <c r="O304" i="6"/>
  <c r="P304" i="6"/>
  <c r="Q304" i="6"/>
  <c r="O305" i="6"/>
  <c r="P305" i="6"/>
  <c r="Q305" i="6"/>
  <c r="O306" i="6"/>
  <c r="P306" i="6"/>
  <c r="Q306" i="6"/>
  <c r="O307" i="6"/>
  <c r="P307" i="6"/>
  <c r="Q307" i="6"/>
  <c r="O308" i="6"/>
  <c r="P308" i="6"/>
  <c r="Q308" i="6"/>
  <c r="O309" i="6"/>
  <c r="P309" i="6"/>
  <c r="Q309" i="6"/>
  <c r="O310" i="6"/>
  <c r="P310" i="6"/>
  <c r="Q310" i="6"/>
  <c r="O311" i="6"/>
  <c r="P311" i="6"/>
  <c r="Q311" i="6"/>
  <c r="O312" i="6"/>
  <c r="P312" i="6"/>
  <c r="Q312" i="6"/>
  <c r="O313" i="6"/>
  <c r="P313" i="6"/>
  <c r="Q313" i="6"/>
  <c r="O314" i="6"/>
  <c r="P314" i="6"/>
  <c r="Q314" i="6"/>
  <c r="O315" i="6"/>
  <c r="P315" i="6"/>
  <c r="Q315" i="6"/>
  <c r="O316" i="6"/>
  <c r="P316" i="6"/>
  <c r="Q316" i="6"/>
  <c r="O317" i="6"/>
  <c r="P317" i="6"/>
  <c r="Q317" i="6"/>
  <c r="O318" i="6"/>
  <c r="P318" i="6"/>
  <c r="Q318" i="6"/>
  <c r="O319" i="6"/>
  <c r="P319" i="6"/>
  <c r="Q319" i="6"/>
  <c r="O320" i="6"/>
  <c r="P320" i="6"/>
  <c r="Q320" i="6"/>
  <c r="O321" i="6"/>
  <c r="P321" i="6"/>
  <c r="Q321" i="6"/>
  <c r="O322" i="6"/>
  <c r="P322" i="6"/>
  <c r="Q322" i="6"/>
  <c r="O323" i="6"/>
  <c r="P323" i="6"/>
  <c r="Q323" i="6"/>
  <c r="O324" i="6"/>
  <c r="P324" i="6"/>
  <c r="Q324" i="6"/>
  <c r="O325" i="6"/>
  <c r="P325" i="6"/>
  <c r="Q325" i="6"/>
  <c r="O326" i="6"/>
  <c r="P326" i="6"/>
  <c r="Q326" i="6"/>
  <c r="O327" i="6"/>
  <c r="P327" i="6"/>
  <c r="Q327" i="6"/>
  <c r="O328" i="6"/>
  <c r="P328" i="6"/>
  <c r="Q328" i="6"/>
  <c r="O329" i="6"/>
  <c r="P329" i="6"/>
  <c r="Q329" i="6"/>
  <c r="O330" i="6"/>
  <c r="P330" i="6"/>
  <c r="Q330" i="6"/>
  <c r="O331" i="6"/>
  <c r="P331" i="6"/>
  <c r="Q331" i="6"/>
  <c r="O332" i="6"/>
  <c r="P332" i="6"/>
  <c r="Q332" i="6"/>
  <c r="O333" i="6"/>
  <c r="P333" i="6"/>
  <c r="Q333" i="6"/>
  <c r="O334" i="6"/>
  <c r="P334" i="6"/>
  <c r="Q334" i="6"/>
  <c r="O335" i="6"/>
  <c r="P335" i="6"/>
  <c r="Q335" i="6"/>
  <c r="O336" i="6"/>
  <c r="P336" i="6"/>
  <c r="Q336" i="6"/>
  <c r="O337" i="6"/>
  <c r="P337" i="6"/>
  <c r="Q337" i="6"/>
  <c r="O338" i="6"/>
  <c r="P338" i="6"/>
  <c r="Q338" i="6"/>
  <c r="O339" i="6"/>
  <c r="P339" i="6"/>
  <c r="Q339" i="6"/>
  <c r="O340" i="6"/>
  <c r="P340" i="6"/>
  <c r="Q340" i="6"/>
  <c r="O341" i="6"/>
  <c r="P341" i="6"/>
  <c r="Q341" i="6"/>
  <c r="O342" i="6"/>
  <c r="P342" i="6"/>
  <c r="Q342" i="6"/>
  <c r="O343" i="6"/>
  <c r="P343" i="6"/>
  <c r="Q343" i="6"/>
  <c r="O344" i="6"/>
  <c r="P344" i="6"/>
  <c r="Q344" i="6"/>
  <c r="O345" i="6"/>
  <c r="P345" i="6"/>
  <c r="Q345" i="6"/>
  <c r="O346" i="6"/>
  <c r="P346" i="6"/>
  <c r="Q346" i="6"/>
  <c r="O347" i="6"/>
  <c r="P347" i="6"/>
  <c r="Q347" i="6"/>
  <c r="O348" i="6"/>
  <c r="P348" i="6"/>
  <c r="Q348" i="6"/>
  <c r="O349" i="6"/>
  <c r="P349" i="6"/>
  <c r="Q349" i="6"/>
  <c r="O350" i="6"/>
  <c r="P350" i="6"/>
  <c r="Q350" i="6"/>
  <c r="O351" i="6"/>
  <c r="P351" i="6"/>
  <c r="Q351" i="6"/>
  <c r="O352" i="6"/>
  <c r="P352" i="6"/>
  <c r="Q352" i="6"/>
  <c r="O353" i="6"/>
  <c r="P353" i="6"/>
  <c r="Q353" i="6"/>
  <c r="O354" i="6"/>
  <c r="P354" i="6"/>
  <c r="Q354" i="6"/>
  <c r="O355" i="6"/>
  <c r="P355" i="6"/>
  <c r="Q355" i="6"/>
  <c r="O356" i="6"/>
  <c r="P356" i="6"/>
  <c r="Q356" i="6"/>
  <c r="O357" i="6"/>
  <c r="P357" i="6"/>
  <c r="Q357" i="6"/>
  <c r="O358" i="6"/>
  <c r="P358" i="6"/>
  <c r="Q358" i="6"/>
  <c r="O359" i="6"/>
  <c r="P359" i="6"/>
  <c r="Q359" i="6"/>
  <c r="O360" i="6"/>
  <c r="P360" i="6"/>
  <c r="Q360" i="6"/>
  <c r="O361" i="6"/>
  <c r="P361" i="6"/>
  <c r="Q361" i="6"/>
  <c r="O362" i="6"/>
  <c r="P362" i="6"/>
  <c r="Q362" i="6"/>
  <c r="O363" i="6"/>
  <c r="P363" i="6"/>
  <c r="Q363" i="6"/>
  <c r="O364" i="6"/>
  <c r="P364" i="6"/>
  <c r="Q364" i="6"/>
  <c r="O365" i="6"/>
  <c r="P365" i="6"/>
  <c r="Q365" i="6"/>
  <c r="O366" i="6"/>
  <c r="P366" i="6"/>
  <c r="Q366" i="6"/>
  <c r="O367" i="6"/>
  <c r="P367" i="6"/>
  <c r="Q367" i="6"/>
  <c r="O368" i="6"/>
  <c r="P368" i="6"/>
  <c r="Q368" i="6"/>
  <c r="O369" i="6"/>
  <c r="P369" i="6"/>
  <c r="Q369" i="6"/>
  <c r="O370" i="6"/>
  <c r="P370" i="6"/>
  <c r="Q370" i="6"/>
  <c r="O371" i="6"/>
  <c r="P371" i="6"/>
  <c r="Q371" i="6"/>
  <c r="O372" i="6"/>
  <c r="P372" i="6"/>
  <c r="Q372" i="6"/>
  <c r="O373" i="6"/>
  <c r="P373" i="6"/>
  <c r="Q373" i="6"/>
  <c r="O374" i="6"/>
  <c r="P374" i="6"/>
  <c r="Q374" i="6"/>
  <c r="O375" i="6"/>
  <c r="P375" i="6"/>
  <c r="Q375" i="6"/>
  <c r="O376" i="6"/>
  <c r="P376" i="6"/>
  <c r="Q376" i="6"/>
  <c r="O377" i="6"/>
  <c r="P377" i="6"/>
  <c r="Q377" i="6"/>
  <c r="O378" i="6"/>
  <c r="P378" i="6"/>
  <c r="Q378" i="6"/>
  <c r="O379" i="6"/>
  <c r="P379" i="6"/>
  <c r="Q379" i="6"/>
  <c r="O380" i="6"/>
  <c r="P380" i="6"/>
  <c r="Q380" i="6"/>
  <c r="O381" i="6"/>
  <c r="P381" i="6"/>
  <c r="Q381" i="6"/>
  <c r="O382" i="6"/>
  <c r="P382" i="6"/>
  <c r="Q382" i="6"/>
  <c r="O383" i="6"/>
  <c r="P383" i="6"/>
  <c r="Q383" i="6"/>
  <c r="O384" i="6"/>
  <c r="P384" i="6"/>
  <c r="Q384" i="6"/>
  <c r="O385" i="6"/>
  <c r="P385" i="6"/>
  <c r="Q385" i="6"/>
  <c r="O386" i="6"/>
  <c r="P386" i="6"/>
  <c r="Q386" i="6"/>
  <c r="O387" i="6"/>
  <c r="P387" i="6"/>
  <c r="Q387" i="6"/>
  <c r="O388" i="6"/>
  <c r="P388" i="6"/>
  <c r="Q388" i="6"/>
  <c r="O389" i="6"/>
  <c r="P389" i="6"/>
  <c r="Q389" i="6"/>
  <c r="O390" i="6"/>
  <c r="P390" i="6"/>
  <c r="Q390" i="6"/>
  <c r="O391" i="6"/>
  <c r="P391" i="6"/>
  <c r="Q391" i="6"/>
  <c r="O392" i="6"/>
  <c r="P392" i="6"/>
  <c r="Q392" i="6"/>
  <c r="O393" i="6"/>
  <c r="P393" i="6"/>
  <c r="Q393" i="6"/>
  <c r="O394" i="6"/>
  <c r="P394" i="6"/>
  <c r="Q394" i="6"/>
  <c r="O395" i="6"/>
  <c r="P395" i="6"/>
  <c r="Q395" i="6"/>
  <c r="O396" i="6"/>
  <c r="P396" i="6"/>
  <c r="Q396" i="6"/>
  <c r="O397" i="6"/>
  <c r="P397" i="6"/>
  <c r="Q397" i="6"/>
  <c r="O398" i="6"/>
  <c r="P398" i="6"/>
  <c r="Q398" i="6"/>
  <c r="O399" i="6"/>
  <c r="P399" i="6"/>
  <c r="Q399" i="6"/>
  <c r="O400" i="6"/>
  <c r="P400" i="6"/>
  <c r="Q400" i="6"/>
  <c r="O401" i="6"/>
  <c r="P401" i="6"/>
  <c r="Q401" i="6"/>
  <c r="O402" i="6"/>
  <c r="P402" i="6"/>
  <c r="Q402" i="6"/>
  <c r="O403" i="6"/>
  <c r="P403" i="6"/>
  <c r="Q403" i="6"/>
  <c r="O404" i="6"/>
  <c r="P404" i="6"/>
  <c r="Q404" i="6"/>
  <c r="O405" i="6"/>
  <c r="P405" i="6"/>
  <c r="Q405" i="6"/>
  <c r="O406" i="6"/>
  <c r="P406" i="6"/>
  <c r="Q406" i="6"/>
  <c r="O407" i="6"/>
  <c r="P407" i="6"/>
  <c r="Q407" i="6"/>
  <c r="O408" i="6"/>
  <c r="P408" i="6"/>
  <c r="Q408" i="6"/>
  <c r="O409" i="6"/>
  <c r="P409" i="6"/>
  <c r="Q409" i="6"/>
  <c r="O410" i="6"/>
  <c r="P410" i="6"/>
  <c r="Q410" i="6"/>
  <c r="O411" i="6"/>
  <c r="P411" i="6"/>
  <c r="Q411" i="6"/>
  <c r="O412" i="6"/>
  <c r="P412" i="6"/>
  <c r="Q412" i="6"/>
  <c r="O413" i="6"/>
  <c r="P413" i="6"/>
  <c r="Q413" i="6"/>
  <c r="O414" i="6"/>
  <c r="P414" i="6"/>
  <c r="Q414" i="6"/>
  <c r="O415" i="6"/>
  <c r="P415" i="6"/>
  <c r="Q415" i="6"/>
  <c r="O416" i="6"/>
  <c r="P416" i="6"/>
  <c r="Q416" i="6"/>
  <c r="O417" i="6"/>
  <c r="P417" i="6"/>
  <c r="Q417" i="6"/>
  <c r="O418" i="6"/>
  <c r="P418" i="6"/>
  <c r="Q418" i="6"/>
  <c r="O419" i="6"/>
  <c r="P419" i="6"/>
  <c r="Q419" i="6"/>
  <c r="O420" i="6"/>
  <c r="P420" i="6"/>
  <c r="Q420" i="6"/>
  <c r="O421" i="6"/>
  <c r="P421" i="6"/>
  <c r="Q421" i="6"/>
  <c r="O422" i="6"/>
  <c r="P422" i="6"/>
  <c r="Q422" i="6"/>
  <c r="O423" i="6"/>
  <c r="P423" i="6"/>
  <c r="Q423" i="6"/>
  <c r="O424" i="6"/>
  <c r="P424" i="6"/>
  <c r="Q424" i="6"/>
  <c r="O425" i="6"/>
  <c r="P425" i="6"/>
  <c r="Q425" i="6"/>
  <c r="O426" i="6"/>
  <c r="P426" i="6"/>
  <c r="Q426" i="6"/>
  <c r="O427" i="6"/>
  <c r="P427" i="6"/>
  <c r="Q427" i="6"/>
  <c r="O428" i="6"/>
  <c r="P428" i="6"/>
  <c r="Q428" i="6"/>
  <c r="O429" i="6"/>
  <c r="P429" i="6"/>
  <c r="Q429" i="6"/>
  <c r="O430" i="6"/>
  <c r="P430" i="6"/>
  <c r="Q430" i="6"/>
  <c r="O431" i="6"/>
  <c r="P431" i="6"/>
  <c r="Q431" i="6"/>
  <c r="O432" i="6"/>
  <c r="P432" i="6"/>
  <c r="Q432" i="6"/>
  <c r="O433" i="6"/>
  <c r="P433" i="6"/>
  <c r="Q433" i="6"/>
  <c r="O434" i="6"/>
  <c r="P434" i="6"/>
  <c r="Q434" i="6"/>
  <c r="O435" i="6"/>
  <c r="P435" i="6"/>
  <c r="Q435" i="6"/>
  <c r="O436" i="6"/>
  <c r="P436" i="6"/>
  <c r="Q436" i="6"/>
  <c r="O437" i="6"/>
  <c r="P437" i="6"/>
  <c r="Q437" i="6"/>
  <c r="O438" i="6"/>
  <c r="P438" i="6"/>
  <c r="Q438" i="6"/>
  <c r="O439" i="6"/>
  <c r="P439" i="6"/>
  <c r="Q439" i="6"/>
  <c r="O440" i="6"/>
  <c r="P440" i="6"/>
  <c r="Q440" i="6"/>
  <c r="O441" i="6"/>
  <c r="P441" i="6"/>
  <c r="Q441" i="6"/>
  <c r="O442" i="6"/>
  <c r="P442" i="6"/>
  <c r="Q442" i="6"/>
  <c r="O443" i="6"/>
  <c r="P443" i="6"/>
  <c r="Q443" i="6"/>
  <c r="O444" i="6"/>
  <c r="P444" i="6"/>
  <c r="Q444" i="6"/>
  <c r="O445" i="6"/>
  <c r="P445" i="6"/>
  <c r="Q445" i="6"/>
  <c r="O446" i="6"/>
  <c r="P446" i="6"/>
  <c r="Q446" i="6"/>
  <c r="O447" i="6"/>
  <c r="P447" i="6"/>
  <c r="Q447" i="6"/>
  <c r="O448" i="6"/>
  <c r="P448" i="6"/>
  <c r="Q448" i="6"/>
  <c r="O449" i="6"/>
  <c r="P449" i="6"/>
  <c r="Q449" i="6"/>
  <c r="O450" i="6"/>
  <c r="P450" i="6"/>
  <c r="Q450" i="6"/>
  <c r="O451" i="6"/>
  <c r="P451" i="6"/>
  <c r="Q451" i="6"/>
  <c r="O452" i="6"/>
  <c r="P452" i="6"/>
  <c r="Q452" i="6"/>
  <c r="O453" i="6"/>
  <c r="P453" i="6"/>
  <c r="Q453" i="6"/>
  <c r="O454" i="6"/>
  <c r="P454" i="6"/>
  <c r="Q454" i="6"/>
  <c r="O455" i="6"/>
  <c r="P455" i="6"/>
  <c r="Q455" i="6"/>
  <c r="O456" i="6"/>
  <c r="P456" i="6"/>
  <c r="Q456" i="6"/>
  <c r="O457" i="6"/>
  <c r="P457" i="6"/>
  <c r="Q457" i="6"/>
  <c r="O458" i="6"/>
  <c r="P458" i="6"/>
  <c r="Q458" i="6"/>
  <c r="O459" i="6"/>
  <c r="P459" i="6"/>
  <c r="Q459" i="6"/>
  <c r="O460" i="6"/>
  <c r="P460" i="6"/>
  <c r="Q460" i="6"/>
  <c r="O461" i="6"/>
  <c r="P461" i="6"/>
  <c r="Q461" i="6"/>
  <c r="O462" i="6"/>
  <c r="P462" i="6"/>
  <c r="Q462" i="6"/>
  <c r="O463" i="6"/>
  <c r="P463" i="6"/>
  <c r="Q463" i="6"/>
  <c r="O464" i="6"/>
  <c r="P464" i="6"/>
  <c r="Q464" i="6"/>
  <c r="O465" i="6"/>
  <c r="P465" i="6"/>
  <c r="Q465" i="6"/>
  <c r="O466" i="6"/>
  <c r="P466" i="6"/>
  <c r="Q466" i="6"/>
  <c r="O467" i="6"/>
  <c r="P467" i="6"/>
  <c r="Q467" i="6"/>
  <c r="O468" i="6"/>
  <c r="P468" i="6"/>
  <c r="Q468" i="6"/>
  <c r="L41" i="9" l="1"/>
  <c r="N35" i="9"/>
  <c r="N37" i="9"/>
  <c r="N40" i="9"/>
  <c r="N36" i="9"/>
  <c r="N15" i="9"/>
  <c r="D41" i="9"/>
  <c r="N39" i="9"/>
  <c r="E41" i="9"/>
  <c r="N38" i="9"/>
  <c r="M41" i="9"/>
  <c r="N33" i="9"/>
  <c r="N28" i="9"/>
  <c r="L99" i="6"/>
  <c r="M99" i="6"/>
  <c r="N99" i="6"/>
  <c r="L100" i="6"/>
  <c r="M100" i="6"/>
  <c r="N100" i="6"/>
  <c r="L101" i="6"/>
  <c r="M101" i="6"/>
  <c r="N101" i="6"/>
  <c r="L102" i="6"/>
  <c r="M102" i="6"/>
  <c r="N102" i="6"/>
  <c r="L103" i="6"/>
  <c r="M103" i="6"/>
  <c r="N103" i="6"/>
  <c r="L104" i="6"/>
  <c r="M104" i="6"/>
  <c r="N104" i="6"/>
  <c r="L105" i="6"/>
  <c r="M105" i="6"/>
  <c r="N105" i="6"/>
  <c r="L106" i="6"/>
  <c r="M106" i="6"/>
  <c r="N106" i="6"/>
  <c r="L107" i="6"/>
  <c r="M107" i="6"/>
  <c r="N107" i="6"/>
  <c r="L108" i="6"/>
  <c r="M108" i="6"/>
  <c r="N108" i="6"/>
  <c r="L109" i="6"/>
  <c r="M109" i="6"/>
  <c r="N109" i="6"/>
  <c r="L110" i="6"/>
  <c r="M110" i="6"/>
  <c r="N110" i="6"/>
  <c r="L111" i="6"/>
  <c r="M111" i="6"/>
  <c r="N111" i="6"/>
  <c r="L112" i="6"/>
  <c r="M112" i="6"/>
  <c r="N112" i="6"/>
  <c r="L113" i="6"/>
  <c r="M113" i="6"/>
  <c r="N113" i="6"/>
  <c r="L114" i="6"/>
  <c r="M114" i="6"/>
  <c r="N114" i="6"/>
  <c r="L115" i="6"/>
  <c r="M115" i="6"/>
  <c r="N115" i="6"/>
  <c r="L116" i="6"/>
  <c r="M116" i="6"/>
  <c r="N116" i="6"/>
  <c r="L117" i="6"/>
  <c r="M117" i="6"/>
  <c r="N117" i="6"/>
  <c r="L118" i="6"/>
  <c r="M118" i="6"/>
  <c r="N118" i="6"/>
  <c r="L119" i="6"/>
  <c r="M119" i="6"/>
  <c r="N119" i="6"/>
  <c r="L120" i="6"/>
  <c r="M120" i="6"/>
  <c r="N120" i="6"/>
  <c r="L121" i="6"/>
  <c r="M121" i="6"/>
  <c r="N121" i="6"/>
  <c r="L122" i="6"/>
  <c r="M122" i="6"/>
  <c r="N122" i="6"/>
  <c r="L123" i="6"/>
  <c r="M123" i="6"/>
  <c r="N123" i="6"/>
  <c r="L124" i="6"/>
  <c r="M124" i="6"/>
  <c r="N124" i="6"/>
  <c r="L125" i="6"/>
  <c r="M125" i="6"/>
  <c r="N125" i="6"/>
  <c r="L126" i="6"/>
  <c r="M126" i="6"/>
  <c r="N126" i="6"/>
  <c r="L127" i="6"/>
  <c r="M127" i="6"/>
  <c r="N127" i="6"/>
  <c r="L128" i="6"/>
  <c r="M128" i="6"/>
  <c r="N128" i="6"/>
  <c r="L129" i="6"/>
  <c r="M129" i="6"/>
  <c r="N129" i="6"/>
  <c r="L130" i="6"/>
  <c r="M130" i="6"/>
  <c r="N130" i="6"/>
  <c r="L131" i="6"/>
  <c r="M131" i="6"/>
  <c r="N131" i="6"/>
  <c r="L132" i="6"/>
  <c r="M132" i="6"/>
  <c r="N132" i="6"/>
  <c r="L133" i="6"/>
  <c r="M133" i="6"/>
  <c r="N133" i="6"/>
  <c r="L134" i="6"/>
  <c r="M134" i="6"/>
  <c r="N134" i="6"/>
  <c r="L135" i="6"/>
  <c r="M135" i="6"/>
  <c r="N135" i="6"/>
  <c r="L136" i="6"/>
  <c r="M136" i="6"/>
  <c r="N136" i="6"/>
  <c r="L137" i="6"/>
  <c r="M137" i="6"/>
  <c r="N137" i="6"/>
  <c r="L138" i="6"/>
  <c r="M138" i="6"/>
  <c r="N138" i="6"/>
  <c r="L139" i="6"/>
  <c r="M139" i="6"/>
  <c r="N139" i="6"/>
  <c r="L140" i="6"/>
  <c r="M140" i="6"/>
  <c r="N140" i="6"/>
  <c r="L141" i="6"/>
  <c r="M141" i="6"/>
  <c r="N141" i="6"/>
  <c r="L142" i="6"/>
  <c r="M142" i="6"/>
  <c r="N142" i="6"/>
  <c r="L143" i="6"/>
  <c r="M143" i="6"/>
  <c r="N143" i="6"/>
  <c r="L144" i="6"/>
  <c r="M144" i="6"/>
  <c r="N144" i="6"/>
  <c r="L145" i="6"/>
  <c r="M145" i="6"/>
  <c r="N145" i="6"/>
  <c r="L146" i="6"/>
  <c r="M146" i="6"/>
  <c r="N146" i="6"/>
  <c r="L147" i="6"/>
  <c r="M147" i="6"/>
  <c r="N147" i="6"/>
  <c r="L148" i="6"/>
  <c r="M148" i="6"/>
  <c r="N148" i="6"/>
  <c r="L149" i="6"/>
  <c r="M149" i="6"/>
  <c r="N149" i="6"/>
  <c r="L150" i="6"/>
  <c r="M150" i="6"/>
  <c r="N150" i="6"/>
  <c r="L151" i="6"/>
  <c r="M151" i="6"/>
  <c r="N151" i="6"/>
  <c r="L152" i="6"/>
  <c r="M152" i="6"/>
  <c r="N152" i="6"/>
  <c r="L153" i="6"/>
  <c r="M153" i="6"/>
  <c r="N153" i="6"/>
  <c r="L154" i="6"/>
  <c r="M154" i="6"/>
  <c r="N154" i="6"/>
  <c r="L155" i="6"/>
  <c r="M155" i="6"/>
  <c r="N155" i="6"/>
  <c r="L156" i="6"/>
  <c r="M156" i="6"/>
  <c r="N156" i="6"/>
  <c r="L157" i="6"/>
  <c r="M157" i="6"/>
  <c r="N157" i="6"/>
  <c r="L158" i="6"/>
  <c r="M158" i="6"/>
  <c r="N158" i="6"/>
  <c r="L159" i="6"/>
  <c r="M159" i="6"/>
  <c r="N159" i="6"/>
  <c r="L160" i="6"/>
  <c r="M160" i="6"/>
  <c r="N160" i="6"/>
  <c r="L161" i="6"/>
  <c r="M161" i="6"/>
  <c r="N161" i="6"/>
  <c r="L162" i="6"/>
  <c r="M162" i="6"/>
  <c r="N162" i="6"/>
  <c r="L163" i="6"/>
  <c r="M163" i="6"/>
  <c r="N163" i="6"/>
  <c r="L164" i="6"/>
  <c r="M164" i="6"/>
  <c r="N164" i="6"/>
  <c r="L165" i="6"/>
  <c r="M165" i="6"/>
  <c r="N165" i="6"/>
  <c r="L166" i="6"/>
  <c r="M166" i="6"/>
  <c r="N166" i="6"/>
  <c r="L167" i="6"/>
  <c r="M167" i="6"/>
  <c r="N167" i="6"/>
  <c r="L168" i="6"/>
  <c r="M168" i="6"/>
  <c r="N168" i="6"/>
  <c r="L169" i="6"/>
  <c r="M169" i="6"/>
  <c r="N169" i="6"/>
  <c r="L170" i="6"/>
  <c r="M170" i="6"/>
  <c r="N170" i="6"/>
  <c r="L171" i="6"/>
  <c r="M171" i="6"/>
  <c r="N171" i="6"/>
  <c r="L172" i="6"/>
  <c r="M172" i="6"/>
  <c r="N172" i="6"/>
  <c r="L173" i="6"/>
  <c r="M173" i="6"/>
  <c r="N173" i="6"/>
  <c r="L174" i="6"/>
  <c r="M174" i="6"/>
  <c r="N174" i="6"/>
  <c r="L175" i="6"/>
  <c r="M175" i="6"/>
  <c r="N175" i="6"/>
  <c r="L176" i="6"/>
  <c r="M176" i="6"/>
  <c r="N176" i="6"/>
  <c r="L177" i="6"/>
  <c r="M177" i="6"/>
  <c r="N177" i="6"/>
  <c r="L178" i="6"/>
  <c r="M178" i="6"/>
  <c r="N178" i="6"/>
  <c r="L179" i="6"/>
  <c r="M179" i="6"/>
  <c r="N179" i="6"/>
  <c r="L180" i="6"/>
  <c r="M180" i="6"/>
  <c r="N180" i="6"/>
  <c r="L181" i="6"/>
  <c r="M181" i="6"/>
  <c r="N181" i="6"/>
  <c r="L182" i="6"/>
  <c r="M182" i="6"/>
  <c r="N182" i="6"/>
  <c r="L183" i="6"/>
  <c r="M183" i="6"/>
  <c r="N183" i="6"/>
  <c r="L184" i="6"/>
  <c r="M184" i="6"/>
  <c r="N184" i="6"/>
  <c r="L185" i="6"/>
  <c r="M185" i="6"/>
  <c r="N185" i="6"/>
  <c r="L186" i="6"/>
  <c r="M186" i="6"/>
  <c r="N186" i="6"/>
  <c r="L187" i="6"/>
  <c r="M187" i="6"/>
  <c r="N187" i="6"/>
  <c r="L188" i="6"/>
  <c r="M188" i="6"/>
  <c r="N188" i="6"/>
  <c r="L189" i="6"/>
  <c r="M189" i="6"/>
  <c r="N189" i="6"/>
  <c r="L190" i="6"/>
  <c r="M190" i="6"/>
  <c r="N190" i="6"/>
  <c r="L191" i="6"/>
  <c r="M191" i="6"/>
  <c r="N191" i="6"/>
  <c r="L192" i="6"/>
  <c r="M192" i="6"/>
  <c r="N192" i="6"/>
  <c r="L193" i="6"/>
  <c r="M193" i="6"/>
  <c r="N193" i="6"/>
  <c r="L194" i="6"/>
  <c r="M194" i="6"/>
  <c r="N194" i="6"/>
  <c r="L195" i="6"/>
  <c r="M195" i="6"/>
  <c r="N195" i="6"/>
  <c r="L196" i="6"/>
  <c r="M196" i="6"/>
  <c r="N196" i="6"/>
  <c r="L197" i="6"/>
  <c r="M197" i="6"/>
  <c r="N197" i="6"/>
  <c r="L198" i="6"/>
  <c r="M198" i="6"/>
  <c r="N198" i="6"/>
  <c r="L199" i="6"/>
  <c r="M199" i="6"/>
  <c r="N199" i="6"/>
  <c r="L200" i="6"/>
  <c r="M200" i="6"/>
  <c r="N200" i="6"/>
  <c r="L201" i="6"/>
  <c r="M201" i="6"/>
  <c r="N201" i="6"/>
  <c r="L202" i="6"/>
  <c r="M202" i="6"/>
  <c r="N202" i="6"/>
  <c r="L203" i="6"/>
  <c r="M203" i="6"/>
  <c r="N203" i="6"/>
  <c r="L204" i="6"/>
  <c r="M204" i="6"/>
  <c r="N204" i="6"/>
  <c r="L205" i="6"/>
  <c r="M205" i="6"/>
  <c r="N205" i="6"/>
  <c r="L206" i="6"/>
  <c r="M206" i="6"/>
  <c r="N206" i="6"/>
  <c r="L207" i="6"/>
  <c r="M207" i="6"/>
  <c r="N207" i="6"/>
  <c r="L208" i="6"/>
  <c r="M208" i="6"/>
  <c r="N208" i="6"/>
  <c r="L209" i="6"/>
  <c r="M209" i="6"/>
  <c r="N209" i="6"/>
  <c r="L210" i="6"/>
  <c r="M210" i="6"/>
  <c r="N210" i="6"/>
  <c r="L211" i="6"/>
  <c r="M211" i="6"/>
  <c r="N211" i="6"/>
  <c r="L212" i="6"/>
  <c r="M212" i="6"/>
  <c r="N212" i="6"/>
  <c r="L213" i="6"/>
  <c r="M213" i="6"/>
  <c r="N213" i="6"/>
  <c r="L214" i="6"/>
  <c r="M214" i="6"/>
  <c r="N214" i="6"/>
  <c r="L215" i="6"/>
  <c r="M215" i="6"/>
  <c r="N215" i="6"/>
  <c r="L216" i="6"/>
  <c r="M216" i="6"/>
  <c r="N216" i="6"/>
  <c r="L217" i="6"/>
  <c r="M217" i="6"/>
  <c r="N217" i="6"/>
  <c r="L218" i="6"/>
  <c r="M218" i="6"/>
  <c r="N218" i="6"/>
  <c r="L219" i="6"/>
  <c r="M219" i="6"/>
  <c r="N219" i="6"/>
  <c r="L220" i="6"/>
  <c r="M220" i="6"/>
  <c r="N220" i="6"/>
  <c r="L221" i="6"/>
  <c r="M221" i="6"/>
  <c r="N221" i="6"/>
  <c r="L222" i="6"/>
  <c r="M222" i="6"/>
  <c r="N222" i="6"/>
  <c r="L223" i="6"/>
  <c r="M223" i="6"/>
  <c r="N223" i="6"/>
  <c r="L224" i="6"/>
  <c r="M224" i="6"/>
  <c r="N224" i="6"/>
  <c r="L225" i="6"/>
  <c r="M225" i="6"/>
  <c r="N225" i="6"/>
  <c r="L226" i="6"/>
  <c r="M226" i="6"/>
  <c r="N226" i="6"/>
  <c r="L227" i="6"/>
  <c r="M227" i="6"/>
  <c r="N227" i="6"/>
  <c r="L228" i="6"/>
  <c r="M228" i="6"/>
  <c r="N228" i="6"/>
  <c r="L229" i="6"/>
  <c r="M229" i="6"/>
  <c r="N229" i="6"/>
  <c r="L230" i="6"/>
  <c r="M230" i="6"/>
  <c r="N230" i="6"/>
  <c r="L231" i="6"/>
  <c r="M231" i="6"/>
  <c r="N231" i="6"/>
  <c r="L232" i="6"/>
  <c r="M232" i="6"/>
  <c r="N232" i="6"/>
  <c r="L233" i="6"/>
  <c r="M233" i="6"/>
  <c r="N233" i="6"/>
  <c r="L234" i="6"/>
  <c r="M234" i="6"/>
  <c r="N234" i="6"/>
  <c r="L235" i="6"/>
  <c r="M235" i="6"/>
  <c r="N235" i="6"/>
  <c r="L236" i="6"/>
  <c r="M236" i="6"/>
  <c r="N236" i="6"/>
  <c r="L237" i="6"/>
  <c r="M237" i="6"/>
  <c r="N237" i="6"/>
  <c r="L238" i="6"/>
  <c r="M238" i="6"/>
  <c r="N238" i="6"/>
  <c r="L239" i="6"/>
  <c r="M239" i="6"/>
  <c r="N239" i="6"/>
  <c r="L240" i="6"/>
  <c r="M240" i="6"/>
  <c r="N240" i="6"/>
  <c r="L241" i="6"/>
  <c r="M241" i="6"/>
  <c r="N241" i="6"/>
  <c r="L242" i="6"/>
  <c r="M242" i="6"/>
  <c r="N242" i="6"/>
  <c r="L243" i="6"/>
  <c r="M243" i="6"/>
  <c r="N243" i="6"/>
  <c r="L244" i="6"/>
  <c r="M244" i="6"/>
  <c r="N244" i="6"/>
  <c r="L245" i="6"/>
  <c r="M245" i="6"/>
  <c r="N245" i="6"/>
  <c r="L246" i="6"/>
  <c r="M246" i="6"/>
  <c r="N246" i="6"/>
  <c r="L247" i="6"/>
  <c r="M247" i="6"/>
  <c r="N247" i="6"/>
  <c r="L248" i="6"/>
  <c r="M248" i="6"/>
  <c r="N248" i="6"/>
  <c r="L249" i="6"/>
  <c r="M249" i="6"/>
  <c r="N249" i="6"/>
  <c r="L250" i="6"/>
  <c r="M250" i="6"/>
  <c r="N250" i="6"/>
  <c r="L251" i="6"/>
  <c r="M251" i="6"/>
  <c r="N251" i="6"/>
  <c r="L252" i="6"/>
  <c r="M252" i="6"/>
  <c r="N252" i="6"/>
  <c r="L253" i="6"/>
  <c r="M253" i="6"/>
  <c r="N253" i="6"/>
  <c r="L254" i="6"/>
  <c r="M254" i="6"/>
  <c r="N254" i="6"/>
  <c r="L255" i="6"/>
  <c r="M255" i="6"/>
  <c r="N255" i="6"/>
  <c r="L256" i="6"/>
  <c r="M256" i="6"/>
  <c r="N256" i="6"/>
  <c r="L257" i="6"/>
  <c r="M257" i="6"/>
  <c r="N257" i="6"/>
  <c r="L258" i="6"/>
  <c r="M258" i="6"/>
  <c r="N258" i="6"/>
  <c r="L259" i="6"/>
  <c r="M259" i="6"/>
  <c r="N259" i="6"/>
  <c r="L260" i="6"/>
  <c r="M260" i="6"/>
  <c r="N260" i="6"/>
  <c r="L261" i="6"/>
  <c r="M261" i="6"/>
  <c r="N261" i="6"/>
  <c r="L262" i="6"/>
  <c r="M262" i="6"/>
  <c r="N262" i="6"/>
  <c r="L263" i="6"/>
  <c r="M263" i="6"/>
  <c r="N263" i="6"/>
  <c r="L264" i="6"/>
  <c r="M264" i="6"/>
  <c r="N264" i="6"/>
  <c r="L265" i="6"/>
  <c r="M265" i="6"/>
  <c r="N265" i="6"/>
  <c r="L266" i="6"/>
  <c r="M266" i="6"/>
  <c r="N266" i="6"/>
  <c r="L267" i="6"/>
  <c r="M267" i="6"/>
  <c r="N267" i="6"/>
  <c r="L268" i="6"/>
  <c r="M268" i="6"/>
  <c r="N268" i="6"/>
  <c r="L269" i="6"/>
  <c r="M269" i="6"/>
  <c r="N269" i="6"/>
  <c r="L270" i="6"/>
  <c r="M270" i="6"/>
  <c r="N270" i="6"/>
  <c r="L271" i="6"/>
  <c r="M271" i="6"/>
  <c r="N271" i="6"/>
  <c r="L272" i="6"/>
  <c r="M272" i="6"/>
  <c r="N272" i="6"/>
  <c r="L273" i="6"/>
  <c r="M273" i="6"/>
  <c r="N273" i="6"/>
  <c r="L274" i="6"/>
  <c r="M274" i="6"/>
  <c r="N274" i="6"/>
  <c r="L275" i="6"/>
  <c r="M275" i="6"/>
  <c r="N275" i="6"/>
  <c r="L276" i="6"/>
  <c r="M276" i="6"/>
  <c r="N276" i="6"/>
  <c r="L277" i="6"/>
  <c r="M277" i="6"/>
  <c r="N277" i="6"/>
  <c r="L278" i="6"/>
  <c r="M278" i="6"/>
  <c r="N278" i="6"/>
  <c r="L279" i="6"/>
  <c r="M279" i="6"/>
  <c r="N279" i="6"/>
  <c r="L280" i="6"/>
  <c r="M280" i="6"/>
  <c r="N280" i="6"/>
  <c r="L281" i="6"/>
  <c r="M281" i="6"/>
  <c r="N281" i="6"/>
  <c r="L282" i="6"/>
  <c r="M282" i="6"/>
  <c r="N282" i="6"/>
  <c r="L283" i="6"/>
  <c r="M283" i="6"/>
  <c r="N283" i="6"/>
  <c r="L284" i="6"/>
  <c r="M284" i="6"/>
  <c r="N284" i="6"/>
  <c r="L285" i="6"/>
  <c r="M285" i="6"/>
  <c r="N285" i="6"/>
  <c r="L286" i="6"/>
  <c r="M286" i="6"/>
  <c r="N286" i="6"/>
  <c r="L287" i="6"/>
  <c r="M287" i="6"/>
  <c r="N287" i="6"/>
  <c r="L288" i="6"/>
  <c r="M288" i="6"/>
  <c r="N288" i="6"/>
  <c r="L289" i="6"/>
  <c r="M289" i="6"/>
  <c r="N289" i="6"/>
  <c r="L290" i="6"/>
  <c r="M290" i="6"/>
  <c r="N290" i="6"/>
  <c r="L291" i="6"/>
  <c r="M291" i="6"/>
  <c r="N291" i="6"/>
  <c r="L292" i="6"/>
  <c r="M292" i="6"/>
  <c r="N292" i="6"/>
  <c r="L293" i="6"/>
  <c r="M293" i="6"/>
  <c r="N293" i="6"/>
  <c r="L294" i="6"/>
  <c r="M294" i="6"/>
  <c r="N294" i="6"/>
  <c r="L295" i="6"/>
  <c r="M295" i="6"/>
  <c r="N295" i="6"/>
  <c r="L296" i="6"/>
  <c r="M296" i="6"/>
  <c r="N296" i="6"/>
  <c r="L297" i="6"/>
  <c r="M297" i="6"/>
  <c r="N297" i="6"/>
  <c r="L298" i="6"/>
  <c r="M298" i="6"/>
  <c r="N298" i="6"/>
  <c r="L299" i="6"/>
  <c r="M299" i="6"/>
  <c r="N299" i="6"/>
  <c r="L300" i="6"/>
  <c r="M300" i="6"/>
  <c r="N300" i="6"/>
  <c r="L301" i="6"/>
  <c r="M301" i="6"/>
  <c r="N301" i="6"/>
  <c r="L302" i="6"/>
  <c r="M302" i="6"/>
  <c r="N302" i="6"/>
  <c r="L303" i="6"/>
  <c r="M303" i="6"/>
  <c r="N303" i="6"/>
  <c r="L304" i="6"/>
  <c r="M304" i="6"/>
  <c r="N304" i="6"/>
  <c r="L305" i="6"/>
  <c r="M305" i="6"/>
  <c r="N305" i="6"/>
  <c r="L306" i="6"/>
  <c r="M306" i="6"/>
  <c r="N306" i="6"/>
  <c r="L307" i="6"/>
  <c r="M307" i="6"/>
  <c r="N307" i="6"/>
  <c r="L308" i="6"/>
  <c r="M308" i="6"/>
  <c r="N308" i="6"/>
  <c r="L309" i="6"/>
  <c r="M309" i="6"/>
  <c r="N309" i="6"/>
  <c r="L310" i="6"/>
  <c r="M310" i="6"/>
  <c r="N310" i="6"/>
  <c r="L311" i="6"/>
  <c r="M311" i="6"/>
  <c r="N311" i="6"/>
  <c r="L312" i="6"/>
  <c r="M312" i="6"/>
  <c r="N312" i="6"/>
  <c r="L313" i="6"/>
  <c r="M313" i="6"/>
  <c r="N313" i="6"/>
  <c r="L314" i="6"/>
  <c r="M314" i="6"/>
  <c r="N314" i="6"/>
  <c r="L315" i="6"/>
  <c r="M315" i="6"/>
  <c r="N315" i="6"/>
  <c r="L316" i="6"/>
  <c r="M316" i="6"/>
  <c r="N316" i="6"/>
  <c r="L317" i="6"/>
  <c r="M317" i="6"/>
  <c r="N317" i="6"/>
  <c r="L318" i="6"/>
  <c r="M318" i="6"/>
  <c r="N318" i="6"/>
  <c r="L319" i="6"/>
  <c r="M319" i="6"/>
  <c r="N319" i="6"/>
  <c r="L320" i="6"/>
  <c r="M320" i="6"/>
  <c r="N320" i="6"/>
  <c r="L321" i="6"/>
  <c r="M321" i="6"/>
  <c r="N321" i="6"/>
  <c r="L322" i="6"/>
  <c r="M322" i="6"/>
  <c r="N322" i="6"/>
  <c r="L323" i="6"/>
  <c r="M323" i="6"/>
  <c r="N323" i="6"/>
  <c r="L324" i="6"/>
  <c r="M324" i="6"/>
  <c r="N324" i="6"/>
  <c r="L325" i="6"/>
  <c r="M325" i="6"/>
  <c r="N325" i="6"/>
  <c r="L326" i="6"/>
  <c r="M326" i="6"/>
  <c r="N326" i="6"/>
  <c r="L327" i="6"/>
  <c r="M327" i="6"/>
  <c r="N327" i="6"/>
  <c r="L328" i="6"/>
  <c r="M328" i="6"/>
  <c r="N328" i="6"/>
  <c r="L329" i="6"/>
  <c r="M329" i="6"/>
  <c r="N329" i="6"/>
  <c r="L330" i="6"/>
  <c r="M330" i="6"/>
  <c r="N330" i="6"/>
  <c r="L331" i="6"/>
  <c r="M331" i="6"/>
  <c r="N331" i="6"/>
  <c r="L332" i="6"/>
  <c r="M332" i="6"/>
  <c r="N332" i="6"/>
  <c r="L333" i="6"/>
  <c r="M333" i="6"/>
  <c r="N333" i="6"/>
  <c r="L334" i="6"/>
  <c r="M334" i="6"/>
  <c r="N334" i="6"/>
  <c r="L335" i="6"/>
  <c r="M335" i="6"/>
  <c r="N335" i="6"/>
  <c r="L336" i="6"/>
  <c r="M336" i="6"/>
  <c r="N336" i="6"/>
  <c r="L337" i="6"/>
  <c r="M337" i="6"/>
  <c r="N337" i="6"/>
  <c r="L338" i="6"/>
  <c r="M338" i="6"/>
  <c r="N338" i="6"/>
  <c r="L339" i="6"/>
  <c r="M339" i="6"/>
  <c r="N339" i="6"/>
  <c r="L340" i="6"/>
  <c r="M340" i="6"/>
  <c r="N340" i="6"/>
  <c r="L341" i="6"/>
  <c r="M341" i="6"/>
  <c r="N341" i="6"/>
  <c r="L342" i="6"/>
  <c r="M342" i="6"/>
  <c r="N342" i="6"/>
  <c r="L343" i="6"/>
  <c r="M343" i="6"/>
  <c r="N343" i="6"/>
  <c r="L344" i="6"/>
  <c r="M344" i="6"/>
  <c r="N344" i="6"/>
  <c r="L345" i="6"/>
  <c r="M345" i="6"/>
  <c r="N345" i="6"/>
  <c r="L346" i="6"/>
  <c r="M346" i="6"/>
  <c r="N346" i="6"/>
  <c r="L347" i="6"/>
  <c r="M347" i="6"/>
  <c r="N347" i="6"/>
  <c r="L348" i="6"/>
  <c r="M348" i="6"/>
  <c r="N348" i="6"/>
  <c r="L349" i="6"/>
  <c r="M349" i="6"/>
  <c r="N349" i="6"/>
  <c r="L350" i="6"/>
  <c r="M350" i="6"/>
  <c r="N350" i="6"/>
  <c r="L351" i="6"/>
  <c r="M351" i="6"/>
  <c r="N351" i="6"/>
  <c r="L352" i="6"/>
  <c r="M352" i="6"/>
  <c r="N352" i="6"/>
  <c r="L353" i="6"/>
  <c r="M353" i="6"/>
  <c r="N353" i="6"/>
  <c r="L354" i="6"/>
  <c r="M354" i="6"/>
  <c r="N354" i="6"/>
  <c r="L355" i="6"/>
  <c r="M355" i="6"/>
  <c r="N355" i="6"/>
  <c r="L356" i="6"/>
  <c r="M356" i="6"/>
  <c r="N356" i="6"/>
  <c r="L357" i="6"/>
  <c r="M357" i="6"/>
  <c r="N357" i="6"/>
  <c r="L358" i="6"/>
  <c r="M358" i="6"/>
  <c r="N358" i="6"/>
  <c r="L359" i="6"/>
  <c r="M359" i="6"/>
  <c r="N359" i="6"/>
  <c r="L360" i="6"/>
  <c r="M360" i="6"/>
  <c r="N360" i="6"/>
  <c r="L361" i="6"/>
  <c r="M361" i="6"/>
  <c r="N361" i="6"/>
  <c r="L362" i="6"/>
  <c r="M362" i="6"/>
  <c r="N362" i="6"/>
  <c r="L363" i="6"/>
  <c r="M363" i="6"/>
  <c r="N363" i="6"/>
  <c r="L364" i="6"/>
  <c r="M364" i="6"/>
  <c r="N364" i="6"/>
  <c r="L365" i="6"/>
  <c r="M365" i="6"/>
  <c r="N365" i="6"/>
  <c r="L366" i="6"/>
  <c r="M366" i="6"/>
  <c r="N366" i="6"/>
  <c r="L367" i="6"/>
  <c r="M367" i="6"/>
  <c r="N367" i="6"/>
  <c r="L368" i="6"/>
  <c r="M368" i="6"/>
  <c r="N368" i="6"/>
  <c r="L369" i="6"/>
  <c r="M369" i="6"/>
  <c r="N369" i="6"/>
  <c r="L370" i="6"/>
  <c r="M370" i="6"/>
  <c r="N370" i="6"/>
  <c r="L371" i="6"/>
  <c r="M371" i="6"/>
  <c r="N371" i="6"/>
  <c r="L372" i="6"/>
  <c r="M372" i="6"/>
  <c r="N372" i="6"/>
  <c r="L373" i="6"/>
  <c r="M373" i="6"/>
  <c r="N373" i="6"/>
  <c r="L374" i="6"/>
  <c r="M374" i="6"/>
  <c r="N374" i="6"/>
  <c r="L375" i="6"/>
  <c r="M375" i="6"/>
  <c r="N375" i="6"/>
  <c r="L376" i="6"/>
  <c r="M376" i="6"/>
  <c r="N376" i="6"/>
  <c r="L377" i="6"/>
  <c r="M377" i="6"/>
  <c r="N377" i="6"/>
  <c r="L378" i="6"/>
  <c r="M378" i="6"/>
  <c r="N378" i="6"/>
  <c r="L379" i="6"/>
  <c r="M379" i="6"/>
  <c r="N379" i="6"/>
  <c r="L380" i="6"/>
  <c r="M380" i="6"/>
  <c r="N380" i="6"/>
  <c r="L381" i="6"/>
  <c r="M381" i="6"/>
  <c r="N381" i="6"/>
  <c r="L382" i="6"/>
  <c r="M382" i="6"/>
  <c r="N382" i="6"/>
  <c r="L383" i="6"/>
  <c r="M383" i="6"/>
  <c r="N383" i="6"/>
  <c r="L384" i="6"/>
  <c r="M384" i="6"/>
  <c r="N384" i="6"/>
  <c r="L385" i="6"/>
  <c r="M385" i="6"/>
  <c r="N385" i="6"/>
  <c r="L386" i="6"/>
  <c r="M386" i="6"/>
  <c r="N386" i="6"/>
  <c r="L387" i="6"/>
  <c r="M387" i="6"/>
  <c r="N387" i="6"/>
  <c r="L388" i="6"/>
  <c r="M388" i="6"/>
  <c r="N388" i="6"/>
  <c r="L389" i="6"/>
  <c r="M389" i="6"/>
  <c r="N389" i="6"/>
  <c r="L390" i="6"/>
  <c r="M390" i="6"/>
  <c r="N390" i="6"/>
  <c r="L391" i="6"/>
  <c r="M391" i="6"/>
  <c r="N391" i="6"/>
  <c r="L392" i="6"/>
  <c r="M392" i="6"/>
  <c r="N392" i="6"/>
  <c r="L393" i="6"/>
  <c r="M393" i="6"/>
  <c r="N393" i="6"/>
  <c r="L394" i="6"/>
  <c r="M394" i="6"/>
  <c r="N394" i="6"/>
  <c r="L395" i="6"/>
  <c r="M395" i="6"/>
  <c r="N395" i="6"/>
  <c r="L396" i="6"/>
  <c r="M396" i="6"/>
  <c r="N396" i="6"/>
  <c r="L397" i="6"/>
  <c r="M397" i="6"/>
  <c r="N397" i="6"/>
  <c r="L398" i="6"/>
  <c r="M398" i="6"/>
  <c r="N398" i="6"/>
  <c r="L399" i="6"/>
  <c r="M399" i="6"/>
  <c r="N399" i="6"/>
  <c r="L400" i="6"/>
  <c r="M400" i="6"/>
  <c r="N400" i="6"/>
  <c r="L401" i="6"/>
  <c r="M401" i="6"/>
  <c r="N401" i="6"/>
  <c r="L402" i="6"/>
  <c r="M402" i="6"/>
  <c r="N402" i="6"/>
  <c r="L403" i="6"/>
  <c r="M403" i="6"/>
  <c r="N403" i="6"/>
  <c r="L404" i="6"/>
  <c r="M404" i="6"/>
  <c r="N404" i="6"/>
  <c r="L405" i="6"/>
  <c r="M405" i="6"/>
  <c r="N405" i="6"/>
  <c r="L406" i="6"/>
  <c r="M406" i="6"/>
  <c r="N406" i="6"/>
  <c r="L407" i="6"/>
  <c r="M407" i="6"/>
  <c r="N407" i="6"/>
  <c r="L408" i="6"/>
  <c r="M408" i="6"/>
  <c r="N408" i="6"/>
  <c r="L409" i="6"/>
  <c r="M409" i="6"/>
  <c r="N409" i="6"/>
  <c r="L410" i="6"/>
  <c r="M410" i="6"/>
  <c r="N410" i="6"/>
  <c r="L411" i="6"/>
  <c r="M411" i="6"/>
  <c r="N411" i="6"/>
  <c r="L412" i="6"/>
  <c r="M412" i="6"/>
  <c r="N412" i="6"/>
  <c r="L413" i="6"/>
  <c r="M413" i="6"/>
  <c r="N413" i="6"/>
  <c r="L414" i="6"/>
  <c r="M414" i="6"/>
  <c r="N414" i="6"/>
  <c r="L415" i="6"/>
  <c r="M415" i="6"/>
  <c r="N415" i="6"/>
  <c r="L416" i="6"/>
  <c r="M416" i="6"/>
  <c r="N416" i="6"/>
  <c r="L417" i="6"/>
  <c r="M417" i="6"/>
  <c r="N417" i="6"/>
  <c r="L418" i="6"/>
  <c r="M418" i="6"/>
  <c r="N418" i="6"/>
  <c r="L419" i="6"/>
  <c r="M419" i="6"/>
  <c r="N419" i="6"/>
  <c r="L420" i="6"/>
  <c r="M420" i="6"/>
  <c r="N420" i="6"/>
  <c r="L421" i="6"/>
  <c r="M421" i="6"/>
  <c r="N421" i="6"/>
  <c r="L422" i="6"/>
  <c r="M422" i="6"/>
  <c r="N422" i="6"/>
  <c r="L423" i="6"/>
  <c r="M423" i="6"/>
  <c r="N423" i="6"/>
  <c r="L424" i="6"/>
  <c r="M424" i="6"/>
  <c r="N424" i="6"/>
  <c r="L425" i="6"/>
  <c r="M425" i="6"/>
  <c r="N425" i="6"/>
  <c r="L426" i="6"/>
  <c r="M426" i="6"/>
  <c r="N426" i="6"/>
  <c r="L427" i="6"/>
  <c r="M427" i="6"/>
  <c r="N427" i="6"/>
  <c r="L428" i="6"/>
  <c r="M428" i="6"/>
  <c r="N428" i="6"/>
  <c r="L429" i="6"/>
  <c r="M429" i="6"/>
  <c r="N429" i="6"/>
  <c r="L430" i="6"/>
  <c r="M430" i="6"/>
  <c r="N430" i="6"/>
  <c r="L431" i="6"/>
  <c r="M431" i="6"/>
  <c r="N431" i="6"/>
  <c r="L432" i="6"/>
  <c r="M432" i="6"/>
  <c r="N432" i="6"/>
  <c r="L433" i="6"/>
  <c r="M433" i="6"/>
  <c r="N433" i="6"/>
  <c r="L434" i="6"/>
  <c r="M434" i="6"/>
  <c r="N434" i="6"/>
  <c r="L435" i="6"/>
  <c r="M435" i="6"/>
  <c r="N435" i="6"/>
  <c r="L436" i="6"/>
  <c r="M436" i="6"/>
  <c r="N436" i="6"/>
  <c r="L437" i="6"/>
  <c r="M437" i="6"/>
  <c r="N437" i="6"/>
  <c r="L438" i="6"/>
  <c r="M438" i="6"/>
  <c r="N438" i="6"/>
  <c r="L439" i="6"/>
  <c r="M439" i="6"/>
  <c r="N439" i="6"/>
  <c r="L440" i="6"/>
  <c r="M440" i="6"/>
  <c r="N440" i="6"/>
  <c r="L441" i="6"/>
  <c r="M441" i="6"/>
  <c r="N441" i="6"/>
  <c r="L442" i="6"/>
  <c r="M442" i="6"/>
  <c r="N442" i="6"/>
  <c r="L443" i="6"/>
  <c r="M443" i="6"/>
  <c r="N443" i="6"/>
  <c r="L444" i="6"/>
  <c r="M444" i="6"/>
  <c r="N444" i="6"/>
  <c r="L445" i="6"/>
  <c r="M445" i="6"/>
  <c r="N445" i="6"/>
  <c r="L446" i="6"/>
  <c r="M446" i="6"/>
  <c r="N446" i="6"/>
  <c r="L447" i="6"/>
  <c r="M447" i="6"/>
  <c r="N447" i="6"/>
  <c r="L448" i="6"/>
  <c r="M448" i="6"/>
  <c r="N448" i="6"/>
  <c r="L449" i="6"/>
  <c r="M449" i="6"/>
  <c r="N449" i="6"/>
  <c r="L450" i="6"/>
  <c r="M450" i="6"/>
  <c r="N450" i="6"/>
  <c r="L451" i="6"/>
  <c r="M451" i="6"/>
  <c r="N451" i="6"/>
  <c r="L452" i="6"/>
  <c r="M452" i="6"/>
  <c r="N452" i="6"/>
  <c r="L453" i="6"/>
  <c r="M453" i="6"/>
  <c r="N453" i="6"/>
  <c r="L454" i="6"/>
  <c r="M454" i="6"/>
  <c r="N454" i="6"/>
  <c r="L455" i="6"/>
  <c r="M455" i="6"/>
  <c r="N455" i="6"/>
  <c r="L456" i="6"/>
  <c r="M456" i="6"/>
  <c r="N456" i="6"/>
  <c r="L457" i="6"/>
  <c r="M457" i="6"/>
  <c r="N457" i="6"/>
  <c r="L458" i="6"/>
  <c r="M458" i="6"/>
  <c r="N458" i="6"/>
  <c r="L459" i="6"/>
  <c r="M459" i="6"/>
  <c r="N459" i="6"/>
  <c r="L460" i="6"/>
  <c r="M460" i="6"/>
  <c r="N460" i="6"/>
  <c r="L461" i="6"/>
  <c r="M461" i="6"/>
  <c r="N461" i="6"/>
  <c r="L462" i="6"/>
  <c r="M462" i="6"/>
  <c r="N462" i="6"/>
  <c r="L463" i="6"/>
  <c r="M463" i="6"/>
  <c r="N463" i="6"/>
  <c r="L464" i="6"/>
  <c r="M464" i="6"/>
  <c r="N464" i="6"/>
  <c r="L465" i="6"/>
  <c r="M465" i="6"/>
  <c r="N465" i="6"/>
  <c r="L466" i="6"/>
  <c r="M466" i="6"/>
  <c r="N466" i="6"/>
  <c r="L467" i="6"/>
  <c r="M467" i="6"/>
  <c r="N467" i="6"/>
  <c r="L468" i="6"/>
  <c r="M468" i="6"/>
  <c r="N468" i="6"/>
  <c r="N41" i="9" l="1"/>
  <c r="C21" i="7"/>
  <c r="D21" i="7"/>
  <c r="E21" i="7"/>
  <c r="F21" i="7"/>
  <c r="G21" i="7"/>
  <c r="H21" i="7"/>
  <c r="I21" i="7"/>
  <c r="J21" i="7"/>
  <c r="K21" i="7"/>
  <c r="L21" i="7"/>
  <c r="M21" i="7"/>
  <c r="C25" i="7"/>
  <c r="D25" i="7"/>
  <c r="E25" i="7"/>
  <c r="F25" i="7"/>
  <c r="G25" i="7"/>
  <c r="H25" i="7"/>
  <c r="I25" i="7"/>
  <c r="J25" i="7"/>
  <c r="K25" i="7"/>
  <c r="L25" i="7"/>
  <c r="M25" i="7"/>
  <c r="C26" i="7"/>
  <c r="D26" i="7"/>
  <c r="E26" i="7"/>
  <c r="F26" i="7"/>
  <c r="G26" i="7"/>
  <c r="H26" i="7"/>
  <c r="I26" i="7"/>
  <c r="J26" i="7"/>
  <c r="K26" i="7"/>
  <c r="L26" i="7"/>
  <c r="M26" i="7"/>
  <c r="C27" i="7"/>
  <c r="D27" i="7"/>
  <c r="E27" i="7"/>
  <c r="F27" i="7"/>
  <c r="G27" i="7"/>
  <c r="H27" i="7"/>
  <c r="I27" i="7"/>
  <c r="J27" i="7"/>
  <c r="K27" i="7"/>
  <c r="L27" i="7"/>
  <c r="M27" i="7"/>
  <c r="B21" i="7"/>
  <c r="B25" i="7"/>
  <c r="B26" i="7"/>
  <c r="B27" i="7"/>
  <c r="P4" i="6"/>
  <c r="M96" i="6" l="1"/>
  <c r="M97" i="6"/>
  <c r="M98" i="6"/>
  <c r="M4" i="6"/>
  <c r="L96" i="6" l="1"/>
  <c r="H20" i="8" s="1"/>
  <c r="N96" i="6"/>
  <c r="L97" i="6"/>
  <c r="N97" i="6"/>
  <c r="L98" i="6"/>
  <c r="N98" i="6"/>
  <c r="A2" i="7"/>
  <c r="A2" i="8"/>
  <c r="M27" i="8"/>
  <c r="L27" i="8"/>
  <c r="K27" i="8"/>
  <c r="J27" i="8"/>
  <c r="I27" i="8"/>
  <c r="H27" i="8"/>
  <c r="G27" i="8"/>
  <c r="F27" i="8"/>
  <c r="E27" i="8"/>
  <c r="D27" i="8"/>
  <c r="C27" i="8"/>
  <c r="B27" i="8"/>
  <c r="M26" i="8"/>
  <c r="L26" i="8"/>
  <c r="K26" i="8"/>
  <c r="J26" i="8"/>
  <c r="I26" i="8"/>
  <c r="H26" i="8"/>
  <c r="G26" i="8"/>
  <c r="F26" i="8"/>
  <c r="E26" i="8"/>
  <c r="D26" i="8"/>
  <c r="C26" i="8"/>
  <c r="B26" i="8"/>
  <c r="M25" i="8"/>
  <c r="L25" i="8"/>
  <c r="K25" i="8"/>
  <c r="J25" i="8"/>
  <c r="I25" i="8"/>
  <c r="H25" i="8"/>
  <c r="G25" i="8"/>
  <c r="F25" i="8"/>
  <c r="E25" i="8"/>
  <c r="D25" i="8"/>
  <c r="C25" i="8"/>
  <c r="B25" i="8"/>
  <c r="M21" i="8"/>
  <c r="L21" i="8"/>
  <c r="K21" i="8"/>
  <c r="J21" i="8"/>
  <c r="I21" i="8"/>
  <c r="H21" i="8"/>
  <c r="G21" i="8"/>
  <c r="F21" i="8"/>
  <c r="E21" i="8"/>
  <c r="D21" i="8"/>
  <c r="C21" i="8"/>
  <c r="B21" i="8"/>
  <c r="M14" i="8"/>
  <c r="L14" i="8"/>
  <c r="K14" i="8"/>
  <c r="J14" i="8"/>
  <c r="I14" i="8"/>
  <c r="H14" i="8"/>
  <c r="G14" i="8"/>
  <c r="F14" i="8"/>
  <c r="E14" i="8"/>
  <c r="D14" i="8"/>
  <c r="C14" i="8"/>
  <c r="B14" i="8"/>
  <c r="M13" i="8"/>
  <c r="L13" i="8"/>
  <c r="L39" i="8" s="1"/>
  <c r="K13" i="8"/>
  <c r="J13" i="8"/>
  <c r="I13" i="8"/>
  <c r="H13" i="8"/>
  <c r="G13" i="8"/>
  <c r="F13" i="8"/>
  <c r="E13" i="8"/>
  <c r="D13" i="8"/>
  <c r="C13" i="8"/>
  <c r="B13" i="8"/>
  <c r="M12" i="8"/>
  <c r="L12" i="8"/>
  <c r="K12" i="8"/>
  <c r="J12" i="8"/>
  <c r="I12" i="8"/>
  <c r="H12" i="8"/>
  <c r="G12" i="8"/>
  <c r="F12" i="8"/>
  <c r="E12" i="8"/>
  <c r="D12" i="8"/>
  <c r="C12" i="8"/>
  <c r="B12" i="8"/>
  <c r="M11" i="8"/>
  <c r="L11" i="8"/>
  <c r="K11" i="8"/>
  <c r="J11" i="8"/>
  <c r="I11" i="8"/>
  <c r="H11" i="8"/>
  <c r="G11" i="8"/>
  <c r="F11" i="8"/>
  <c r="E11" i="8"/>
  <c r="D11" i="8"/>
  <c r="C11" i="8"/>
  <c r="B11" i="8"/>
  <c r="M8" i="8"/>
  <c r="L8" i="8"/>
  <c r="K8" i="8"/>
  <c r="J8" i="8"/>
  <c r="I8" i="8"/>
  <c r="H8" i="8"/>
  <c r="G8" i="8"/>
  <c r="F8" i="8"/>
  <c r="E8" i="8"/>
  <c r="D8" i="8"/>
  <c r="C8" i="8"/>
  <c r="B8" i="8"/>
  <c r="M7" i="8"/>
  <c r="L7" i="8"/>
  <c r="K7" i="8"/>
  <c r="I7" i="8"/>
  <c r="H7" i="8"/>
  <c r="G7" i="8"/>
  <c r="E7" i="8"/>
  <c r="D7" i="8"/>
  <c r="C7" i="8"/>
  <c r="B8" i="7"/>
  <c r="C8" i="7"/>
  <c r="D8" i="7"/>
  <c r="E8" i="7"/>
  <c r="F8" i="7"/>
  <c r="G8" i="7"/>
  <c r="H8" i="7"/>
  <c r="I8" i="7"/>
  <c r="J8" i="7"/>
  <c r="K8" i="7"/>
  <c r="L8" i="7"/>
  <c r="M8" i="7"/>
  <c r="B11" i="7"/>
  <c r="C11" i="7"/>
  <c r="D11" i="7"/>
  <c r="E11" i="7"/>
  <c r="F11" i="7"/>
  <c r="G11" i="7"/>
  <c r="H11" i="7"/>
  <c r="I11" i="7"/>
  <c r="J11" i="7"/>
  <c r="K11" i="7"/>
  <c r="L11" i="7"/>
  <c r="M11" i="7"/>
  <c r="B12" i="7"/>
  <c r="C12" i="7"/>
  <c r="D12" i="7"/>
  <c r="E12" i="7"/>
  <c r="F12" i="7"/>
  <c r="G12" i="7"/>
  <c r="H12" i="7"/>
  <c r="I12" i="7"/>
  <c r="J12" i="7"/>
  <c r="K12" i="7"/>
  <c r="L12" i="7"/>
  <c r="M12" i="7"/>
  <c r="B13" i="7"/>
  <c r="C13" i="7"/>
  <c r="D13" i="7"/>
  <c r="E13" i="7"/>
  <c r="F13" i="7"/>
  <c r="G13" i="7"/>
  <c r="H13" i="7"/>
  <c r="I13" i="7"/>
  <c r="J13" i="7"/>
  <c r="K13" i="7"/>
  <c r="L13" i="7"/>
  <c r="M13" i="7"/>
  <c r="B14" i="7"/>
  <c r="C14" i="7"/>
  <c r="D14" i="7"/>
  <c r="E14" i="7"/>
  <c r="F14" i="7"/>
  <c r="G14" i="7"/>
  <c r="H14" i="7"/>
  <c r="I14" i="7"/>
  <c r="J14" i="7"/>
  <c r="K14" i="7"/>
  <c r="L14" i="7"/>
  <c r="M14" i="7"/>
  <c r="M7" i="7"/>
  <c r="L7" i="7"/>
  <c r="K7" i="7"/>
  <c r="J7" i="7"/>
  <c r="I7" i="7"/>
  <c r="H7" i="7"/>
  <c r="G7" i="7"/>
  <c r="F7" i="7"/>
  <c r="E7" i="7"/>
  <c r="D7" i="7"/>
  <c r="Q4" i="6"/>
  <c r="L9" i="8" s="1"/>
  <c r="O4" i="6"/>
  <c r="N4" i="6" s="1"/>
  <c r="L4" i="6"/>
  <c r="D24" i="7" l="1"/>
  <c r="D37" i="7" s="1"/>
  <c r="F24" i="7"/>
  <c r="H24" i="7"/>
  <c r="H37" i="7" s="1"/>
  <c r="J24" i="7"/>
  <c r="J37" i="7" s="1"/>
  <c r="L24" i="7"/>
  <c r="L37" i="7" s="1"/>
  <c r="B24" i="7"/>
  <c r="B37" i="7" s="1"/>
  <c r="C24" i="7"/>
  <c r="C37" i="7" s="1"/>
  <c r="E24" i="7"/>
  <c r="E37" i="7" s="1"/>
  <c r="G24" i="7"/>
  <c r="I24" i="7"/>
  <c r="I37" i="7" s="1"/>
  <c r="K24" i="7"/>
  <c r="K37" i="7" s="1"/>
  <c r="M24" i="7"/>
  <c r="M37" i="7" s="1"/>
  <c r="B24" i="8"/>
  <c r="B37" i="8" s="1"/>
  <c r="D24" i="8"/>
  <c r="D37" i="8" s="1"/>
  <c r="F24" i="8"/>
  <c r="F37" i="8" s="1"/>
  <c r="H24" i="8"/>
  <c r="H37" i="8" s="1"/>
  <c r="J24" i="8"/>
  <c r="J37" i="8" s="1"/>
  <c r="L24" i="8"/>
  <c r="C24" i="8"/>
  <c r="C37" i="8" s="1"/>
  <c r="E24" i="8"/>
  <c r="E37" i="8" s="1"/>
  <c r="G24" i="8"/>
  <c r="G37" i="8" s="1"/>
  <c r="I24" i="8"/>
  <c r="I37" i="8" s="1"/>
  <c r="K24" i="8"/>
  <c r="K37" i="8" s="1"/>
  <c r="M24" i="8"/>
  <c r="M37" i="8" s="1"/>
  <c r="G10" i="7"/>
  <c r="H10" i="8"/>
  <c r="C10" i="7"/>
  <c r="L10" i="8"/>
  <c r="L15" i="8" s="1"/>
  <c r="K10" i="7"/>
  <c r="D10" i="8"/>
  <c r="B7" i="7"/>
  <c r="C7" i="7"/>
  <c r="J10" i="7"/>
  <c r="F10" i="7"/>
  <c r="B10" i="7"/>
  <c r="E10" i="8"/>
  <c r="I10" i="8"/>
  <c r="M10" i="8"/>
  <c r="M10" i="7"/>
  <c r="I10" i="7"/>
  <c r="E10" i="7"/>
  <c r="B7" i="8"/>
  <c r="F7" i="8"/>
  <c r="J7" i="8"/>
  <c r="B10" i="8"/>
  <c r="F10" i="8"/>
  <c r="J10" i="8"/>
  <c r="L10" i="7"/>
  <c r="H10" i="7"/>
  <c r="D10" i="7"/>
  <c r="C10" i="8"/>
  <c r="G10" i="8"/>
  <c r="K10" i="8"/>
  <c r="L20" i="7"/>
  <c r="L33" i="7" s="1"/>
  <c r="J20" i="7"/>
  <c r="J33" i="7" s="1"/>
  <c r="H20" i="7"/>
  <c r="H33" i="7" s="1"/>
  <c r="F20" i="7"/>
  <c r="F33" i="7" s="1"/>
  <c r="D20" i="7"/>
  <c r="D33" i="7" s="1"/>
  <c r="M20" i="7"/>
  <c r="M33" i="7" s="1"/>
  <c r="K20" i="7"/>
  <c r="K33" i="7" s="1"/>
  <c r="I20" i="7"/>
  <c r="I33" i="7" s="1"/>
  <c r="G20" i="7"/>
  <c r="G33" i="7" s="1"/>
  <c r="E20" i="7"/>
  <c r="E33" i="7" s="1"/>
  <c r="C20" i="7"/>
  <c r="B20" i="7"/>
  <c r="D23" i="7"/>
  <c r="D36" i="7" s="1"/>
  <c r="F23" i="7"/>
  <c r="H23" i="7"/>
  <c r="J23" i="7"/>
  <c r="J36" i="7" s="1"/>
  <c r="L23" i="7"/>
  <c r="B23" i="7"/>
  <c r="B36" i="7" s="1"/>
  <c r="C23" i="7"/>
  <c r="E23" i="7"/>
  <c r="E36" i="7" s="1"/>
  <c r="G23" i="7"/>
  <c r="I23" i="7"/>
  <c r="K23" i="7"/>
  <c r="M23" i="7"/>
  <c r="B23" i="8"/>
  <c r="D23" i="8"/>
  <c r="F23" i="8"/>
  <c r="H23" i="8"/>
  <c r="J23" i="8"/>
  <c r="L23" i="8"/>
  <c r="C23" i="8"/>
  <c r="E23" i="8"/>
  <c r="G23" i="8"/>
  <c r="I23" i="8"/>
  <c r="K23" i="8"/>
  <c r="M23" i="8"/>
  <c r="L22" i="8"/>
  <c r="L35" i="8" s="1"/>
  <c r="L9" i="7"/>
  <c r="D9" i="7"/>
  <c r="H9" i="8"/>
  <c r="E9" i="8"/>
  <c r="K9" i="8"/>
  <c r="H9" i="7"/>
  <c r="C9" i="8"/>
  <c r="B22" i="8"/>
  <c r="D22" i="8"/>
  <c r="F22" i="8"/>
  <c r="H22" i="8"/>
  <c r="H35" i="8" s="1"/>
  <c r="J22" i="8"/>
  <c r="K20" i="8"/>
  <c r="K33" i="8" s="1"/>
  <c r="D22" i="7"/>
  <c r="F22" i="7"/>
  <c r="H22" i="7"/>
  <c r="J22" i="7"/>
  <c r="L22" i="7"/>
  <c r="C22" i="7"/>
  <c r="E22" i="7"/>
  <c r="G22" i="7"/>
  <c r="I22" i="7"/>
  <c r="K22" i="7"/>
  <c r="M22" i="7"/>
  <c r="B22" i="7"/>
  <c r="C22" i="8"/>
  <c r="E22" i="8"/>
  <c r="G22" i="8"/>
  <c r="I22" i="8"/>
  <c r="K22" i="8"/>
  <c r="M22" i="8"/>
  <c r="D38" i="8"/>
  <c r="L40" i="8"/>
  <c r="E38" i="8"/>
  <c r="M38" i="8"/>
  <c r="I39" i="8"/>
  <c r="K9" i="7"/>
  <c r="G9" i="7"/>
  <c r="C9" i="7"/>
  <c r="D9" i="8"/>
  <c r="I9" i="8"/>
  <c r="M9" i="8"/>
  <c r="J9" i="7"/>
  <c r="F9" i="7"/>
  <c r="B9" i="7"/>
  <c r="F9" i="8"/>
  <c r="J9" i="8"/>
  <c r="M9" i="7"/>
  <c r="I9" i="7"/>
  <c r="E9" i="7"/>
  <c r="B9" i="8"/>
  <c r="G9" i="8"/>
  <c r="K39" i="8"/>
  <c r="D20" i="8"/>
  <c r="E20" i="8"/>
  <c r="E33" i="8" s="1"/>
  <c r="I20" i="8"/>
  <c r="I33" i="8" s="1"/>
  <c r="M20" i="8"/>
  <c r="M33" i="8" s="1"/>
  <c r="L20" i="8"/>
  <c r="E39" i="7"/>
  <c r="B20" i="8"/>
  <c r="F20" i="8"/>
  <c r="J20" i="8"/>
  <c r="C20" i="8"/>
  <c r="C33" i="8" s="1"/>
  <c r="G20" i="8"/>
  <c r="L37" i="8"/>
  <c r="D39" i="8"/>
  <c r="I38" i="8"/>
  <c r="E39" i="8"/>
  <c r="M39" i="8"/>
  <c r="E40" i="8"/>
  <c r="I40" i="8"/>
  <c r="M40" i="8"/>
  <c r="F37" i="7"/>
  <c r="L39" i="7"/>
  <c r="H39" i="7"/>
  <c r="K38" i="7"/>
  <c r="G38" i="7"/>
  <c r="C38" i="7"/>
  <c r="M40" i="7"/>
  <c r="I40" i="7"/>
  <c r="E40" i="7"/>
  <c r="D34" i="8"/>
  <c r="H38" i="8"/>
  <c r="L38" i="8"/>
  <c r="H39" i="8"/>
  <c r="D40" i="8"/>
  <c r="H40" i="8"/>
  <c r="L34" i="8"/>
  <c r="H34" i="8"/>
  <c r="E34" i="8"/>
  <c r="I34" i="8"/>
  <c r="M34" i="8"/>
  <c r="H33" i="8"/>
  <c r="K40" i="7"/>
  <c r="N13" i="8"/>
  <c r="F38" i="8"/>
  <c r="J39" i="8"/>
  <c r="E38" i="7"/>
  <c r="B34" i="8"/>
  <c r="F34" i="8"/>
  <c r="J34" i="8"/>
  <c r="B38" i="8"/>
  <c r="J38" i="8"/>
  <c r="F39" i="8"/>
  <c r="B40" i="8"/>
  <c r="F40" i="8"/>
  <c r="J40" i="8"/>
  <c r="J40" i="7"/>
  <c r="J39" i="7"/>
  <c r="F39" i="7"/>
  <c r="M38" i="7"/>
  <c r="I38" i="7"/>
  <c r="N8" i="8"/>
  <c r="N25" i="8"/>
  <c r="C38" i="8"/>
  <c r="N11" i="8"/>
  <c r="N12" i="8"/>
  <c r="N14" i="8"/>
  <c r="N21" i="8"/>
  <c r="G34" i="8"/>
  <c r="K34" i="8"/>
  <c r="G38" i="8"/>
  <c r="K38" i="8"/>
  <c r="C39" i="8"/>
  <c r="G39" i="8"/>
  <c r="C40" i="8"/>
  <c r="G40" i="8"/>
  <c r="K40" i="8"/>
  <c r="C34" i="8"/>
  <c r="N26" i="8"/>
  <c r="N27" i="8"/>
  <c r="B39" i="8"/>
  <c r="C40" i="7"/>
  <c r="D39" i="7"/>
  <c r="G40" i="7"/>
  <c r="F40" i="7"/>
  <c r="M39" i="7"/>
  <c r="I39" i="7"/>
  <c r="N26" i="7"/>
  <c r="L38" i="7"/>
  <c r="H38" i="7"/>
  <c r="D38" i="7"/>
  <c r="G37" i="7"/>
  <c r="L40" i="7"/>
  <c r="H40" i="7"/>
  <c r="D40" i="7"/>
  <c r="K39" i="7"/>
  <c r="G39" i="7"/>
  <c r="C39" i="7"/>
  <c r="J38" i="7"/>
  <c r="F34" i="7"/>
  <c r="M34" i="7"/>
  <c r="I34" i="7"/>
  <c r="E34" i="7"/>
  <c r="D34" i="7"/>
  <c r="N25" i="7"/>
  <c r="N27" i="7"/>
  <c r="B39" i="7"/>
  <c r="F38" i="7"/>
  <c r="N12" i="7"/>
  <c r="C34" i="7"/>
  <c r="N13" i="7"/>
  <c r="N14" i="7"/>
  <c r="N11" i="7"/>
  <c r="B38" i="7"/>
  <c r="B40" i="7"/>
  <c r="D6" i="5"/>
  <c r="E6" i="5" s="1"/>
  <c r="D7" i="5"/>
  <c r="E7" i="5" s="1"/>
  <c r="D8" i="5"/>
  <c r="E8" i="5" s="1"/>
  <c r="D9" i="5"/>
  <c r="E9" i="5" s="1"/>
  <c r="D10" i="5"/>
  <c r="E10" i="5" s="1"/>
  <c r="D11" i="5"/>
  <c r="E11" i="5" s="1"/>
  <c r="D19" i="5"/>
  <c r="E19" i="5" s="1"/>
  <c r="D20" i="5"/>
  <c r="D21" i="5"/>
  <c r="D23" i="5"/>
  <c r="E23" i="5" s="1"/>
  <c r="G6" i="5"/>
  <c r="H6" i="5" s="1"/>
  <c r="G7" i="5"/>
  <c r="G8" i="5"/>
  <c r="H8" i="5" s="1"/>
  <c r="G9" i="5"/>
  <c r="H9" i="5" s="1"/>
  <c r="G10" i="5"/>
  <c r="H10" i="5" s="1"/>
  <c r="G11" i="5"/>
  <c r="H11" i="5" s="1"/>
  <c r="G19" i="5"/>
  <c r="H19" i="5" s="1"/>
  <c r="G20" i="5"/>
  <c r="G21" i="5"/>
  <c r="H21" i="5" s="1"/>
  <c r="G23" i="5"/>
  <c r="H23" i="5" s="1"/>
  <c r="J6" i="5"/>
  <c r="K6" i="5" s="1"/>
  <c r="J7" i="5"/>
  <c r="K7" i="5" s="1"/>
  <c r="J8" i="5"/>
  <c r="K8" i="5" s="1"/>
  <c r="J9" i="5"/>
  <c r="K9" i="5" s="1"/>
  <c r="J10" i="5"/>
  <c r="J11" i="5"/>
  <c r="K11" i="5" s="1"/>
  <c r="J19" i="5"/>
  <c r="K19" i="5" s="1"/>
  <c r="J20" i="5"/>
  <c r="J21" i="5"/>
  <c r="K21" i="5" s="1"/>
  <c r="J23" i="5"/>
  <c r="K23" i="5" s="1"/>
  <c r="M6" i="5"/>
  <c r="N6" i="5" s="1"/>
  <c r="M7" i="5"/>
  <c r="N7" i="5" s="1"/>
  <c r="M8" i="5"/>
  <c r="N8" i="5" s="1"/>
  <c r="M9" i="5"/>
  <c r="M10" i="5"/>
  <c r="N10" i="5" s="1"/>
  <c r="M11" i="5"/>
  <c r="N11" i="5" s="1"/>
  <c r="M19" i="5"/>
  <c r="N19" i="5" s="1"/>
  <c r="M20" i="5"/>
  <c r="M21" i="5"/>
  <c r="N21" i="5" s="1"/>
  <c r="M23" i="5"/>
  <c r="N23" i="5" s="1"/>
  <c r="P9" i="5"/>
  <c r="Q9" i="5" s="1"/>
  <c r="P10" i="5"/>
  <c r="Q10" i="5" s="1"/>
  <c r="P11" i="5"/>
  <c r="Q11" i="5" s="1"/>
  <c r="P19" i="5"/>
  <c r="Q19" i="5" s="1"/>
  <c r="P20" i="5"/>
  <c r="P21" i="5"/>
  <c r="Q21" i="5" s="1"/>
  <c r="P23" i="5"/>
  <c r="Q23" i="5" s="1"/>
  <c r="P6" i="5"/>
  <c r="Q6" i="5" s="1"/>
  <c r="P7" i="5"/>
  <c r="Q7" i="5" s="1"/>
  <c r="P8" i="5"/>
  <c r="Q8" i="5" s="1"/>
  <c r="AH23" i="5"/>
  <c r="AI23" i="5" s="1"/>
  <c r="S23" i="5"/>
  <c r="T23" i="5" s="1"/>
  <c r="AG32" i="5"/>
  <c r="AI32" i="5" s="1"/>
  <c r="AH18" i="5"/>
  <c r="AI18" i="5" s="1"/>
  <c r="AH20" i="5"/>
  <c r="V20" i="5"/>
  <c r="S20" i="5"/>
  <c r="AH19" i="5"/>
  <c r="AI19" i="5" s="1"/>
  <c r="V19" i="5"/>
  <c r="W19" i="5" s="1"/>
  <c r="S19" i="5"/>
  <c r="T19" i="5" s="1"/>
  <c r="V23" i="5"/>
  <c r="W23" i="5" s="1"/>
  <c r="V7" i="5"/>
  <c r="W7" i="5" s="1"/>
  <c r="AH6" i="5"/>
  <c r="AI6" i="5" s="1"/>
  <c r="AH8" i="5"/>
  <c r="AI8" i="5" s="1"/>
  <c r="AH7" i="5"/>
  <c r="AI7" i="5" s="1"/>
  <c r="V8" i="5"/>
  <c r="W8" i="5" s="1"/>
  <c r="V6" i="5"/>
  <c r="W6" i="5" s="1"/>
  <c r="S8" i="5"/>
  <c r="T8" i="5" s="1"/>
  <c r="S7" i="5"/>
  <c r="T7" i="5" s="1"/>
  <c r="S6" i="5"/>
  <c r="T6" i="5" s="1"/>
  <c r="AH9" i="5"/>
  <c r="AI9" i="5" s="1"/>
  <c r="AH10" i="5"/>
  <c r="AI10" i="5" s="1"/>
  <c r="AH11" i="5"/>
  <c r="V9" i="5"/>
  <c r="W9" i="5" s="1"/>
  <c r="V10" i="5"/>
  <c r="W10" i="5" s="1"/>
  <c r="V11" i="5"/>
  <c r="W11" i="5" s="1"/>
  <c r="S11" i="5"/>
  <c r="T11" i="5" s="1"/>
  <c r="S9" i="5"/>
  <c r="T9" i="5" s="1"/>
  <c r="S10" i="5"/>
  <c r="T10" i="5" s="1"/>
  <c r="AH21" i="5"/>
  <c r="V21" i="5"/>
  <c r="W21" i="5" s="1"/>
  <c r="S21" i="5"/>
  <c r="T21" i="5" s="1"/>
  <c r="AH22" i="5"/>
  <c r="AI22" i="5" s="1"/>
  <c r="AG33" i="5"/>
  <c r="AI33" i="5" s="1"/>
  <c r="AG31" i="5"/>
  <c r="AI30" i="5"/>
  <c r="AF30" i="5"/>
  <c r="AC30" i="5"/>
  <c r="Z30" i="5"/>
  <c r="W30" i="5"/>
  <c r="T30" i="5"/>
  <c r="Q30" i="5"/>
  <c r="N30" i="5"/>
  <c r="K30" i="5"/>
  <c r="H30" i="5"/>
  <c r="E30" i="5"/>
  <c r="AI29" i="5"/>
  <c r="AF29" i="5"/>
  <c r="AC29" i="5"/>
  <c r="Z29" i="5"/>
  <c r="W29" i="5"/>
  <c r="T29" i="5"/>
  <c r="Q29" i="5"/>
  <c r="N29" i="5"/>
  <c r="K29" i="5"/>
  <c r="H29" i="5"/>
  <c r="E29" i="5"/>
  <c r="AI28" i="5"/>
  <c r="AF28" i="5"/>
  <c r="AC28" i="5"/>
  <c r="Z28" i="5"/>
  <c r="W28" i="5"/>
  <c r="T28" i="5"/>
  <c r="Q28" i="5"/>
  <c r="N28" i="5"/>
  <c r="K28" i="5"/>
  <c r="H28" i="5"/>
  <c r="E28" i="5"/>
  <c r="AI27" i="5"/>
  <c r="AC27" i="5"/>
  <c r="Z27" i="5"/>
  <c r="W27" i="5"/>
  <c r="T27" i="5"/>
  <c r="Q27" i="5"/>
  <c r="N27" i="5"/>
  <c r="K27" i="5"/>
  <c r="H27" i="5"/>
  <c r="E27" i="5"/>
  <c r="AI26" i="5"/>
  <c r="AF26" i="5"/>
  <c r="AC26" i="5"/>
  <c r="Z26" i="5"/>
  <c r="W26" i="5"/>
  <c r="T26" i="5"/>
  <c r="Q26" i="5"/>
  <c r="N26" i="5"/>
  <c r="K26" i="5"/>
  <c r="H26" i="5"/>
  <c r="E26" i="5"/>
  <c r="W22" i="5"/>
  <c r="T22" i="5"/>
  <c r="Q22" i="5"/>
  <c r="N22" i="5"/>
  <c r="K22" i="5"/>
  <c r="H22" i="5"/>
  <c r="E22" i="5"/>
  <c r="AI21" i="5"/>
  <c r="E21" i="5"/>
  <c r="W18" i="5"/>
  <c r="T18" i="5"/>
  <c r="Q18" i="5"/>
  <c r="N18" i="5"/>
  <c r="K18" i="5"/>
  <c r="H18" i="5"/>
  <c r="E18" i="5"/>
  <c r="AI15" i="5"/>
  <c r="W15" i="5"/>
  <c r="T15" i="5"/>
  <c r="Q15" i="5"/>
  <c r="N15" i="5"/>
  <c r="K15" i="5"/>
  <c r="H15" i="5"/>
  <c r="E15" i="5"/>
  <c r="AI14" i="5"/>
  <c r="W14" i="5"/>
  <c r="T14" i="5"/>
  <c r="Q14" i="5"/>
  <c r="N14" i="5"/>
  <c r="K14" i="5"/>
  <c r="H14" i="5"/>
  <c r="E14" i="5"/>
  <c r="AI11" i="5"/>
  <c r="K10" i="5"/>
  <c r="N9" i="5"/>
  <c r="H7" i="5"/>
  <c r="AK42" i="5"/>
  <c r="AN34" i="5"/>
  <c r="E15" i="7" l="1"/>
  <c r="N24" i="7"/>
  <c r="N37" i="7" s="1"/>
  <c r="N24" i="8"/>
  <c r="N37" i="8" s="1"/>
  <c r="H15" i="7"/>
  <c r="K36" i="7"/>
  <c r="I36" i="8"/>
  <c r="B36" i="8"/>
  <c r="G36" i="7"/>
  <c r="D36" i="8"/>
  <c r="H15" i="8"/>
  <c r="H36" i="8"/>
  <c r="J35" i="7"/>
  <c r="E36" i="8"/>
  <c r="G15" i="8"/>
  <c r="H36" i="7"/>
  <c r="C15" i="8"/>
  <c r="K36" i="8"/>
  <c r="B33" i="7"/>
  <c r="F33" i="8"/>
  <c r="C36" i="8"/>
  <c r="C36" i="7"/>
  <c r="J36" i="8"/>
  <c r="B15" i="7"/>
  <c r="M36" i="7"/>
  <c r="N7" i="8"/>
  <c r="N7" i="7"/>
  <c r="N10" i="7"/>
  <c r="J28" i="7"/>
  <c r="I36" i="7"/>
  <c r="B35" i="7"/>
  <c r="K15" i="8"/>
  <c r="L36" i="8"/>
  <c r="H35" i="7"/>
  <c r="E15" i="8"/>
  <c r="G36" i="8"/>
  <c r="L36" i="7"/>
  <c r="D35" i="7"/>
  <c r="J33" i="8"/>
  <c r="I15" i="7"/>
  <c r="N10" i="8"/>
  <c r="M36" i="8"/>
  <c r="F36" i="7"/>
  <c r="F36" i="8"/>
  <c r="B15" i="8"/>
  <c r="I35" i="8"/>
  <c r="M35" i="7"/>
  <c r="F35" i="8"/>
  <c r="G28" i="7"/>
  <c r="B28" i="7"/>
  <c r="D28" i="8"/>
  <c r="D35" i="8"/>
  <c r="N23" i="7"/>
  <c r="N23" i="8"/>
  <c r="L28" i="8"/>
  <c r="C28" i="7"/>
  <c r="N20" i="7"/>
  <c r="E35" i="8"/>
  <c r="K35" i="8"/>
  <c r="M28" i="8"/>
  <c r="N22" i="7"/>
  <c r="G35" i="7"/>
  <c r="M35" i="8"/>
  <c r="H28" i="8"/>
  <c r="K35" i="7"/>
  <c r="F35" i="7"/>
  <c r="N22" i="8"/>
  <c r="G35" i="8"/>
  <c r="H28" i="7"/>
  <c r="H41" i="7" s="1"/>
  <c r="K28" i="8"/>
  <c r="G28" i="8"/>
  <c r="G41" i="8" s="1"/>
  <c r="I35" i="7"/>
  <c r="J35" i="8"/>
  <c r="C35" i="8"/>
  <c r="L35" i="7"/>
  <c r="F15" i="7"/>
  <c r="E35" i="7"/>
  <c r="M15" i="7"/>
  <c r="D15" i="8"/>
  <c r="D41" i="8" s="1"/>
  <c r="M15" i="8"/>
  <c r="I15" i="8"/>
  <c r="J28" i="8"/>
  <c r="F15" i="8"/>
  <c r="B35" i="8"/>
  <c r="J15" i="8"/>
  <c r="N9" i="7"/>
  <c r="N9" i="8"/>
  <c r="N35" i="8" s="1"/>
  <c r="N39" i="8"/>
  <c r="C35" i="7"/>
  <c r="L33" i="8"/>
  <c r="L41" i="8"/>
  <c r="F28" i="8"/>
  <c r="C33" i="7"/>
  <c r="E28" i="7"/>
  <c r="E41" i="7" s="1"/>
  <c r="K28" i="7"/>
  <c r="E28" i="8"/>
  <c r="C28" i="8"/>
  <c r="C41" i="8" s="1"/>
  <c r="N20" i="8"/>
  <c r="N33" i="8" s="1"/>
  <c r="B28" i="8"/>
  <c r="I28" i="8"/>
  <c r="B33" i="8"/>
  <c r="D33" i="8"/>
  <c r="L28" i="7"/>
  <c r="G33" i="8"/>
  <c r="N34" i="8"/>
  <c r="N40" i="8"/>
  <c r="N38" i="8"/>
  <c r="N38" i="7"/>
  <c r="N39" i="7"/>
  <c r="F28" i="7"/>
  <c r="K34" i="7"/>
  <c r="D28" i="7"/>
  <c r="I28" i="7"/>
  <c r="G34" i="7"/>
  <c r="K15" i="7"/>
  <c r="N40" i="7"/>
  <c r="M28" i="7"/>
  <c r="L34" i="7"/>
  <c r="D15" i="7"/>
  <c r="L15" i="7"/>
  <c r="C15" i="7"/>
  <c r="B34" i="7"/>
  <c r="J34" i="7"/>
  <c r="H34" i="7"/>
  <c r="N21" i="7"/>
  <c r="G15" i="7"/>
  <c r="J15" i="7"/>
  <c r="N8" i="7"/>
  <c r="M41" i="8" l="1"/>
  <c r="J41" i="7"/>
  <c r="H41" i="8"/>
  <c r="B41" i="7"/>
  <c r="E41" i="8"/>
  <c r="N36" i="7"/>
  <c r="N33" i="7"/>
  <c r="N36" i="8"/>
  <c r="I41" i="7"/>
  <c r="B41" i="8"/>
  <c r="K41" i="8"/>
  <c r="G41" i="7"/>
  <c r="C41" i="7"/>
  <c r="N35" i="7"/>
  <c r="F41" i="7"/>
  <c r="M41" i="7"/>
  <c r="I41" i="8"/>
  <c r="K41" i="7"/>
  <c r="J41" i="8"/>
  <c r="F41" i="8"/>
  <c r="N15" i="8"/>
  <c r="N28" i="8"/>
  <c r="N28" i="7"/>
  <c r="L41" i="7"/>
  <c r="D41" i="7"/>
  <c r="N34" i="7"/>
  <c r="N15" i="7"/>
  <c r="N41" i="8" l="1"/>
  <c r="N4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Cinthia</author>
  </authors>
  <commentList>
    <comment ref="H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Caso não exista setor, preencher como Não se aplica.</t>
        </r>
      </text>
    </comment>
  </commentList>
</comments>
</file>

<file path=xl/sharedStrings.xml><?xml version="1.0" encoding="utf-8"?>
<sst xmlns="http://schemas.openxmlformats.org/spreadsheetml/2006/main" count="515" uniqueCount="127">
  <si>
    <t>CETEA</t>
  </si>
  <si>
    <t>ITAL</t>
  </si>
  <si>
    <t>M</t>
  </si>
  <si>
    <t>R</t>
  </si>
  <si>
    <t>S</t>
  </si>
  <si>
    <t>A - Financeiros</t>
  </si>
  <si>
    <t>R/M</t>
  </si>
  <si>
    <t>+</t>
  </si>
  <si>
    <t>-</t>
  </si>
  <si>
    <t>Unidades Técnicas</t>
  </si>
  <si>
    <t>(%)</t>
  </si>
  <si>
    <t>INDICADORES</t>
  </si>
  <si>
    <t>na</t>
  </si>
  <si>
    <t>CAPD</t>
  </si>
  <si>
    <t xml:space="preserve">na = não se aplica                                                                                                                                                    </t>
  </si>
  <si>
    <t>Investimentos SDG(9) - Inclui apoio geral ITAL</t>
  </si>
  <si>
    <t>GEPC</t>
  </si>
  <si>
    <t>B - Clientes/Mercado</t>
  </si>
  <si>
    <t>C - Processos</t>
  </si>
  <si>
    <t>D - Pessoas</t>
  </si>
  <si>
    <t>CCQA</t>
  </si>
  <si>
    <r>
      <t xml:space="preserve">IT 08.01.04 - Anexo 1                                           </t>
    </r>
    <r>
      <rPr>
        <b/>
        <sz val="22"/>
        <color indexed="12"/>
        <rFont val="Arial"/>
        <family val="2"/>
      </rPr>
      <t>M=Meta</t>
    </r>
    <r>
      <rPr>
        <b/>
        <sz val="22"/>
        <color indexed="61"/>
        <rFont val="Arial"/>
        <family val="2"/>
      </rPr>
      <t xml:space="preserve">                               </t>
    </r>
    <r>
      <rPr>
        <b/>
        <sz val="22"/>
        <color indexed="12"/>
        <rFont val="Arial"/>
        <family val="2"/>
      </rPr>
      <t xml:space="preserve">R= Realizado </t>
    </r>
    <r>
      <rPr>
        <b/>
        <sz val="22"/>
        <color indexed="61"/>
        <rFont val="Arial"/>
        <family val="2"/>
      </rPr>
      <t xml:space="preserve">                    </t>
    </r>
    <r>
      <rPr>
        <b/>
        <sz val="22"/>
        <color indexed="12"/>
        <rFont val="Arial"/>
        <family val="2"/>
      </rPr>
      <t>S = Sentido Desejado</t>
    </r>
  </si>
  <si>
    <t>CTC</t>
  </si>
  <si>
    <t xml:space="preserve">(1) </t>
  </si>
  <si>
    <t>(2)</t>
  </si>
  <si>
    <t xml:space="preserve">          - No item No. de Funcionários não foram incluídos os afastados (6) e tampouco os terceirizados(27).</t>
  </si>
  <si>
    <t>Número Total de Funcionários (PqC+NS+Apoio) (Estatutário+Contratado)</t>
  </si>
  <si>
    <t>(b)</t>
  </si>
  <si>
    <t>(a)</t>
  </si>
  <si>
    <t>(c)</t>
  </si>
  <si>
    <t>Comunicação</t>
  </si>
  <si>
    <t xml:space="preserve">   (b)</t>
  </si>
  <si>
    <t xml:space="preserve">   (c)</t>
  </si>
  <si>
    <t>2 - Recursos totais obtidos de Ag.Fomento(R$ mil/TNSE)</t>
  </si>
  <si>
    <t>4 - Recursos de todas as fontes - gastos c/ Invest.(%)</t>
  </si>
  <si>
    <t>5 - Recursos de todas as fontes - gastos c/ Custeio (%)</t>
  </si>
  <si>
    <t>6 - Recursos de todas as fontes - gastos c/ Pessoal(%)</t>
  </si>
  <si>
    <t>7 - Índice médio de satisfação clientes externos(%)</t>
  </si>
  <si>
    <t>8 - Índice médio de avaliação de eventos(%)</t>
  </si>
  <si>
    <t xml:space="preserve">12 - Eventos realizados (nº/UT) </t>
  </si>
  <si>
    <t>14 - Capac./treinamento de gestores (h/gestor)</t>
  </si>
  <si>
    <t>16 - Índice de concordância com as afirmações do clima organizacional (3 dimensões selecionadas)</t>
  </si>
  <si>
    <t>CIAL</t>
  </si>
  <si>
    <r>
      <t xml:space="preserve">Nº Técnicos Nível Superior Especializado (Estatut.+ Contr.) </t>
    </r>
    <r>
      <rPr>
        <b/>
        <sz val="18"/>
        <color indexed="10"/>
        <rFont val="Arial"/>
        <family val="2"/>
      </rPr>
      <t>TNSE</t>
    </r>
    <r>
      <rPr>
        <b/>
        <sz val="12"/>
        <color indexed="61"/>
        <rFont val="Arial"/>
        <family val="2"/>
      </rPr>
      <t>(PqC)</t>
    </r>
  </si>
  <si>
    <r>
      <t xml:space="preserve">Nº Técnicos Nível Superior (Estatutário+Contratado)   </t>
    </r>
    <r>
      <rPr>
        <b/>
        <sz val="18"/>
        <color indexed="10"/>
        <rFont val="Arial"/>
        <family val="2"/>
      </rPr>
      <t>TNS</t>
    </r>
    <r>
      <rPr>
        <b/>
        <sz val="12"/>
        <color indexed="61"/>
        <rFont val="Arial"/>
        <family val="2"/>
      </rPr>
      <t>(PqC+NS)</t>
    </r>
  </si>
  <si>
    <t>TECNOLAT</t>
  </si>
  <si>
    <t>C.CHOCOTEC</t>
  </si>
  <si>
    <t>FRUTHOTEC</t>
  </si>
  <si>
    <t>DG</t>
  </si>
  <si>
    <t>Os valores do SEBRAETEC estão incluídos no item Iniciativa Privada;</t>
  </si>
  <si>
    <r>
      <t>13 - Artigos cientif.</t>
    </r>
    <r>
      <rPr>
        <b/>
        <sz val="16"/>
        <rFont val="Arial"/>
        <family val="2"/>
      </rPr>
      <t>publicados</t>
    </r>
    <r>
      <rPr>
        <sz val="16"/>
        <rFont val="Arial"/>
        <family val="2"/>
      </rPr>
      <t xml:space="preserve"> revist.index. (nº/TNSE)</t>
    </r>
  </si>
  <si>
    <t>AF</t>
  </si>
  <si>
    <t>AF+AM</t>
  </si>
  <si>
    <t>AF-Atividade fim</t>
  </si>
  <si>
    <t>AF+AM -Ativ.fim+ativ.meio</t>
  </si>
  <si>
    <t>Aos valores da IP, foram agregados os recursos enviados ao FED pelas UT correspondentes;</t>
  </si>
  <si>
    <t>(3)</t>
  </si>
  <si>
    <r>
      <t xml:space="preserve">10 - Recursos totais solicitados a Ag. Fomento (R$mil/TNSE) </t>
    </r>
    <r>
      <rPr>
        <b/>
        <vertAlign val="superscript"/>
        <sz val="16"/>
        <color indexed="10"/>
        <rFont val="Arial"/>
        <family val="2"/>
      </rPr>
      <t>(4)</t>
    </r>
  </si>
  <si>
    <t>(4)</t>
  </si>
  <si>
    <t xml:space="preserve">Liderança </t>
  </si>
  <si>
    <t>15 - Capac./treinamento RH (total/hor./func)</t>
  </si>
  <si>
    <t>(5)</t>
  </si>
  <si>
    <r>
      <t xml:space="preserve">3 - Recursos totais obtidos da I.Privada(R$ mil/TNS) </t>
    </r>
    <r>
      <rPr>
        <b/>
        <vertAlign val="superscript"/>
        <sz val="16"/>
        <color indexed="10"/>
        <rFont val="Arial"/>
        <family val="2"/>
      </rPr>
      <t xml:space="preserve">(1),(2) </t>
    </r>
    <r>
      <rPr>
        <b/>
        <sz val="14"/>
        <color indexed="10"/>
        <rFont val="Arial"/>
        <family val="2"/>
      </rPr>
      <t>(</t>
    </r>
    <r>
      <rPr>
        <b/>
        <sz val="14"/>
        <color indexed="10"/>
        <rFont val="Arial"/>
        <family val="2"/>
      </rPr>
      <t>Incluídos os Recursos FED</t>
    </r>
    <r>
      <rPr>
        <b/>
        <sz val="14"/>
        <color indexed="10"/>
        <rFont val="Arial"/>
        <family val="2"/>
      </rPr>
      <t xml:space="preserve">) </t>
    </r>
  </si>
  <si>
    <t xml:space="preserve">Em 2011 </t>
  </si>
  <si>
    <t xml:space="preserve">1 - Recursos totais obtidos do GESP(R$ mil/TNS) </t>
  </si>
  <si>
    <t>Na maioria das Uts, está sendo considerado para Pessoal-GESP o mesmo valor fornecido pelas Unidades no início do ano vigente.</t>
  </si>
  <si>
    <t>Desenv. Potenciais</t>
  </si>
  <si>
    <r>
      <t>OBS.: - No item Custeios</t>
    </r>
    <r>
      <rPr>
        <sz val="12"/>
        <color indexed="18"/>
        <rFont val="Arial"/>
        <family val="2"/>
      </rPr>
      <t xml:space="preserve"> não</t>
    </r>
    <r>
      <rPr>
        <b/>
        <sz val="12"/>
        <color indexed="18"/>
        <rFont val="Arial"/>
        <family val="2"/>
      </rPr>
      <t xml:space="preserve"> foram incluídas as despesas com Taxas Administrativas FUNDEPAG e DG e Repasses APTA;.</t>
    </r>
  </si>
  <si>
    <r>
      <t xml:space="preserve">11 - Recursos totais </t>
    </r>
    <r>
      <rPr>
        <b/>
        <sz val="16"/>
        <rFont val="Arial"/>
        <family val="2"/>
      </rPr>
      <t>enviados</t>
    </r>
    <r>
      <rPr>
        <sz val="16"/>
        <rFont val="Arial"/>
        <family val="2"/>
      </rPr>
      <t xml:space="preserve"> de prop.à Iniciativa Privada(R$mil/TNS)</t>
    </r>
    <r>
      <rPr>
        <b/>
        <vertAlign val="superscript"/>
        <sz val="16"/>
        <color indexed="10"/>
        <rFont val="Arial"/>
        <family val="2"/>
      </rPr>
      <t>(5)</t>
    </r>
  </si>
  <si>
    <r>
      <t xml:space="preserve">     10.1 - Recursos totais solicit.para </t>
    </r>
    <r>
      <rPr>
        <b/>
        <sz val="16"/>
        <color indexed="17"/>
        <rFont val="Arial"/>
        <family val="2"/>
      </rPr>
      <t>P&amp;D&amp;I</t>
    </r>
    <r>
      <rPr>
        <b/>
        <sz val="16"/>
        <rFont val="Arial"/>
        <family val="2"/>
      </rPr>
      <t xml:space="preserve"> </t>
    </r>
    <r>
      <rPr>
        <sz val="16"/>
        <rFont val="Arial"/>
        <family val="2"/>
      </rPr>
      <t xml:space="preserve">em Ag.Fom (R$mil/TNSE) </t>
    </r>
    <r>
      <rPr>
        <b/>
        <vertAlign val="superscript"/>
        <sz val="16"/>
        <color indexed="10"/>
        <rFont val="Arial"/>
        <family val="2"/>
      </rPr>
      <t>(4)</t>
    </r>
  </si>
  <si>
    <t>Nos recursos dos projetos de Fomento (item 10)  estão incluídos os valores, em dólares, cotados à razão de R$ 1,95023(média do período jan./dez.2012)</t>
  </si>
  <si>
    <t>TNSE=97+4(DG-4)=101</t>
  </si>
  <si>
    <r>
      <t>9 - Prop.proj.(</t>
    </r>
    <r>
      <rPr>
        <b/>
        <sz val="14"/>
        <color indexed="17"/>
        <rFont val="Arial"/>
        <family val="2"/>
      </rPr>
      <t>P&amp;D&amp;I</t>
    </r>
    <r>
      <rPr>
        <sz val="14"/>
        <rFont val="Arial"/>
        <family val="2"/>
      </rPr>
      <t xml:space="preserve">) enviadas p/ Ag.Fom. (nº/UT) </t>
    </r>
  </si>
  <si>
    <t>Atualizado em: 19/04/2013</t>
  </si>
  <si>
    <t>QUADRO 09 - INDICADORES ESTRATÉGICOS PARA ANÁLISE DE DESEMPENHO DAS UNIDADES TÉCNICAS DO ITAL - Período: jan./dez.2013</t>
  </si>
  <si>
    <t>Tecnolat</t>
  </si>
  <si>
    <t>Fruthotec</t>
  </si>
  <si>
    <t>Cetea</t>
  </si>
  <si>
    <t>Cial</t>
  </si>
  <si>
    <t>Ital</t>
  </si>
  <si>
    <t>Data 
Entrada Ital</t>
  </si>
  <si>
    <t>Prazo</t>
  </si>
  <si>
    <t>Tipo</t>
  </si>
  <si>
    <t>Número do Protocolo</t>
  </si>
  <si>
    <t>Identificação do interessado
 (Razão social e/ou nome)</t>
  </si>
  <si>
    <t>Unidade</t>
  </si>
  <si>
    <t>Data de envio à Unidade</t>
  </si>
  <si>
    <t>Data da resposta da Unidade</t>
  </si>
  <si>
    <t>Data do envio da resposta à SAA</t>
  </si>
  <si>
    <t>Situação do atendimento</t>
  </si>
  <si>
    <t>Monitoramento Prazo</t>
  </si>
  <si>
    <t>Cereal Chocotec</t>
  </si>
  <si>
    <t>Unidades</t>
  </si>
  <si>
    <t>Abril</t>
  </si>
  <si>
    <t>Maio</t>
  </si>
  <si>
    <t>Janeiro</t>
  </si>
  <si>
    <t>Fevereiro</t>
  </si>
  <si>
    <t>Março</t>
  </si>
  <si>
    <t>Junho</t>
  </si>
  <si>
    <t>Julho</t>
  </si>
  <si>
    <t>Agosto</t>
  </si>
  <si>
    <t>Setembro</t>
  </si>
  <si>
    <t>Outubro</t>
  </si>
  <si>
    <t>Novembro</t>
  </si>
  <si>
    <t>Dezembro</t>
  </si>
  <si>
    <t>Ano</t>
  </si>
  <si>
    <t>B - Relatório de demandas recebidas via Ouvidoria</t>
  </si>
  <si>
    <t>B1. Quantidade de atendimentos Ouvidoria recebidos</t>
  </si>
  <si>
    <t>B2. Quantidade de atendimentos Ouvidoria respondidos dentro do prazo</t>
  </si>
  <si>
    <t>B3. Porcentagem de atendimentos Ouvidoria dentro do prazo</t>
  </si>
  <si>
    <t>A - Relatório de demandas recebidas via Fale Conosco</t>
  </si>
  <si>
    <t>A1. Quantidade de atendimentos FALE CONOSCO recebidos</t>
  </si>
  <si>
    <t>A2. Quantidade de atendimentos FALE CONOSCO respondidos dentro do prazo</t>
  </si>
  <si>
    <t>A3. Porcentagem de atendimentos FALE CONOSCO dentro do prazo</t>
  </si>
  <si>
    <t>Localidade
(Cidade/Estado)</t>
  </si>
  <si>
    <t>Setor 
(se aplicável)</t>
  </si>
  <si>
    <t>Tempo de atendimento (dias)</t>
  </si>
  <si>
    <t>(ANO)</t>
  </si>
  <si>
    <t>C - Relatório de demandas recebidas via SIC (Serviço de Informações ao Cidadão)</t>
  </si>
  <si>
    <t>C1. Quantidade de atendimentos SIC recebidos</t>
  </si>
  <si>
    <t>C2. Quantidade de atendimentos SIC respondidos dentro do prazo</t>
  </si>
  <si>
    <t>C3. Porcentagem de atendimentos SIC dentro do prazo</t>
  </si>
  <si>
    <t>FQ-07.53 (anexo ao PQ-07.01) - RA - revisão 01 de 27/04/22 – Página 1/4</t>
  </si>
  <si>
    <t>FQ-07.53 (anexo ao PQ-07.01) - RA - revisão 01 de 27/04/22 – Página 2/4</t>
  </si>
  <si>
    <t>FQ-07.53 (anexo ao PQ-07.01) - RA - revisão 01 de 27/04/22 – Página 3/4</t>
  </si>
  <si>
    <t>FQ-07.53 (anexo ao PQ-07.01) - RA - revisão 01 de 27/04/22 – Página 4/4</t>
  </si>
  <si>
    <t>CONTROLE DE ATENDIMENTOS - FALE CONOSCO, OUVIDORIA E 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</si>
</sst>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6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4"/>
      <color indexed="12"/>
      <name val="Arial"/>
      <family val="2"/>
    </font>
    <font>
      <b/>
      <sz val="12"/>
      <color indexed="12"/>
      <name val="Arial"/>
      <family val="2"/>
    </font>
    <font>
      <b/>
      <sz val="12"/>
      <color indexed="61"/>
      <name val="Arial"/>
      <family val="2"/>
    </font>
    <font>
      <sz val="10"/>
      <color indexed="61"/>
      <name val="Arial"/>
      <family val="2"/>
    </font>
    <font>
      <b/>
      <sz val="14"/>
      <color indexed="17"/>
      <name val="Arial"/>
      <family val="2"/>
    </font>
    <font>
      <sz val="10"/>
      <color indexed="17"/>
      <name val="Arial"/>
      <family val="2"/>
    </font>
    <font>
      <sz val="14"/>
      <color indexed="17"/>
      <name val="Arial"/>
      <family val="2"/>
    </font>
    <font>
      <b/>
      <i/>
      <sz val="16"/>
      <name val="Arial"/>
      <family val="2"/>
    </font>
    <font>
      <sz val="18"/>
      <name val="Arial"/>
      <family val="2"/>
    </font>
    <font>
      <b/>
      <i/>
      <sz val="18"/>
      <name val="Arial"/>
      <family val="2"/>
    </font>
    <font>
      <b/>
      <sz val="22"/>
      <color indexed="61"/>
      <name val="Arial"/>
      <family val="2"/>
    </font>
    <font>
      <sz val="12"/>
      <color indexed="61"/>
      <name val="Arial"/>
      <family val="2"/>
    </font>
    <font>
      <sz val="14"/>
      <color indexed="1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22"/>
      <color indexed="12"/>
      <name val="Arial"/>
      <family val="2"/>
    </font>
    <font>
      <b/>
      <i/>
      <sz val="14"/>
      <color indexed="12"/>
      <name val="Arial"/>
      <family val="2"/>
    </font>
    <font>
      <b/>
      <sz val="18"/>
      <color indexed="53"/>
      <name val="Arial"/>
      <family val="2"/>
    </font>
    <font>
      <sz val="14"/>
      <name val="Arial"/>
      <family val="2"/>
    </font>
    <font>
      <b/>
      <sz val="18"/>
      <color indexed="10"/>
      <name val="Arial"/>
      <family val="2"/>
    </font>
    <font>
      <sz val="10"/>
      <name val="Arial"/>
      <family val="2"/>
    </font>
    <font>
      <b/>
      <sz val="20"/>
      <color indexed="12"/>
      <name val="Arial"/>
      <family val="2"/>
    </font>
    <font>
      <b/>
      <vertAlign val="superscript"/>
      <sz val="16"/>
      <color indexed="10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b/>
      <sz val="14"/>
      <color indexed="10"/>
      <name val="Arial"/>
      <family val="2"/>
    </font>
    <font>
      <b/>
      <i/>
      <sz val="22"/>
      <name val="Arial"/>
      <family val="2"/>
    </font>
    <font>
      <b/>
      <sz val="12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b/>
      <i/>
      <sz val="18"/>
      <color indexed="12"/>
      <name val="Arial"/>
      <family val="2"/>
    </font>
    <font>
      <b/>
      <sz val="16"/>
      <color indexed="17"/>
      <name val="Arial"/>
      <family val="2"/>
    </font>
    <font>
      <sz val="19"/>
      <name val="Arial"/>
      <family val="2"/>
    </font>
    <font>
      <b/>
      <sz val="14"/>
      <name val="Franklin Gothic Book"/>
      <family val="1"/>
      <scheme val="minor"/>
    </font>
    <font>
      <sz val="14"/>
      <name val="Franklin Gothic Book"/>
      <family val="1"/>
      <scheme val="minor"/>
    </font>
    <font>
      <sz val="14"/>
      <color indexed="61"/>
      <name val="Franklin Gothic Book"/>
      <family val="1"/>
      <scheme val="minor"/>
    </font>
    <font>
      <b/>
      <sz val="14"/>
      <color rgb="FFFF0000"/>
      <name val="Franklin Gothic Book"/>
      <family val="1"/>
      <scheme val="minor"/>
    </font>
    <font>
      <b/>
      <sz val="14"/>
      <color rgb="FF008000"/>
      <name val="Franklin Gothic Book"/>
      <family val="1"/>
      <scheme val="minor"/>
    </font>
    <font>
      <b/>
      <sz val="16"/>
      <color rgb="FFFF0000"/>
      <name val="Arial"/>
      <family val="2"/>
    </font>
    <font>
      <b/>
      <sz val="20"/>
      <color rgb="FFFF0000"/>
      <name val="Franklin Gothic Book"/>
      <family val="1"/>
      <scheme val="minor"/>
    </font>
    <font>
      <b/>
      <sz val="14"/>
      <color rgb="FF008000"/>
      <name val="Arial"/>
      <family val="2"/>
    </font>
    <font>
      <b/>
      <sz val="14"/>
      <color rgb="FFFF0000"/>
      <name val="Arial"/>
      <family val="2"/>
    </font>
    <font>
      <b/>
      <sz val="12"/>
      <name val="Franklin Gothic Book"/>
      <family val="1"/>
      <scheme val="minor"/>
    </font>
    <font>
      <sz val="14"/>
      <color rgb="FFFF0066"/>
      <name val="Arial"/>
      <family val="2"/>
    </font>
    <font>
      <b/>
      <sz val="12"/>
      <color rgb="FF008000"/>
      <name val="Arial"/>
      <family val="2"/>
    </font>
    <font>
      <sz val="12"/>
      <color rgb="FF008000"/>
      <name val="Arial"/>
      <family val="2"/>
    </font>
    <font>
      <b/>
      <sz val="19"/>
      <color rgb="FF9900CC"/>
      <name val="Arial"/>
      <family val="2"/>
    </font>
    <font>
      <sz val="12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gray0625">
        <bgColor rgb="FFFAFABE"/>
      </patternFill>
    </fill>
    <fill>
      <patternFill patternType="gray0625">
        <bgColor rgb="FFFFFF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BE9C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DFDC"/>
        <bgColor indexed="64"/>
      </patternFill>
    </fill>
    <fill>
      <patternFill patternType="solid">
        <fgColor rgb="FFD1F0FF"/>
        <bgColor indexed="64"/>
      </patternFill>
    </fill>
    <fill>
      <patternFill patternType="solid">
        <fgColor rgb="FFF9EA8D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9" fontId="19" fillId="0" borderId="1" applyFont="0" applyBorder="0" applyAlignment="0">
      <alignment horizontal="left" wrapText="1"/>
    </xf>
  </cellStyleXfs>
  <cellXfs count="472">
    <xf numFmtId="0" fontId="0" fillId="0" borderId="0" xfId="0"/>
    <xf numFmtId="2" fontId="2" fillId="0" borderId="0" xfId="0" applyNumberFormat="1" applyFont="1" applyBorder="1" applyAlignment="1">
      <alignment horizontal="center"/>
    </xf>
    <xf numFmtId="0" fontId="0" fillId="0" borderId="0" xfId="0" applyBorder="1"/>
    <xf numFmtId="0" fontId="8" fillId="0" borderId="0" xfId="0" applyFont="1"/>
    <xf numFmtId="2" fontId="1" fillId="0" borderId="0" xfId="0" applyNumberFormat="1" applyFont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8" fillId="0" borderId="0" xfId="0" applyFont="1" applyBorder="1"/>
    <xf numFmtId="0" fontId="0" fillId="0" borderId="0" xfId="0" applyBorder="1" applyAlignment="1"/>
    <xf numFmtId="0" fontId="0" fillId="0" borderId="0" xfId="0" applyAlignment="1"/>
    <xf numFmtId="0" fontId="3" fillId="0" borderId="0" xfId="0" applyFont="1"/>
    <xf numFmtId="0" fontId="3" fillId="0" borderId="0" xfId="0" applyFont="1" applyBorder="1"/>
    <xf numFmtId="0" fontId="12" fillId="0" borderId="5" xfId="0" applyFont="1" applyBorder="1"/>
    <xf numFmtId="0" fontId="0" fillId="0" borderId="6" xfId="0" applyBorder="1"/>
    <xf numFmtId="0" fontId="0" fillId="0" borderId="2" xfId="0" applyBorder="1"/>
    <xf numFmtId="0" fontId="0" fillId="0" borderId="7" xfId="0" applyBorder="1"/>
    <xf numFmtId="0" fontId="0" fillId="0" borderId="0" xfId="0" applyFill="1"/>
    <xf numFmtId="2" fontId="2" fillId="0" borderId="5" xfId="0" applyNumberFormat="1" applyFont="1" applyFill="1" applyBorder="1" applyAlignment="1">
      <alignment horizontal="center"/>
    </xf>
    <xf numFmtId="0" fontId="0" fillId="0" borderId="0" xfId="0" applyFill="1" applyBorder="1"/>
    <xf numFmtId="2" fontId="2" fillId="0" borderId="0" xfId="0" applyNumberFormat="1" applyFont="1" applyFill="1" applyBorder="1" applyAlignment="1">
      <alignment horizontal="center"/>
    </xf>
    <xf numFmtId="0" fontId="3" fillId="0" borderId="0" xfId="0" applyFont="1" applyFill="1" applyBorder="1"/>
    <xf numFmtId="2" fontId="2" fillId="0" borderId="8" xfId="0" applyNumberFormat="1" applyFont="1" applyFill="1" applyBorder="1" applyAlignment="1">
      <alignment horizontal="center"/>
    </xf>
    <xf numFmtId="0" fontId="4" fillId="0" borderId="0" xfId="0" applyFont="1"/>
    <xf numFmtId="0" fontId="4" fillId="0" borderId="5" xfId="0" applyFont="1" applyFill="1" applyBorder="1"/>
    <xf numFmtId="0" fontId="4" fillId="0" borderId="9" xfId="0" applyFont="1" applyFill="1" applyBorder="1"/>
    <xf numFmtId="0" fontId="4" fillId="0" borderId="0" xfId="0" applyFont="1" applyFill="1" applyBorder="1"/>
    <xf numFmtId="0" fontId="4" fillId="0" borderId="0" xfId="0" applyFont="1" applyBorder="1"/>
    <xf numFmtId="1" fontId="3" fillId="0" borderId="0" xfId="0" applyNumberFormat="1" applyFont="1" applyBorder="1" applyAlignment="1">
      <alignment horizontal="center"/>
    </xf>
    <xf numFmtId="0" fontId="9" fillId="0" borderId="9" xfId="0" applyFont="1" applyBorder="1" applyAlignment="1">
      <alignment horizontal="right"/>
    </xf>
    <xf numFmtId="0" fontId="5" fillId="0" borderId="10" xfId="0" applyFont="1" applyFill="1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0" fontId="14" fillId="0" borderId="8" xfId="0" applyFont="1" applyBorder="1"/>
    <xf numFmtId="0" fontId="0" fillId="0" borderId="12" xfId="0" applyBorder="1"/>
    <xf numFmtId="0" fontId="0" fillId="0" borderId="11" xfId="0" applyBorder="1"/>
    <xf numFmtId="0" fontId="5" fillId="0" borderId="13" xfId="0" applyFont="1" applyFill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2" fontId="1" fillId="0" borderId="16" xfId="0" applyNumberFormat="1" applyFont="1" applyBorder="1" applyAlignment="1">
      <alignment horizontal="center"/>
    </xf>
    <xf numFmtId="0" fontId="5" fillId="0" borderId="17" xfId="0" applyFont="1" applyFill="1" applyBorder="1" applyAlignment="1">
      <alignment horizontal="center"/>
    </xf>
    <xf numFmtId="0" fontId="5" fillId="0" borderId="18" xfId="0" applyFont="1" applyFill="1" applyBorder="1" applyAlignment="1">
      <alignment horizontal="center"/>
    </xf>
    <xf numFmtId="2" fontId="2" fillId="0" borderId="19" xfId="0" applyNumberFormat="1" applyFont="1" applyBorder="1" applyAlignment="1">
      <alignment horizontal="center"/>
    </xf>
    <xf numFmtId="2" fontId="1" fillId="0" borderId="20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0" fontId="23" fillId="0" borderId="0" xfId="0" applyFont="1" applyBorder="1"/>
    <xf numFmtId="0" fontId="6" fillId="2" borderId="22" xfId="0" applyNumberFormat="1" applyFont="1" applyFill="1" applyBorder="1" applyAlignment="1">
      <alignment horizontal="center"/>
    </xf>
    <xf numFmtId="0" fontId="10" fillId="2" borderId="9" xfId="0" applyFont="1" applyFill="1" applyBorder="1"/>
    <xf numFmtId="0" fontId="5" fillId="2" borderId="4" xfId="0" applyFont="1" applyFill="1" applyBorder="1" applyAlignment="1">
      <alignment horizontal="center"/>
    </xf>
    <xf numFmtId="0" fontId="6" fillId="2" borderId="9" xfId="0" applyFont="1" applyFill="1" applyBorder="1"/>
    <xf numFmtId="0" fontId="6" fillId="2" borderId="4" xfId="0" applyNumberFormat="1" applyFont="1" applyFill="1" applyBorder="1" applyAlignment="1">
      <alignment horizontal="center"/>
    </xf>
    <xf numFmtId="0" fontId="6" fillId="2" borderId="9" xfId="0" applyNumberFormat="1" applyFont="1" applyFill="1" applyBorder="1" applyAlignment="1">
      <alignment horizontal="center"/>
    </xf>
    <xf numFmtId="0" fontId="0" fillId="2" borderId="0" xfId="0" applyFill="1"/>
    <xf numFmtId="2" fontId="2" fillId="2" borderId="5" xfId="0" applyNumberFormat="1" applyFont="1" applyFill="1" applyBorder="1" applyAlignment="1">
      <alignment horizontal="center"/>
    </xf>
    <xf numFmtId="2" fontId="1" fillId="0" borderId="20" xfId="0" applyNumberFormat="1" applyFont="1" applyFill="1" applyBorder="1" applyAlignment="1">
      <alignment horizontal="center"/>
    </xf>
    <xf numFmtId="2" fontId="1" fillId="0" borderId="23" xfId="0" applyNumberFormat="1" applyFont="1" applyBorder="1" applyAlignment="1">
      <alignment horizontal="center"/>
    </xf>
    <xf numFmtId="165" fontId="40" fillId="3" borderId="1" xfId="0" applyNumberFormat="1" applyFont="1" applyFill="1" applyBorder="1" applyAlignment="1">
      <alignment horizontal="center"/>
    </xf>
    <xf numFmtId="165" fontId="40" fillId="0" borderId="3" xfId="0" applyNumberFormat="1" applyFont="1" applyFill="1" applyBorder="1" applyAlignment="1">
      <alignment horizontal="center"/>
    </xf>
    <xf numFmtId="1" fontId="40" fillId="0" borderId="4" xfId="0" applyNumberFormat="1" applyFont="1" applyFill="1" applyBorder="1" applyAlignment="1">
      <alignment horizontal="center"/>
    </xf>
    <xf numFmtId="1" fontId="40" fillId="0" borderId="18" xfId="0" applyNumberFormat="1" applyFont="1" applyFill="1" applyBorder="1" applyAlignment="1">
      <alignment horizontal="center"/>
    </xf>
    <xf numFmtId="1" fontId="40" fillId="0" borderId="3" xfId="0" applyNumberFormat="1" applyFont="1" applyFill="1" applyBorder="1" applyAlignment="1">
      <alignment horizontal="center"/>
    </xf>
    <xf numFmtId="4" fontId="40" fillId="0" borderId="19" xfId="0" applyNumberFormat="1" applyFont="1" applyFill="1" applyBorder="1" applyAlignment="1">
      <alignment horizontal="center"/>
    </xf>
    <xf numFmtId="165" fontId="40" fillId="0" borderId="5" xfId="0" applyNumberFormat="1" applyFont="1" applyFill="1" applyBorder="1" applyAlignment="1">
      <alignment horizontal="center"/>
    </xf>
    <xf numFmtId="1" fontId="40" fillId="2" borderId="20" xfId="0" applyNumberFormat="1" applyFont="1" applyFill="1" applyBorder="1" applyAlignment="1">
      <alignment horizontal="center"/>
    </xf>
    <xf numFmtId="4" fontId="40" fillId="0" borderId="12" xfId="0" applyNumberFormat="1" applyFont="1" applyFill="1" applyBorder="1" applyAlignment="1">
      <alignment horizontal="center"/>
    </xf>
    <xf numFmtId="1" fontId="40" fillId="0" borderId="9" xfId="0" applyNumberFormat="1" applyFont="1" applyFill="1" applyBorder="1" applyAlignment="1">
      <alignment horizontal="center"/>
    </xf>
    <xf numFmtId="1" fontId="40" fillId="0" borderId="20" xfId="0" applyNumberFormat="1" applyFont="1" applyFill="1" applyBorder="1" applyAlignment="1">
      <alignment horizontal="center"/>
    </xf>
    <xf numFmtId="4" fontId="40" fillId="2" borderId="19" xfId="0" applyNumberFormat="1" applyFont="1" applyFill="1" applyBorder="1" applyAlignment="1">
      <alignment horizontal="center"/>
    </xf>
    <xf numFmtId="1" fontId="40" fillId="0" borderId="5" xfId="0" applyNumberFormat="1" applyFont="1" applyFill="1" applyBorder="1" applyAlignment="1">
      <alignment horizontal="center"/>
    </xf>
    <xf numFmtId="165" fontId="40" fillId="0" borderId="21" xfId="0" applyNumberFormat="1" applyFont="1" applyBorder="1" applyAlignment="1">
      <alignment horizontal="center"/>
    </xf>
    <xf numFmtId="165" fontId="40" fillId="0" borderId="8" xfId="0" applyNumberFormat="1" applyFont="1" applyFill="1" applyBorder="1" applyAlignment="1">
      <alignment horizontal="center"/>
    </xf>
    <xf numFmtId="1" fontId="40" fillId="2" borderId="23" xfId="0" applyNumberFormat="1" applyFont="1" applyFill="1" applyBorder="1" applyAlignment="1">
      <alignment horizontal="center"/>
    </xf>
    <xf numFmtId="2" fontId="40" fillId="2" borderId="11" xfId="0" applyNumberFormat="1" applyFont="1" applyFill="1" applyBorder="1" applyAlignment="1">
      <alignment horizontal="center"/>
    </xf>
    <xf numFmtId="2" fontId="40" fillId="0" borderId="8" xfId="0" applyNumberFormat="1" applyFont="1" applyFill="1" applyBorder="1" applyAlignment="1">
      <alignment horizontal="center"/>
    </xf>
    <xf numFmtId="1" fontId="40" fillId="0" borderId="22" xfId="0" applyNumberFormat="1" applyFont="1" applyBorder="1" applyAlignment="1">
      <alignment horizontal="center"/>
    </xf>
    <xf numFmtId="4" fontId="40" fillId="0" borderId="21" xfId="0" applyNumberFormat="1" applyFont="1" applyBorder="1" applyAlignment="1">
      <alignment horizontal="center"/>
    </xf>
    <xf numFmtId="1" fontId="40" fillId="0" borderId="23" xfId="0" applyNumberFormat="1" applyFont="1" applyBorder="1" applyAlignment="1">
      <alignment horizontal="center"/>
    </xf>
    <xf numFmtId="2" fontId="40" fillId="0" borderId="11" xfId="0" applyNumberFormat="1" applyFont="1" applyBorder="1" applyAlignment="1">
      <alignment horizontal="center"/>
    </xf>
    <xf numFmtId="2" fontId="40" fillId="2" borderId="21" xfId="0" applyNumberFormat="1" applyFont="1" applyFill="1" applyBorder="1" applyAlignment="1">
      <alignment horizontal="center"/>
    </xf>
    <xf numFmtId="4" fontId="40" fillId="0" borderId="11" xfId="0" applyNumberFormat="1" applyFont="1" applyBorder="1" applyAlignment="1">
      <alignment horizontal="center"/>
    </xf>
    <xf numFmtId="2" fontId="40" fillId="0" borderId="11" xfId="0" applyNumberFormat="1" applyFont="1" applyFill="1" applyBorder="1" applyAlignment="1">
      <alignment horizontal="center"/>
    </xf>
    <xf numFmtId="1" fontId="40" fillId="0" borderId="22" xfId="0" applyNumberFormat="1" applyFont="1" applyFill="1" applyBorder="1" applyAlignment="1">
      <alignment horizontal="center"/>
    </xf>
    <xf numFmtId="2" fontId="40" fillId="2" borderId="8" xfId="0" applyNumberFormat="1" applyFont="1" applyFill="1" applyBorder="1" applyAlignment="1">
      <alignment horizontal="center"/>
    </xf>
    <xf numFmtId="1" fontId="40" fillId="0" borderId="8" xfId="0" applyNumberFormat="1" applyFont="1" applyBorder="1" applyAlignment="1">
      <alignment horizontal="center"/>
    </xf>
    <xf numFmtId="1" fontId="40" fillId="0" borderId="17" xfId="0" applyNumberFormat="1" applyFont="1" applyFill="1" applyBorder="1" applyAlignment="1">
      <alignment horizontal="center"/>
    </xf>
    <xf numFmtId="3" fontId="40" fillId="0" borderId="3" xfId="0" applyNumberFormat="1" applyFont="1" applyFill="1" applyBorder="1" applyAlignment="1">
      <alignment horizontal="center"/>
    </xf>
    <xf numFmtId="1" fontId="40" fillId="0" borderId="10" xfId="0" applyNumberFormat="1" applyFont="1" applyFill="1" applyBorder="1" applyAlignment="1">
      <alignment horizontal="center"/>
    </xf>
    <xf numFmtId="1" fontId="40" fillId="0" borderId="23" xfId="0" applyNumberFormat="1" applyFont="1" applyFill="1" applyBorder="1" applyAlignment="1">
      <alignment horizontal="center"/>
    </xf>
    <xf numFmtId="165" fontId="40" fillId="0" borderId="19" xfId="0" applyNumberFormat="1" applyFont="1" applyFill="1" applyBorder="1" applyAlignment="1">
      <alignment horizontal="center"/>
    </xf>
    <xf numFmtId="165" fontId="40" fillId="0" borderId="20" xfId="0" applyNumberFormat="1" applyFont="1" applyFill="1" applyBorder="1" applyAlignment="1">
      <alignment horizontal="center"/>
    </xf>
    <xf numFmtId="165" fontId="40" fillId="0" borderId="12" xfId="0" applyNumberFormat="1" applyFont="1" applyFill="1" applyBorder="1" applyAlignment="1">
      <alignment horizontal="center"/>
    </xf>
    <xf numFmtId="165" fontId="40" fillId="0" borderId="9" xfId="0" applyNumberFormat="1" applyFont="1" applyFill="1" applyBorder="1" applyAlignment="1">
      <alignment horizontal="center"/>
    </xf>
    <xf numFmtId="164" fontId="40" fillId="0" borderId="5" xfId="0" applyNumberFormat="1" applyFont="1" applyFill="1" applyBorder="1" applyAlignment="1">
      <alignment horizontal="center"/>
    </xf>
    <xf numFmtId="0" fontId="40" fillId="0" borderId="8" xfId="0" applyFont="1" applyFill="1" applyBorder="1"/>
    <xf numFmtId="0" fontId="41" fillId="0" borderId="12" xfId="0" applyFont="1" applyBorder="1"/>
    <xf numFmtId="0" fontId="22" fillId="0" borderId="0" xfId="0" applyFont="1" applyFill="1" applyBorder="1" applyAlignment="1">
      <alignment wrapText="1"/>
    </xf>
    <xf numFmtId="4" fontId="40" fillId="2" borderId="12" xfId="0" applyNumberFormat="1" applyFont="1" applyFill="1" applyBorder="1" applyAlignment="1">
      <alignment horizontal="center"/>
    </xf>
    <xf numFmtId="0" fontId="13" fillId="0" borderId="5" xfId="0" applyFont="1" applyBorder="1"/>
    <xf numFmtId="0" fontId="13" fillId="0" borderId="3" xfId="0" applyFont="1" applyBorder="1" applyAlignment="1">
      <alignment wrapText="1"/>
    </xf>
    <xf numFmtId="0" fontId="13" fillId="0" borderId="5" xfId="0" applyFont="1" applyBorder="1" applyAlignment="1">
      <alignment horizontal="left" vertical="top" wrapText="1"/>
    </xf>
    <xf numFmtId="0" fontId="0" fillId="0" borderId="0" xfId="0" applyBorder="1" applyAlignment="1">
      <alignment horizontal="left" wrapText="1"/>
    </xf>
    <xf numFmtId="0" fontId="0" fillId="0" borderId="0" xfId="0" applyAlignment="1">
      <alignment horizontal="right"/>
    </xf>
    <xf numFmtId="164" fontId="40" fillId="4" borderId="1" xfId="0" applyNumberFormat="1" applyFont="1" applyFill="1" applyBorder="1" applyAlignment="1">
      <alignment horizontal="center"/>
    </xf>
    <xf numFmtId="165" fontId="40" fillId="4" borderId="1" xfId="0" applyNumberFormat="1" applyFont="1" applyFill="1" applyBorder="1" applyAlignment="1">
      <alignment horizontal="center"/>
    </xf>
    <xf numFmtId="165" fontId="40" fillId="0" borderId="21" xfId="0" applyNumberFormat="1" applyFont="1" applyFill="1" applyBorder="1" applyAlignment="1">
      <alignment horizontal="center"/>
    </xf>
    <xf numFmtId="1" fontId="40" fillId="0" borderId="8" xfId="0" applyNumberFormat="1" applyFont="1" applyFill="1" applyBorder="1" applyAlignment="1">
      <alignment horizontal="center"/>
    </xf>
    <xf numFmtId="4" fontId="40" fillId="0" borderId="21" xfId="0" applyNumberFormat="1" applyFont="1" applyFill="1" applyBorder="1" applyAlignment="1">
      <alignment horizontal="center"/>
    </xf>
    <xf numFmtId="2" fontId="40" fillId="0" borderId="21" xfId="0" applyNumberFormat="1" applyFont="1" applyFill="1" applyBorder="1" applyAlignment="1">
      <alignment horizontal="center"/>
    </xf>
    <xf numFmtId="4" fontId="40" fillId="0" borderId="11" xfId="0" applyNumberFormat="1" applyFont="1" applyFill="1" applyBorder="1" applyAlignment="1">
      <alignment horizontal="center"/>
    </xf>
    <xf numFmtId="165" fontId="40" fillId="0" borderId="17" xfId="0" applyNumberFormat="1" applyFont="1" applyFill="1" applyBorder="1" applyAlignment="1">
      <alignment horizontal="center"/>
    </xf>
    <xf numFmtId="0" fontId="40" fillId="0" borderId="21" xfId="0" applyFont="1" applyFill="1" applyBorder="1"/>
    <xf numFmtId="0" fontId="4" fillId="0" borderId="15" xfId="0" applyFont="1" applyFill="1" applyBorder="1"/>
    <xf numFmtId="0" fontId="4" fillId="0" borderId="16" xfId="0" applyFont="1" applyFill="1" applyBorder="1"/>
    <xf numFmtId="0" fontId="4" fillId="0" borderId="0" xfId="0" applyFont="1" applyFill="1"/>
    <xf numFmtId="0" fontId="4" fillId="0" borderId="19" xfId="0" applyFont="1" applyFill="1" applyBorder="1"/>
    <xf numFmtId="0" fontId="17" fillId="0" borderId="20" xfId="0" applyFont="1" applyFill="1" applyBorder="1"/>
    <xf numFmtId="1" fontId="3" fillId="0" borderId="0" xfId="0" applyNumberFormat="1" applyFont="1" applyFill="1" applyBorder="1" applyAlignment="1">
      <alignment horizontal="center"/>
    </xf>
    <xf numFmtId="0" fontId="4" fillId="0" borderId="2" xfId="0" applyFont="1" applyFill="1" applyBorder="1"/>
    <xf numFmtId="0" fontId="0" fillId="0" borderId="2" xfId="0" applyFill="1" applyBorder="1"/>
    <xf numFmtId="0" fontId="0" fillId="0" borderId="10" xfId="0" applyFill="1" applyBorder="1"/>
    <xf numFmtId="0" fontId="1" fillId="0" borderId="3" xfId="0" applyFont="1" applyFill="1" applyBorder="1"/>
    <xf numFmtId="0" fontId="26" fillId="5" borderId="24" xfId="0" applyNumberFormat="1" applyFont="1" applyFill="1" applyBorder="1" applyAlignment="1">
      <alignment horizontal="center"/>
    </xf>
    <xf numFmtId="1" fontId="40" fillId="5" borderId="25" xfId="0" applyNumberFormat="1" applyFont="1" applyFill="1" applyBorder="1" applyAlignment="1">
      <alignment horizontal="center"/>
    </xf>
    <xf numFmtId="1" fontId="40" fillId="5" borderId="26" xfId="0" applyNumberFormat="1" applyFont="1" applyFill="1" applyBorder="1" applyAlignment="1">
      <alignment horizontal="center"/>
    </xf>
    <xf numFmtId="3" fontId="40" fillId="5" borderId="27" xfId="0" applyNumberFormat="1" applyFont="1" applyFill="1" applyBorder="1" applyAlignment="1">
      <alignment horizontal="center"/>
    </xf>
    <xf numFmtId="1" fontId="40" fillId="5" borderId="24" xfId="0" applyNumberFormat="1" applyFont="1" applyFill="1" applyBorder="1" applyAlignment="1">
      <alignment horizontal="center"/>
    </xf>
    <xf numFmtId="1" fontId="40" fillId="5" borderId="27" xfId="0" applyNumberFormat="1" applyFont="1" applyFill="1" applyBorder="1" applyAlignment="1">
      <alignment horizontal="center"/>
    </xf>
    <xf numFmtId="165" fontId="40" fillId="5" borderId="25" xfId="0" applyNumberFormat="1" applyFont="1" applyFill="1" applyBorder="1" applyAlignment="1">
      <alignment horizontal="center"/>
    </xf>
    <xf numFmtId="1" fontId="40" fillId="5" borderId="1" xfId="0" applyNumberFormat="1" applyFont="1" applyFill="1" applyBorder="1" applyAlignment="1">
      <alignment horizontal="center"/>
    </xf>
    <xf numFmtId="0" fontId="19" fillId="5" borderId="1" xfId="0" applyFont="1" applyFill="1" applyBorder="1" applyAlignment="1">
      <alignment wrapText="1"/>
    </xf>
    <xf numFmtId="0" fontId="26" fillId="6" borderId="24" xfId="0" applyNumberFormat="1" applyFont="1" applyFill="1" applyBorder="1" applyAlignment="1">
      <alignment horizontal="center"/>
    </xf>
    <xf numFmtId="1" fontId="40" fillId="6" borderId="25" xfId="0" applyNumberFormat="1" applyFont="1" applyFill="1" applyBorder="1" applyAlignment="1">
      <alignment horizontal="center"/>
    </xf>
    <xf numFmtId="1" fontId="40" fillId="6" borderId="26" xfId="0" applyNumberFormat="1" applyFont="1" applyFill="1" applyBorder="1" applyAlignment="1">
      <alignment horizontal="center"/>
    </xf>
    <xf numFmtId="1" fontId="40" fillId="6" borderId="27" xfId="0" applyNumberFormat="1" applyFont="1" applyFill="1" applyBorder="1" applyAlignment="1">
      <alignment horizontal="center"/>
    </xf>
    <xf numFmtId="1" fontId="40" fillId="6" borderId="24" xfId="0" applyNumberFormat="1" applyFont="1" applyFill="1" applyBorder="1" applyAlignment="1">
      <alignment horizontal="center"/>
    </xf>
    <xf numFmtId="1" fontId="40" fillId="6" borderId="1" xfId="0" applyNumberFormat="1" applyFont="1" applyFill="1" applyBorder="1" applyAlignment="1">
      <alignment horizontal="center"/>
    </xf>
    <xf numFmtId="0" fontId="19" fillId="6" borderId="28" xfId="0" applyFont="1" applyFill="1" applyBorder="1" applyAlignment="1">
      <alignment horizontal="left" vertical="top" wrapText="1"/>
    </xf>
    <xf numFmtId="0" fontId="26" fillId="6" borderId="29" xfId="0" applyNumberFormat="1" applyFont="1" applyFill="1" applyBorder="1" applyAlignment="1">
      <alignment horizontal="center"/>
    </xf>
    <xf numFmtId="1" fontId="40" fillId="6" borderId="30" xfId="0" applyNumberFormat="1" applyFont="1" applyFill="1" applyBorder="1" applyAlignment="1">
      <alignment horizontal="center"/>
    </xf>
    <xf numFmtId="1" fontId="40" fillId="6" borderId="31" xfId="0" applyNumberFormat="1" applyFont="1" applyFill="1" applyBorder="1" applyAlignment="1">
      <alignment horizontal="center"/>
    </xf>
    <xf numFmtId="1" fontId="40" fillId="6" borderId="32" xfId="0" applyNumberFormat="1" applyFont="1" applyFill="1" applyBorder="1" applyAlignment="1">
      <alignment horizontal="center"/>
    </xf>
    <xf numFmtId="1" fontId="40" fillId="6" borderId="29" xfId="0" applyNumberFormat="1" applyFont="1" applyFill="1" applyBorder="1" applyAlignment="1">
      <alignment horizontal="center"/>
    </xf>
    <xf numFmtId="1" fontId="40" fillId="6" borderId="28" xfId="0" applyNumberFormat="1" applyFont="1" applyFill="1" applyBorder="1" applyAlignment="1">
      <alignment horizontal="center"/>
    </xf>
    <xf numFmtId="0" fontId="21" fillId="6" borderId="7" xfId="0" applyNumberFormat="1" applyFont="1" applyFill="1" applyBorder="1" applyAlignment="1">
      <alignment horizontal="center"/>
    </xf>
    <xf numFmtId="1" fontId="40" fillId="6" borderId="23" xfId="0" applyNumberFormat="1" applyFont="1" applyFill="1" applyBorder="1" applyAlignment="1">
      <alignment horizontal="center"/>
    </xf>
    <xf numFmtId="1" fontId="40" fillId="6" borderId="22" xfId="0" applyNumberFormat="1" applyFont="1" applyFill="1" applyBorder="1" applyAlignment="1">
      <alignment horizontal="center"/>
    </xf>
    <xf numFmtId="164" fontId="40" fillId="6" borderId="22" xfId="0" applyNumberFormat="1" applyFont="1" applyFill="1" applyBorder="1" applyAlignment="1">
      <alignment horizontal="center"/>
    </xf>
    <xf numFmtId="164" fontId="40" fillId="6" borderId="24" xfId="0" applyNumberFormat="1" applyFont="1" applyFill="1" applyBorder="1" applyAlignment="1">
      <alignment horizontal="center"/>
    </xf>
    <xf numFmtId="0" fontId="7" fillId="7" borderId="33" xfId="0" applyFont="1" applyFill="1" applyBorder="1" applyAlignment="1">
      <alignment horizontal="center" vertical="center" wrapText="1"/>
    </xf>
    <xf numFmtId="0" fontId="7" fillId="7" borderId="33" xfId="0" applyNumberFormat="1" applyFont="1" applyFill="1" applyBorder="1" applyAlignment="1">
      <alignment horizontal="center"/>
    </xf>
    <xf numFmtId="2" fontId="42" fillId="7" borderId="34" xfId="0" applyNumberFormat="1" applyFont="1" applyFill="1" applyBorder="1" applyAlignment="1">
      <alignment horizontal="center"/>
    </xf>
    <xf numFmtId="1" fontId="41" fillId="7" borderId="35" xfId="0" applyNumberFormat="1" applyFont="1" applyFill="1" applyBorder="1" applyAlignment="1">
      <alignment horizontal="center"/>
    </xf>
    <xf numFmtId="1" fontId="40" fillId="7" borderId="36" xfId="0" applyNumberFormat="1" applyFont="1" applyFill="1" applyBorder="1" applyAlignment="1">
      <alignment horizontal="center"/>
    </xf>
    <xf numFmtId="1" fontId="40" fillId="7" borderId="37" xfId="0" applyNumberFormat="1" applyFont="1" applyFill="1" applyBorder="1" applyAlignment="1">
      <alignment horizontal="center"/>
    </xf>
    <xf numFmtId="1" fontId="40" fillId="7" borderId="38" xfId="0" applyNumberFormat="1" applyFont="1" applyFill="1" applyBorder="1" applyAlignment="1">
      <alignment horizontal="center"/>
    </xf>
    <xf numFmtId="0" fontId="7" fillId="7" borderId="22" xfId="0" applyFont="1" applyFill="1" applyBorder="1" applyAlignment="1">
      <alignment horizontal="center" vertical="center" wrapText="1"/>
    </xf>
    <xf numFmtId="0" fontId="16" fillId="7" borderId="22" xfId="0" applyFont="1" applyFill="1" applyBorder="1"/>
    <xf numFmtId="2" fontId="42" fillId="7" borderId="39" xfId="0" applyNumberFormat="1" applyFont="1" applyFill="1" applyBorder="1" applyAlignment="1">
      <alignment horizontal="center"/>
    </xf>
    <xf numFmtId="2" fontId="41" fillId="7" borderId="40" xfId="0" applyNumberFormat="1" applyFont="1" applyFill="1" applyBorder="1" applyAlignment="1">
      <alignment horizontal="center"/>
    </xf>
    <xf numFmtId="2" fontId="41" fillId="7" borderId="7" xfId="0" applyNumberFormat="1" applyFont="1" applyFill="1" applyBorder="1" applyAlignment="1">
      <alignment horizontal="center"/>
    </xf>
    <xf numFmtId="2" fontId="41" fillId="7" borderId="21" xfId="0" applyNumberFormat="1" applyFont="1" applyFill="1" applyBorder="1" applyAlignment="1">
      <alignment horizontal="center"/>
    </xf>
    <xf numFmtId="2" fontId="41" fillId="7" borderId="23" xfId="0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 vertical="center" wrapText="1"/>
    </xf>
    <xf numFmtId="0" fontId="16" fillId="7" borderId="24" xfId="0" applyFont="1" applyFill="1" applyBorder="1"/>
    <xf numFmtId="2" fontId="42" fillId="7" borderId="41" xfId="0" applyNumberFormat="1" applyFont="1" applyFill="1" applyBorder="1" applyAlignment="1">
      <alignment horizontal="center"/>
    </xf>
    <xf numFmtId="2" fontId="41" fillId="7" borderId="42" xfId="0" applyNumberFormat="1" applyFont="1" applyFill="1" applyBorder="1" applyAlignment="1">
      <alignment horizontal="center"/>
    </xf>
    <xf numFmtId="2" fontId="41" fillId="7" borderId="27" xfId="0" applyNumberFormat="1" applyFont="1" applyFill="1" applyBorder="1" applyAlignment="1">
      <alignment horizontal="center"/>
    </xf>
    <xf numFmtId="2" fontId="41" fillId="7" borderId="6" xfId="0" applyNumberFormat="1" applyFont="1" applyFill="1" applyBorder="1" applyAlignment="1">
      <alignment horizontal="center"/>
    </xf>
    <xf numFmtId="2" fontId="41" fillId="7" borderId="25" xfId="0" applyNumberFormat="1" applyFont="1" applyFill="1" applyBorder="1" applyAlignment="1">
      <alignment horizontal="center"/>
    </xf>
    <xf numFmtId="2" fontId="41" fillId="7" borderId="26" xfId="0" applyNumberFormat="1" applyFont="1" applyFill="1" applyBorder="1" applyAlignment="1">
      <alignment horizontal="center"/>
    </xf>
    <xf numFmtId="2" fontId="41" fillId="7" borderId="42" xfId="0" applyNumberFormat="1" applyFont="1" applyFill="1" applyBorder="1" applyAlignment="1">
      <alignment horizontal="center" vertical="center"/>
    </xf>
    <xf numFmtId="2" fontId="41" fillId="7" borderId="26" xfId="0" applyNumberFormat="1" applyFont="1" applyFill="1" applyBorder="1" applyAlignment="1">
      <alignment horizontal="center" vertical="center"/>
    </xf>
    <xf numFmtId="2" fontId="41" fillId="7" borderId="24" xfId="0" applyNumberFormat="1" applyFont="1" applyFill="1" applyBorder="1" applyAlignment="1">
      <alignment horizontal="center"/>
    </xf>
    <xf numFmtId="2" fontId="41" fillId="7" borderId="41" xfId="0" applyNumberFormat="1" applyFont="1" applyFill="1" applyBorder="1" applyAlignment="1">
      <alignment horizontal="center"/>
    </xf>
    <xf numFmtId="0" fontId="26" fillId="8" borderId="24" xfId="0" applyNumberFormat="1" applyFont="1" applyFill="1" applyBorder="1" applyAlignment="1">
      <alignment horizontal="center"/>
    </xf>
    <xf numFmtId="3" fontId="40" fillId="8" borderId="25" xfId="0" applyNumberFormat="1" applyFont="1" applyFill="1" applyBorder="1" applyAlignment="1">
      <alignment horizontal="center"/>
    </xf>
    <xf numFmtId="3" fontId="40" fillId="8" borderId="1" xfId="0" applyNumberFormat="1" applyFont="1" applyFill="1" applyBorder="1" applyAlignment="1">
      <alignment horizontal="center"/>
    </xf>
    <xf numFmtId="1" fontId="40" fillId="8" borderId="26" xfId="0" applyNumberFormat="1" applyFont="1" applyFill="1" applyBorder="1" applyAlignment="1">
      <alignment horizontal="center"/>
    </xf>
    <xf numFmtId="1" fontId="40" fillId="8" borderId="27" xfId="0" applyNumberFormat="1" applyFont="1" applyFill="1" applyBorder="1" applyAlignment="1">
      <alignment horizontal="center"/>
    </xf>
    <xf numFmtId="1" fontId="40" fillId="8" borderId="24" xfId="0" applyNumberFormat="1" applyFont="1" applyFill="1" applyBorder="1" applyAlignment="1">
      <alignment horizontal="center"/>
    </xf>
    <xf numFmtId="1" fontId="40" fillId="8" borderId="25" xfId="0" applyNumberFormat="1" applyFont="1" applyFill="1" applyBorder="1" applyAlignment="1">
      <alignment horizontal="center"/>
    </xf>
    <xf numFmtId="1" fontId="40" fillId="8" borderId="1" xfId="0" applyNumberFormat="1" applyFont="1" applyFill="1" applyBorder="1" applyAlignment="1">
      <alignment horizontal="center"/>
    </xf>
    <xf numFmtId="164" fontId="40" fillId="8" borderId="25" xfId="0" applyNumberFormat="1" applyFont="1" applyFill="1" applyBorder="1" applyAlignment="1">
      <alignment horizontal="center"/>
    </xf>
    <xf numFmtId="0" fontId="19" fillId="8" borderId="1" xfId="0" applyFont="1" applyFill="1" applyBorder="1" applyAlignment="1">
      <alignment horizontal="left" wrapText="1"/>
    </xf>
    <xf numFmtId="1" fontId="40" fillId="8" borderId="23" xfId="0" applyNumberFormat="1" applyFont="1" applyFill="1" applyBorder="1" applyAlignment="1">
      <alignment horizontal="center"/>
    </xf>
    <xf numFmtId="1" fontId="40" fillId="8" borderId="22" xfId="0" applyNumberFormat="1" applyFont="1" applyFill="1" applyBorder="1" applyAlignment="1">
      <alignment horizontal="center"/>
    </xf>
    <xf numFmtId="1" fontId="40" fillId="8" borderId="8" xfId="0" applyNumberFormat="1" applyFont="1" applyFill="1" applyBorder="1" applyAlignment="1">
      <alignment horizontal="center"/>
    </xf>
    <xf numFmtId="165" fontId="40" fillId="8" borderId="25" xfId="0" applyNumberFormat="1" applyFont="1" applyFill="1" applyBorder="1" applyAlignment="1">
      <alignment horizontal="center"/>
    </xf>
    <xf numFmtId="0" fontId="19" fillId="8" borderId="1" xfId="0" applyFont="1" applyFill="1" applyBorder="1" applyAlignment="1">
      <alignment horizontal="left" vertical="top" wrapText="1"/>
    </xf>
    <xf numFmtId="165" fontId="40" fillId="8" borderId="27" xfId="0" applyNumberFormat="1" applyFont="1" applyFill="1" applyBorder="1" applyAlignment="1">
      <alignment horizontal="center"/>
    </xf>
    <xf numFmtId="165" fontId="40" fillId="8" borderId="24" xfId="0" applyNumberFormat="1" applyFont="1" applyFill="1" applyBorder="1" applyAlignment="1">
      <alignment horizontal="center"/>
    </xf>
    <xf numFmtId="165" fontId="40" fillId="8" borderId="26" xfId="0" applyNumberFormat="1" applyFont="1" applyFill="1" applyBorder="1" applyAlignment="1">
      <alignment horizontal="center"/>
    </xf>
    <xf numFmtId="0" fontId="26" fillId="9" borderId="24" xfId="0" applyNumberFormat="1" applyFont="1" applyFill="1" applyBorder="1" applyAlignment="1">
      <alignment horizontal="center"/>
    </xf>
    <xf numFmtId="1" fontId="40" fillId="9" borderId="25" xfId="0" applyNumberFormat="1" applyFont="1" applyFill="1" applyBorder="1" applyAlignment="1">
      <alignment horizontal="center"/>
    </xf>
    <xf numFmtId="1" fontId="40" fillId="9" borderId="26" xfId="0" applyNumberFormat="1" applyFont="1" applyFill="1" applyBorder="1" applyAlignment="1">
      <alignment horizontal="center"/>
    </xf>
    <xf numFmtId="1" fontId="40" fillId="9" borderId="27" xfId="0" applyNumberFormat="1" applyFont="1" applyFill="1" applyBorder="1" applyAlignment="1">
      <alignment horizontal="center"/>
    </xf>
    <xf numFmtId="1" fontId="40" fillId="9" borderId="24" xfId="0" applyNumberFormat="1" applyFont="1" applyFill="1" applyBorder="1" applyAlignment="1">
      <alignment horizontal="center"/>
    </xf>
    <xf numFmtId="165" fontId="40" fillId="9" borderId="24" xfId="0" applyNumberFormat="1" applyFont="1" applyFill="1" applyBorder="1" applyAlignment="1">
      <alignment horizontal="center"/>
    </xf>
    <xf numFmtId="1" fontId="40" fillId="9" borderId="22" xfId="0" applyNumberFormat="1" applyFont="1" applyFill="1" applyBorder="1" applyAlignment="1">
      <alignment horizontal="center"/>
    </xf>
    <xf numFmtId="1" fontId="40" fillId="9" borderId="1" xfId="0" applyNumberFormat="1" applyFont="1" applyFill="1" applyBorder="1" applyAlignment="1">
      <alignment horizontal="center"/>
    </xf>
    <xf numFmtId="0" fontId="26" fillId="9" borderId="22" xfId="0" applyNumberFormat="1" applyFont="1" applyFill="1" applyBorder="1" applyAlignment="1">
      <alignment horizontal="center"/>
    </xf>
    <xf numFmtId="1" fontId="40" fillId="9" borderId="21" xfId="0" applyNumberFormat="1" applyFont="1" applyFill="1" applyBorder="1" applyAlignment="1">
      <alignment horizontal="center"/>
    </xf>
    <xf numFmtId="1" fontId="40" fillId="9" borderId="23" xfId="0" applyNumberFormat="1" applyFont="1" applyFill="1" applyBorder="1" applyAlignment="1">
      <alignment horizontal="center"/>
    </xf>
    <xf numFmtId="1" fontId="40" fillId="9" borderId="11" xfId="0" applyNumberFormat="1" applyFont="1" applyFill="1" applyBorder="1" applyAlignment="1">
      <alignment horizontal="center"/>
    </xf>
    <xf numFmtId="1" fontId="40" fillId="9" borderId="8" xfId="0" applyNumberFormat="1" applyFont="1" applyFill="1" applyBorder="1" applyAlignment="1">
      <alignment horizontal="center"/>
    </xf>
    <xf numFmtId="0" fontId="19" fillId="9" borderId="1" xfId="0" applyFont="1" applyFill="1" applyBorder="1" applyAlignment="1">
      <alignment wrapText="1"/>
    </xf>
    <xf numFmtId="0" fontId="31" fillId="0" borderId="8" xfId="0" applyFont="1" applyBorder="1"/>
    <xf numFmtId="1" fontId="40" fillId="10" borderId="27" xfId="0" applyNumberFormat="1" applyFont="1" applyFill="1" applyBorder="1" applyAlignment="1">
      <alignment horizontal="center"/>
    </xf>
    <xf numFmtId="4" fontId="40" fillId="4" borderId="1" xfId="0" applyNumberFormat="1" applyFont="1" applyFill="1" applyBorder="1" applyAlignment="1">
      <alignment horizontal="center"/>
    </xf>
    <xf numFmtId="0" fontId="40" fillId="4" borderId="1" xfId="0" applyFont="1" applyFill="1" applyBorder="1" applyAlignment="1">
      <alignment horizontal="center"/>
    </xf>
    <xf numFmtId="0" fontId="40" fillId="4" borderId="28" xfId="0" applyFont="1" applyFill="1" applyBorder="1" applyAlignment="1">
      <alignment horizontal="center"/>
    </xf>
    <xf numFmtId="0" fontId="40" fillId="4" borderId="8" xfId="0" applyFont="1" applyFill="1" applyBorder="1" applyAlignment="1">
      <alignment horizontal="center" vertical="center"/>
    </xf>
    <xf numFmtId="0" fontId="40" fillId="4" borderId="28" xfId="0" applyFont="1" applyFill="1" applyBorder="1" applyAlignment="1">
      <alignment horizontal="center" vertical="center"/>
    </xf>
    <xf numFmtId="1" fontId="40" fillId="4" borderId="8" xfId="0" applyNumberFormat="1" applyFont="1" applyFill="1" applyBorder="1" applyAlignment="1">
      <alignment horizontal="center"/>
    </xf>
    <xf numFmtId="1" fontId="40" fillId="4" borderId="28" xfId="0" applyNumberFormat="1" applyFont="1" applyFill="1" applyBorder="1" applyAlignment="1">
      <alignment horizontal="center"/>
    </xf>
    <xf numFmtId="3" fontId="40" fillId="6" borderId="21" xfId="0" applyNumberFormat="1" applyFont="1" applyFill="1" applyBorder="1" applyAlignment="1">
      <alignment horizontal="center"/>
    </xf>
    <xf numFmtId="3" fontId="40" fillId="6" borderId="25" xfId="0" applyNumberFormat="1" applyFont="1" applyFill="1" applyBorder="1" applyAlignment="1">
      <alignment horizontal="center"/>
    </xf>
    <xf numFmtId="165" fontId="40" fillId="9" borderId="25" xfId="0" applyNumberFormat="1" applyFont="1" applyFill="1" applyBorder="1" applyAlignment="1">
      <alignment horizontal="center"/>
    </xf>
    <xf numFmtId="165" fontId="40" fillId="9" borderId="21" xfId="0" applyNumberFormat="1" applyFont="1" applyFill="1" applyBorder="1" applyAlignment="1">
      <alignment horizontal="center"/>
    </xf>
    <xf numFmtId="2" fontId="40" fillId="8" borderId="25" xfId="0" applyNumberFormat="1" applyFont="1" applyFill="1" applyBorder="1" applyAlignment="1">
      <alignment horizontal="center"/>
    </xf>
    <xf numFmtId="165" fontId="40" fillId="6" borderId="25" xfId="0" applyNumberFormat="1" applyFont="1" applyFill="1" applyBorder="1" applyAlignment="1">
      <alignment horizontal="center"/>
    </xf>
    <xf numFmtId="165" fontId="40" fillId="6" borderId="30" xfId="0" applyNumberFormat="1" applyFont="1" applyFill="1" applyBorder="1" applyAlignment="1">
      <alignment horizontal="center"/>
    </xf>
    <xf numFmtId="0" fontId="32" fillId="0" borderId="0" xfId="0" applyFont="1"/>
    <xf numFmtId="0" fontId="34" fillId="2" borderId="0" xfId="0" applyFont="1" applyFill="1"/>
    <xf numFmtId="0" fontId="35" fillId="0" borderId="0" xfId="0" applyFont="1"/>
    <xf numFmtId="0" fontId="34" fillId="0" borderId="0" xfId="0" applyFont="1" applyFill="1" applyBorder="1"/>
    <xf numFmtId="0" fontId="34" fillId="0" borderId="0" xfId="0" applyFont="1"/>
    <xf numFmtId="0" fontId="34" fillId="0" borderId="0" xfId="0" applyFont="1" applyBorder="1"/>
    <xf numFmtId="0" fontId="32" fillId="2" borderId="0" xfId="0" applyFont="1" applyFill="1"/>
    <xf numFmtId="0" fontId="35" fillId="0" borderId="0" xfId="0" applyFont="1" applyFill="1" applyBorder="1"/>
    <xf numFmtId="0" fontId="35" fillId="0" borderId="0" xfId="0" applyFont="1" applyBorder="1"/>
    <xf numFmtId="49" fontId="36" fillId="0" borderId="0" xfId="0" applyNumberFormat="1" applyFont="1" applyBorder="1" applyAlignment="1">
      <alignment horizontal="right"/>
    </xf>
    <xf numFmtId="0" fontId="35" fillId="2" borderId="0" xfId="0" applyFont="1" applyFill="1" applyBorder="1"/>
    <xf numFmtId="49" fontId="36" fillId="0" borderId="0" xfId="0" applyNumberFormat="1" applyFont="1" applyBorder="1" applyAlignment="1">
      <alignment horizontal="right" vertical="top"/>
    </xf>
    <xf numFmtId="49" fontId="36" fillId="0" borderId="0" xfId="0" applyNumberFormat="1" applyFont="1" applyBorder="1" applyAlignment="1">
      <alignment horizontal="right" vertical="center" wrapText="1"/>
    </xf>
    <xf numFmtId="0" fontId="40" fillId="11" borderId="8" xfId="0" applyNumberFormat="1" applyFont="1" applyFill="1" applyBorder="1" applyAlignment="1">
      <alignment horizontal="center"/>
    </xf>
    <xf numFmtId="0" fontId="40" fillId="11" borderId="7" xfId="0" applyNumberFormat="1" applyFont="1" applyFill="1" applyBorder="1" applyAlignment="1">
      <alignment horizontal="center"/>
    </xf>
    <xf numFmtId="0" fontId="40" fillId="11" borderId="8" xfId="0" applyFont="1" applyFill="1" applyBorder="1" applyAlignment="1">
      <alignment horizontal="center" vertical="center"/>
    </xf>
    <xf numFmtId="0" fontId="40" fillId="11" borderId="28" xfId="0" applyFont="1" applyFill="1" applyBorder="1" applyAlignment="1">
      <alignment horizontal="center" vertical="center"/>
    </xf>
    <xf numFmtId="1" fontId="43" fillId="11" borderId="8" xfId="0" applyNumberFormat="1" applyFont="1" applyFill="1" applyBorder="1" applyAlignment="1">
      <alignment horizontal="center"/>
    </xf>
    <xf numFmtId="1" fontId="40" fillId="11" borderId="43" xfId="0" applyNumberFormat="1" applyFont="1" applyFill="1" applyBorder="1" applyAlignment="1">
      <alignment horizontal="center"/>
    </xf>
    <xf numFmtId="1" fontId="40" fillId="11" borderId="7" xfId="0" applyNumberFormat="1" applyFont="1" applyFill="1" applyBorder="1" applyAlignment="1">
      <alignment horizontal="center"/>
    </xf>
    <xf numFmtId="1" fontId="40" fillId="11" borderId="8" xfId="0" applyNumberFormat="1" applyFont="1" applyFill="1" applyBorder="1" applyAlignment="1">
      <alignment horizontal="center"/>
    </xf>
    <xf numFmtId="1" fontId="40" fillId="11" borderId="1" xfId="0" applyNumberFormat="1" applyFont="1" applyFill="1" applyBorder="1" applyAlignment="1">
      <alignment horizontal="center" vertical="center"/>
    </xf>
    <xf numFmtId="1" fontId="44" fillId="11" borderId="8" xfId="0" applyNumberFormat="1" applyFont="1" applyFill="1" applyBorder="1" applyAlignment="1">
      <alignment horizontal="center"/>
    </xf>
    <xf numFmtId="1" fontId="44" fillId="11" borderId="6" xfId="0" applyNumberFormat="1" applyFont="1" applyFill="1" applyBorder="1" applyAlignment="1">
      <alignment horizontal="center" vertical="center"/>
    </xf>
    <xf numFmtId="4" fontId="40" fillId="11" borderId="1" xfId="0" applyNumberFormat="1" applyFont="1" applyFill="1" applyBorder="1" applyAlignment="1">
      <alignment horizontal="center"/>
    </xf>
    <xf numFmtId="3" fontId="40" fillId="11" borderId="1" xfId="0" applyNumberFormat="1" applyFont="1" applyFill="1" applyBorder="1" applyAlignment="1">
      <alignment horizontal="center"/>
    </xf>
    <xf numFmtId="165" fontId="40" fillId="11" borderId="1" xfId="0" applyNumberFormat="1" applyFont="1" applyFill="1" applyBorder="1" applyAlignment="1">
      <alignment horizontal="center"/>
    </xf>
    <xf numFmtId="1" fontId="40" fillId="11" borderId="1" xfId="0" applyNumberFormat="1" applyFont="1" applyFill="1" applyBorder="1" applyAlignment="1">
      <alignment horizontal="center"/>
    </xf>
    <xf numFmtId="2" fontId="40" fillId="11" borderId="1" xfId="0" applyNumberFormat="1" applyFont="1" applyFill="1" applyBorder="1" applyAlignment="1">
      <alignment horizontal="center"/>
    </xf>
    <xf numFmtId="165" fontId="40" fillId="11" borderId="28" xfId="0" applyNumberFormat="1" applyFont="1" applyFill="1" applyBorder="1" applyAlignment="1">
      <alignment horizontal="center"/>
    </xf>
    <xf numFmtId="164" fontId="40" fillId="11" borderId="28" xfId="0" applyNumberFormat="1" applyFont="1" applyFill="1" applyBorder="1" applyAlignment="1">
      <alignment horizontal="center"/>
    </xf>
    <xf numFmtId="164" fontId="40" fillId="11" borderId="1" xfId="0" applyNumberFormat="1" applyFont="1" applyFill="1" applyBorder="1" applyAlignment="1">
      <alignment horizontal="center"/>
    </xf>
    <xf numFmtId="0" fontId="4" fillId="6" borderId="1" xfId="0" applyFont="1" applyFill="1" applyBorder="1" applyAlignment="1">
      <alignment horizontal="left" vertical="top" wrapText="1"/>
    </xf>
    <xf numFmtId="0" fontId="4" fillId="8" borderId="1" xfId="0" applyFont="1" applyFill="1" applyBorder="1" applyAlignment="1">
      <alignment horizontal="left" vertical="center" wrapText="1"/>
    </xf>
    <xf numFmtId="49" fontId="4" fillId="9" borderId="1" xfId="0" applyNumberFormat="1" applyFont="1" applyFill="1" applyBorder="1" applyAlignment="1">
      <alignment horizontal="left" wrapText="1"/>
    </xf>
    <xf numFmtId="0" fontId="4" fillId="9" borderId="1" xfId="0" applyFont="1" applyFill="1" applyBorder="1" applyAlignment="1">
      <alignment horizontal="left" wrapText="1"/>
    </xf>
    <xf numFmtId="0" fontId="4" fillId="9" borderId="1" xfId="0" applyFont="1" applyFill="1" applyBorder="1" applyAlignment="1">
      <alignment wrapText="1"/>
    </xf>
    <xf numFmtId="0" fontId="4" fillId="9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 wrapText="1"/>
    </xf>
    <xf numFmtId="0" fontId="4" fillId="9" borderId="8" xfId="0" applyFont="1" applyFill="1" applyBorder="1" applyAlignment="1">
      <alignment horizontal="left" vertical="top" wrapText="1"/>
    </xf>
    <xf numFmtId="0" fontId="19" fillId="0" borderId="0" xfId="0" applyFont="1"/>
    <xf numFmtId="0" fontId="19" fillId="0" borderId="0" xfId="0" applyFont="1" applyFill="1"/>
    <xf numFmtId="0" fontId="19" fillId="0" borderId="0" xfId="0" applyFont="1" applyBorder="1"/>
    <xf numFmtId="0" fontId="19" fillId="0" borderId="0" xfId="0" applyFont="1" applyFill="1" applyBorder="1"/>
    <xf numFmtId="0" fontId="19" fillId="0" borderId="44" xfId="0" applyFont="1" applyBorder="1"/>
    <xf numFmtId="0" fontId="19" fillId="0" borderId="44" xfId="0" applyFont="1" applyFill="1" applyBorder="1"/>
    <xf numFmtId="0" fontId="37" fillId="2" borderId="24" xfId="0" applyFont="1" applyFill="1" applyBorder="1" applyAlignment="1">
      <alignment horizontal="center"/>
    </xf>
    <xf numFmtId="0" fontId="37" fillId="2" borderId="24" xfId="0" applyFont="1" applyFill="1" applyBorder="1" applyAlignment="1">
      <alignment horizontal="right"/>
    </xf>
    <xf numFmtId="49" fontId="45" fillId="0" borderId="44" xfId="0" applyNumberFormat="1" applyFont="1" applyBorder="1" applyAlignment="1">
      <alignment horizontal="right"/>
    </xf>
    <xf numFmtId="0" fontId="18" fillId="0" borderId="0" xfId="0" applyFont="1" applyFill="1" applyBorder="1"/>
    <xf numFmtId="0" fontId="18" fillId="0" borderId="0" xfId="0" applyFont="1" applyBorder="1"/>
    <xf numFmtId="49" fontId="36" fillId="0" borderId="2" xfId="0" applyNumberFormat="1" applyFont="1" applyBorder="1" applyAlignment="1">
      <alignment horizontal="right"/>
    </xf>
    <xf numFmtId="0" fontId="0" fillId="0" borderId="16" xfId="0" applyBorder="1" applyAlignment="1">
      <alignment vertical="center"/>
    </xf>
    <xf numFmtId="1" fontId="40" fillId="11" borderId="36" xfId="0" applyNumberFormat="1" applyFont="1" applyFill="1" applyBorder="1" applyAlignment="1">
      <alignment horizontal="center"/>
    </xf>
    <xf numFmtId="1" fontId="40" fillId="11" borderId="6" xfId="0" applyNumberFormat="1" applyFont="1" applyFill="1" applyBorder="1" applyAlignment="1">
      <alignment horizontal="center" vertical="center"/>
    </xf>
    <xf numFmtId="4" fontId="46" fillId="11" borderId="1" xfId="0" applyNumberFormat="1" applyFont="1" applyFill="1" applyBorder="1" applyAlignment="1">
      <alignment horizontal="center"/>
    </xf>
    <xf numFmtId="0" fontId="0" fillId="0" borderId="0" xfId="0" applyAlignment="1"/>
    <xf numFmtId="1" fontId="25" fillId="0" borderId="39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55" fillId="12" borderId="5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25" fillId="0" borderId="53" xfId="0" applyNumberFormat="1" applyFont="1" applyBorder="1" applyAlignment="1" applyProtection="1">
      <alignment horizontal="center" vertical="center" wrapText="1"/>
      <protection locked="0"/>
    </xf>
    <xf numFmtId="49" fontId="25" fillId="0" borderId="53" xfId="0" applyNumberFormat="1" applyFont="1" applyBorder="1" applyAlignment="1" applyProtection="1">
      <alignment horizontal="center" vertical="center" wrapText="1"/>
      <protection locked="0"/>
    </xf>
    <xf numFmtId="49" fontId="25" fillId="2" borderId="53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53" xfId="0" applyFont="1" applyBorder="1" applyAlignment="1" applyProtection="1">
      <alignment horizontal="center" vertical="center" wrapText="1"/>
      <protection locked="0"/>
    </xf>
    <xf numFmtId="0" fontId="25" fillId="0" borderId="0" xfId="0" applyFont="1"/>
    <xf numFmtId="0" fontId="1" fillId="0" borderId="0" xfId="0" applyFont="1"/>
    <xf numFmtId="0" fontId="25" fillId="0" borderId="1" xfId="0" applyFont="1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12" borderId="1" xfId="0" applyFont="1" applyFill="1" applyBorder="1"/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/>
    <xf numFmtId="0" fontId="1" fillId="13" borderId="1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25" fillId="0" borderId="7" xfId="0" applyFont="1" applyBorder="1" applyAlignment="1" applyProtection="1">
      <alignment horizontal="left" vertical="center" wrapText="1"/>
      <protection locked="0"/>
    </xf>
    <xf numFmtId="0" fontId="54" fillId="0" borderId="0" xfId="0" applyFont="1" applyAlignment="1" applyProtection="1">
      <alignment horizontal="left"/>
    </xf>
    <xf numFmtId="0" fontId="1" fillId="12" borderId="54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/>
    </xf>
    <xf numFmtId="0" fontId="1" fillId="12" borderId="5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/>
    </xf>
    <xf numFmtId="0" fontId="1" fillId="12" borderId="50" xfId="0" applyFont="1" applyFill="1" applyBorder="1" applyAlignment="1">
      <alignment horizontal="center" vertical="center" wrapText="1"/>
    </xf>
    <xf numFmtId="0" fontId="1" fillId="12" borderId="52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1" fontId="25" fillId="0" borderId="53" xfId="0" applyNumberFormat="1" applyFont="1" applyBorder="1" applyAlignment="1">
      <alignment horizontal="center" vertical="center" wrapText="1"/>
    </xf>
    <xf numFmtId="0" fontId="60" fillId="0" borderId="0" xfId="0" applyFont="1" applyFill="1" applyBorder="1" applyAlignment="1">
      <alignment vertical="center"/>
    </xf>
    <xf numFmtId="0" fontId="60" fillId="0" borderId="0" xfId="0" applyFont="1" applyBorder="1" applyAlignment="1">
      <alignment vertical="center"/>
    </xf>
    <xf numFmtId="0" fontId="61" fillId="0" borderId="0" xfId="0" applyFont="1" applyBorder="1" applyAlignment="1">
      <alignment horizontal="center" vertical="center" wrapText="1"/>
    </xf>
    <xf numFmtId="0" fontId="61" fillId="0" borderId="0" xfId="0" applyFont="1" applyBorder="1" applyAlignment="1">
      <alignment horizontal="center"/>
    </xf>
    <xf numFmtId="1" fontId="25" fillId="0" borderId="34" xfId="0" applyNumberFormat="1" applyFont="1" applyBorder="1" applyAlignment="1">
      <alignment horizontal="center" vertical="center" wrapText="1"/>
    </xf>
    <xf numFmtId="1" fontId="25" fillId="0" borderId="55" xfId="0" applyNumberFormat="1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14" fontId="62" fillId="0" borderId="57" xfId="0" applyNumberFormat="1" applyFont="1" applyBorder="1" applyAlignment="1" applyProtection="1">
      <alignment horizontal="center" vertical="center" wrapText="1"/>
      <protection locked="0"/>
    </xf>
    <xf numFmtId="14" fontId="62" fillId="0" borderId="57" xfId="0" applyNumberFormat="1" applyFont="1" applyBorder="1" applyAlignment="1" applyProtection="1">
      <alignment horizontal="center" vertical="center"/>
      <protection locked="0"/>
    </xf>
    <xf numFmtId="49" fontId="62" fillId="0" borderId="57" xfId="0" applyNumberFormat="1" applyFont="1" applyBorder="1" applyAlignment="1" applyProtection="1">
      <alignment horizontal="center" vertical="center"/>
      <protection locked="0"/>
    </xf>
    <xf numFmtId="14" fontId="25" fillId="0" borderId="57" xfId="0" applyNumberFormat="1" applyFont="1" applyBorder="1" applyAlignment="1" applyProtection="1">
      <alignment horizontal="center" vertical="center"/>
      <protection locked="0"/>
    </xf>
    <xf numFmtId="14" fontId="62" fillId="0" borderId="42" xfId="0" applyNumberFormat="1" applyFont="1" applyBorder="1" applyAlignment="1" applyProtection="1">
      <alignment horizontal="center" vertical="center"/>
      <protection locked="0"/>
    </xf>
    <xf numFmtId="14" fontId="62" fillId="0" borderId="55" xfId="0" applyNumberFormat="1" applyFont="1" applyBorder="1" applyAlignment="1" applyProtection="1">
      <alignment horizontal="center" vertical="center"/>
      <protection locked="0"/>
    </xf>
    <xf numFmtId="49" fontId="62" fillId="0" borderId="55" xfId="0" applyNumberFormat="1" applyFont="1" applyBorder="1" applyAlignment="1" applyProtection="1">
      <alignment horizontal="center" vertical="center"/>
      <protection locked="0"/>
    </xf>
    <xf numFmtId="0" fontId="63" fillId="0" borderId="55" xfId="0" applyFont="1" applyBorder="1" applyAlignment="1" applyProtection="1">
      <alignment vertical="center"/>
      <protection locked="0"/>
    </xf>
    <xf numFmtId="0" fontId="63" fillId="0" borderId="57" xfId="0" applyFont="1" applyBorder="1" applyAlignment="1" applyProtection="1">
      <alignment vertical="center"/>
      <protection locked="0"/>
    </xf>
    <xf numFmtId="14" fontId="62" fillId="0" borderId="53" xfId="0" applyNumberFormat="1" applyFont="1" applyBorder="1" applyAlignment="1" applyProtection="1">
      <alignment horizontal="center" vertical="center"/>
      <protection locked="0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0" fontId="25" fillId="0" borderId="53" xfId="0" applyFont="1" applyBorder="1" applyAlignment="1" applyProtection="1">
      <alignment vertical="center"/>
      <protection locked="0"/>
    </xf>
    <xf numFmtId="14" fontId="62" fillId="0" borderId="41" xfId="0" applyNumberFormat="1" applyFont="1" applyBorder="1" applyAlignment="1" applyProtection="1">
      <alignment horizontal="center" vertical="center"/>
      <protection locked="0"/>
    </xf>
    <xf numFmtId="0" fontId="25" fillId="0" borderId="57" xfId="0" applyFont="1" applyBorder="1" applyAlignment="1" applyProtection="1">
      <alignment vertical="center"/>
      <protection locked="0"/>
    </xf>
    <xf numFmtId="0" fontId="25" fillId="0" borderId="56" xfId="0" applyFont="1" applyFill="1" applyBorder="1" applyAlignment="1" applyProtection="1">
      <alignment vertical="center"/>
      <protection locked="0"/>
    </xf>
    <xf numFmtId="0" fontId="25" fillId="0" borderId="57" xfId="0" applyFont="1" applyBorder="1" applyAlignment="1" applyProtection="1">
      <alignment horizontal="center" vertical="center"/>
      <protection locked="0"/>
    </xf>
    <xf numFmtId="14" fontId="62" fillId="0" borderId="6" xfId="0" applyNumberFormat="1" applyFont="1" applyBorder="1" applyAlignment="1" applyProtection="1">
      <alignment horizontal="center" vertical="center"/>
      <protection locked="0"/>
    </xf>
    <xf numFmtId="0" fontId="62" fillId="0" borderId="57" xfId="0" applyFont="1" applyBorder="1" applyAlignment="1" applyProtection="1">
      <alignment horizontal="left" vertical="center" wrapText="1"/>
      <protection locked="0"/>
    </xf>
    <xf numFmtId="0" fontId="25" fillId="0" borderId="57" xfId="0" applyFont="1" applyBorder="1" applyAlignment="1" applyProtection="1">
      <alignment horizontal="left" vertical="center"/>
      <protection locked="0"/>
    </xf>
    <xf numFmtId="14" fontId="62" fillId="0" borderId="59" xfId="0" applyNumberFormat="1" applyFont="1" applyBorder="1" applyAlignment="1" applyProtection="1">
      <alignment horizontal="center" vertical="center"/>
      <protection locked="0"/>
    </xf>
    <xf numFmtId="0" fontId="62" fillId="0" borderId="55" xfId="0" applyFont="1" applyBorder="1" applyAlignment="1" applyProtection="1">
      <alignment horizontal="center" vertical="center" wrapText="1"/>
      <protection locked="0"/>
    </xf>
    <xf numFmtId="0" fontId="62" fillId="0" borderId="57" xfId="0" applyFont="1" applyBorder="1" applyAlignment="1" applyProtection="1">
      <alignment horizontal="center" vertical="center" wrapText="1"/>
      <protection locked="0"/>
    </xf>
    <xf numFmtId="14" fontId="25" fillId="0" borderId="57" xfId="0" applyNumberFormat="1" applyFont="1" applyBorder="1" applyAlignment="1" applyProtection="1">
      <alignment horizontal="center" vertical="center" wrapText="1"/>
      <protection locked="0"/>
    </xf>
    <xf numFmtId="0" fontId="25" fillId="0" borderId="57" xfId="0" applyFont="1" applyBorder="1" applyAlignment="1" applyProtection="1">
      <alignment horizontal="center" vertical="center" wrapText="1"/>
      <protection locked="0"/>
    </xf>
    <xf numFmtId="0" fontId="25" fillId="0" borderId="57" xfId="0" applyFont="1" applyBorder="1" applyAlignment="1" applyProtection="1">
      <alignment horizontal="left" vertical="center" wrapText="1"/>
      <protection locked="0"/>
    </xf>
    <xf numFmtId="14" fontId="25" fillId="0" borderId="57" xfId="0" applyNumberFormat="1" applyFont="1" applyBorder="1" applyAlignment="1" applyProtection="1">
      <alignment horizontal="center" wrapText="1"/>
      <protection locked="0"/>
    </xf>
    <xf numFmtId="14" fontId="25" fillId="0" borderId="55" xfId="0" applyNumberFormat="1" applyFont="1" applyBorder="1" applyAlignment="1" applyProtection="1">
      <alignment horizontal="center" vertical="center"/>
      <protection locked="0"/>
    </xf>
    <xf numFmtId="14" fontId="25" fillId="0" borderId="53" xfId="0" applyNumberFormat="1" applyFont="1" applyBorder="1" applyAlignment="1" applyProtection="1">
      <alignment horizontal="center" vertical="center"/>
      <protection locked="0"/>
    </xf>
    <xf numFmtId="14" fontId="25" fillId="0" borderId="58" xfId="0" applyNumberFormat="1" applyFont="1" applyBorder="1" applyAlignment="1" applyProtection="1">
      <alignment horizontal="center" vertical="center"/>
      <protection locked="0"/>
    </xf>
    <xf numFmtId="49" fontId="25" fillId="0" borderId="55" xfId="0" applyNumberFormat="1" applyFont="1" applyBorder="1" applyAlignment="1" applyProtection="1">
      <alignment horizontal="center" vertical="center"/>
      <protection locked="0"/>
    </xf>
    <xf numFmtId="49" fontId="25" fillId="0" borderId="58" xfId="0" applyNumberFormat="1" applyFont="1" applyBorder="1" applyAlignment="1" applyProtection="1">
      <alignment horizontal="center" vertical="center"/>
      <protection locked="0"/>
    </xf>
    <xf numFmtId="0" fontId="25" fillId="0" borderId="58" xfId="0" applyFont="1" applyBorder="1" applyAlignment="1" applyProtection="1">
      <alignment vertical="center"/>
      <protection locked="0"/>
    </xf>
    <xf numFmtId="0" fontId="25" fillId="0" borderId="57" xfId="0" applyFont="1" applyBorder="1" applyAlignment="1" applyProtection="1">
      <alignment vertical="center" wrapText="1"/>
      <protection locked="0"/>
    </xf>
    <xf numFmtId="0" fontId="63" fillId="0" borderId="57" xfId="0" applyFont="1" applyBorder="1" applyAlignment="1" applyProtection="1">
      <alignment vertical="center" wrapText="1"/>
      <protection locked="0"/>
    </xf>
    <xf numFmtId="0" fontId="25" fillId="0" borderId="53" xfId="0" applyFont="1" applyBorder="1" applyAlignment="1" applyProtection="1">
      <alignment vertical="center" wrapText="1"/>
      <protection locked="0"/>
    </xf>
    <xf numFmtId="0" fontId="25" fillId="0" borderId="58" xfId="0" applyFont="1" applyBorder="1" applyAlignment="1" applyProtection="1">
      <alignment vertical="center" wrapText="1"/>
      <protection locked="0"/>
    </xf>
    <xf numFmtId="0" fontId="25" fillId="0" borderId="55" xfId="0" applyFont="1" applyBorder="1" applyAlignment="1" applyProtection="1">
      <alignment horizontal="center" vertical="center"/>
      <protection locked="0"/>
    </xf>
    <xf numFmtId="0" fontId="25" fillId="0" borderId="58" xfId="0" applyFont="1" applyBorder="1" applyAlignment="1" applyProtection="1">
      <alignment horizontal="center" vertical="center"/>
      <protection locked="0"/>
    </xf>
    <xf numFmtId="0" fontId="25" fillId="0" borderId="53" xfId="0" applyFont="1" applyBorder="1" applyAlignment="1" applyProtection="1">
      <alignment horizontal="center" vertical="center"/>
      <protection locked="0"/>
    </xf>
    <xf numFmtId="14" fontId="25" fillId="0" borderId="42" xfId="0" applyNumberFormat="1" applyFont="1" applyBorder="1" applyAlignment="1" applyProtection="1">
      <alignment horizontal="center" vertical="center"/>
      <protection locked="0"/>
    </xf>
    <xf numFmtId="0" fontId="25" fillId="0" borderId="58" xfId="0" applyFont="1" applyBorder="1" applyAlignment="1" applyProtection="1">
      <alignment horizontal="center" vertical="center" wrapText="1"/>
      <protection locked="0"/>
    </xf>
    <xf numFmtId="14" fontId="25" fillId="0" borderId="60" xfId="0" applyNumberFormat="1" applyFont="1" applyBorder="1" applyAlignment="1" applyProtection="1">
      <alignment horizontal="center" vertical="center"/>
      <protection locked="0"/>
    </xf>
    <xf numFmtId="49" fontId="25" fillId="0" borderId="60" xfId="0" applyNumberFormat="1" applyFont="1" applyBorder="1" applyAlignment="1" applyProtection="1">
      <alignment horizontal="center" vertical="center"/>
      <protection locked="0"/>
    </xf>
    <xf numFmtId="49" fontId="25" fillId="2" borderId="57" xfId="0" applyNumberFormat="1" applyFont="1" applyFill="1" applyBorder="1" applyAlignment="1" applyProtection="1">
      <alignment horizontal="center" vertical="center"/>
      <protection locked="0"/>
    </xf>
    <xf numFmtId="49" fontId="25" fillId="0" borderId="39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49" fontId="25" fillId="0" borderId="61" xfId="0" applyNumberFormat="1" applyFont="1" applyBorder="1" applyAlignment="1" applyProtection="1">
      <alignment horizontal="center" vertical="center"/>
      <protection locked="0"/>
    </xf>
    <xf numFmtId="0" fontId="25" fillId="0" borderId="42" xfId="0" applyFont="1" applyBorder="1" applyAlignment="1" applyProtection="1">
      <alignment horizontal="center" vertical="center"/>
      <protection locked="0"/>
    </xf>
    <xf numFmtId="0" fontId="25" fillId="0" borderId="60" xfId="0" applyFont="1" applyBorder="1" applyAlignment="1" applyProtection="1">
      <alignment vertical="center"/>
      <protection locked="0"/>
    </xf>
    <xf numFmtId="0" fontId="25" fillId="0" borderId="55" xfId="0" applyFont="1" applyBorder="1" applyAlignment="1" applyProtection="1">
      <alignment vertical="center" wrapText="1"/>
      <protection locked="0"/>
    </xf>
    <xf numFmtId="0" fontId="25" fillId="0" borderId="55" xfId="0" applyFont="1" applyBorder="1" applyAlignment="1" applyProtection="1">
      <alignment horizontal="center" vertical="center" wrapText="1"/>
      <protection locked="0"/>
    </xf>
    <xf numFmtId="0" fontId="63" fillId="0" borderId="53" xfId="0" applyFont="1" applyBorder="1" applyAlignment="1" applyProtection="1">
      <alignment vertical="center" wrapText="1"/>
      <protection locked="0"/>
    </xf>
    <xf numFmtId="0" fontId="25" fillId="0" borderId="42" xfId="0" applyFont="1" applyBorder="1" applyAlignment="1" applyProtection="1">
      <alignment horizontal="center" vertical="center" wrapText="1"/>
      <protection locked="0"/>
    </xf>
    <xf numFmtId="0" fontId="25" fillId="0" borderId="60" xfId="0" applyFont="1" applyBorder="1" applyAlignment="1" applyProtection="1">
      <alignment vertical="center" wrapText="1"/>
      <protection locked="0"/>
    </xf>
    <xf numFmtId="0" fontId="25" fillId="0" borderId="62" xfId="0" applyFont="1" applyBorder="1" applyAlignment="1" applyProtection="1">
      <alignment horizontal="center" vertical="center" wrapText="1"/>
      <protection locked="0"/>
    </xf>
    <xf numFmtId="14" fontId="25" fillId="0" borderId="41" xfId="0" applyNumberFormat="1" applyFont="1" applyBorder="1" applyAlignment="1" applyProtection="1">
      <alignment horizontal="center" vertical="center"/>
      <protection locked="0"/>
    </xf>
    <xf numFmtId="14" fontId="25" fillId="0" borderId="6" xfId="0" applyNumberFormat="1" applyFont="1" applyBorder="1" applyAlignment="1" applyProtection="1">
      <alignment horizontal="center" vertical="center" wrapText="1"/>
      <protection locked="0"/>
    </xf>
    <xf numFmtId="14" fontId="62" fillId="0" borderId="60" xfId="0" applyNumberFormat="1" applyFont="1" applyBorder="1" applyAlignment="1" applyProtection="1">
      <alignment horizontal="center" vertical="center"/>
      <protection locked="0"/>
    </xf>
    <xf numFmtId="14" fontId="62" fillId="0" borderId="62" xfId="0" applyNumberFormat="1" applyFont="1" applyBorder="1" applyAlignment="1" applyProtection="1">
      <alignment horizontal="center" vertical="center"/>
      <protection locked="0"/>
    </xf>
    <xf numFmtId="0" fontId="25" fillId="0" borderId="59" xfId="0" applyFont="1" applyBorder="1" applyAlignment="1" applyProtection="1">
      <alignment horizontal="center" vertical="center"/>
      <protection locked="0"/>
    </xf>
    <xf numFmtId="49" fontId="25" fillId="0" borderId="55" xfId="0" applyNumberFormat="1" applyFont="1" applyBorder="1" applyAlignment="1" applyProtection="1">
      <alignment horizontal="center" vertical="center" wrapText="1"/>
      <protection locked="0"/>
    </xf>
    <xf numFmtId="49" fontId="25" fillId="0" borderId="57" xfId="0" applyNumberFormat="1" applyFont="1" applyBorder="1" applyAlignment="1" applyProtection="1">
      <alignment horizontal="center" vertical="center" wrapText="1"/>
      <protection locked="0"/>
    </xf>
    <xf numFmtId="49" fontId="25" fillId="2" borderId="57" xfId="0" applyNumberFormat="1" applyFont="1" applyFill="1" applyBorder="1" applyAlignment="1" applyProtection="1">
      <alignment horizontal="center" vertical="center" wrapText="1"/>
      <protection locked="0"/>
    </xf>
    <xf numFmtId="49" fontId="25" fillId="0" borderId="58" xfId="0" applyNumberFormat="1" applyFont="1" applyBorder="1" applyAlignment="1" applyProtection="1">
      <alignment horizontal="center" vertical="center" wrapText="1"/>
      <protection locked="0"/>
    </xf>
    <xf numFmtId="0" fontId="25" fillId="0" borderId="59" xfId="0" applyFont="1" applyBorder="1" applyAlignment="1" applyProtection="1">
      <alignment horizontal="center" vertical="center" wrapText="1"/>
      <protection locked="0"/>
    </xf>
    <xf numFmtId="0" fontId="25" fillId="0" borderId="53" xfId="0" applyFont="1" applyBorder="1" applyAlignment="1" applyProtection="1">
      <alignment horizontal="left" vertical="center"/>
      <protection locked="0"/>
    </xf>
    <xf numFmtId="14" fontId="25" fillId="0" borderId="40" xfId="0" applyNumberFormat="1" applyFont="1" applyBorder="1" applyAlignment="1" applyProtection="1">
      <alignment horizontal="center" vertical="center"/>
      <protection locked="0"/>
    </xf>
    <xf numFmtId="14" fontId="25" fillId="0" borderId="59" xfId="0" applyNumberFormat="1" applyFon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>
      <alignment horizontal="center" vertical="center"/>
    </xf>
    <xf numFmtId="0" fontId="63" fillId="0" borderId="53" xfId="0" applyFont="1" applyBorder="1" applyAlignment="1" applyProtection="1">
      <alignment vertical="center"/>
      <protection locked="0"/>
    </xf>
    <xf numFmtId="49" fontId="25" fillId="0" borderId="53" xfId="0" applyNumberFormat="1" applyFont="1" applyBorder="1" applyAlignment="1" applyProtection="1">
      <alignment horizontal="center" vertical="center"/>
      <protection locked="0"/>
    </xf>
    <xf numFmtId="49" fontId="25" fillId="0" borderId="53" xfId="0" applyNumberFormat="1" applyFont="1" applyBorder="1" applyAlignment="1" applyProtection="1">
      <alignment horizontal="left" vertical="center" wrapText="1"/>
      <protection locked="0"/>
    </xf>
    <xf numFmtId="0" fontId="62" fillId="0" borderId="57" xfId="0" applyFont="1" applyBorder="1" applyAlignment="1" applyProtection="1">
      <alignment horizontal="left" vertical="center"/>
      <protection locked="0"/>
    </xf>
    <xf numFmtId="0" fontId="62" fillId="0" borderId="57" xfId="0" applyFont="1" applyBorder="1" applyAlignment="1" applyProtection="1">
      <alignment horizontal="center" vertical="center"/>
      <protection locked="0"/>
    </xf>
    <xf numFmtId="14" fontId="25" fillId="0" borderId="53" xfId="0" quotePrefix="1" applyNumberFormat="1" applyFont="1" applyBorder="1" applyAlignment="1" applyProtection="1">
      <alignment horizontal="center" vertical="center"/>
      <protection locked="0"/>
    </xf>
    <xf numFmtId="0" fontId="61" fillId="0" borderId="0" xfId="0" applyFont="1" applyFill="1" applyBorder="1" applyAlignment="1">
      <alignment horizontal="center" vertical="center" wrapText="1"/>
    </xf>
    <xf numFmtId="0" fontId="61" fillId="0" borderId="0" xfId="0" applyFont="1" applyFill="1" applyBorder="1" applyAlignment="1">
      <alignment horizontal="center"/>
    </xf>
    <xf numFmtId="0" fontId="25" fillId="0" borderId="0" xfId="0" applyFont="1" applyBorder="1" applyAlignment="1" applyProtection="1">
      <alignment vertical="center" wrapText="1"/>
      <protection locked="0"/>
    </xf>
    <xf numFmtId="0" fontId="25" fillId="0" borderId="0" xfId="0" applyFont="1" applyBorder="1" applyAlignment="1" applyProtection="1">
      <alignment vertical="center"/>
      <protection locked="0"/>
    </xf>
    <xf numFmtId="0" fontId="63" fillId="0" borderId="0" xfId="0" applyFont="1" applyBorder="1" applyAlignment="1" applyProtection="1">
      <alignment vertical="center" wrapText="1"/>
      <protection locked="0"/>
    </xf>
    <xf numFmtId="0" fontId="62" fillId="0" borderId="0" xfId="0" applyFont="1" applyBorder="1" applyAlignment="1" applyProtection="1">
      <alignment vertical="center"/>
      <protection locked="0"/>
    </xf>
    <xf numFmtId="0" fontId="63" fillId="0" borderId="0" xfId="0" applyFont="1" applyBorder="1" applyAlignment="1" applyProtection="1">
      <alignment vertical="center"/>
      <protection locked="0"/>
    </xf>
    <xf numFmtId="14" fontId="25" fillId="0" borderId="60" xfId="0" applyNumberFormat="1" applyFont="1" applyBorder="1" applyAlignment="1" applyProtection="1">
      <alignment horizontal="center" vertical="center" wrapText="1"/>
      <protection locked="0"/>
    </xf>
    <xf numFmtId="49" fontId="25" fillId="0" borderId="60" xfId="0" applyNumberFormat="1" applyFont="1" applyBorder="1" applyAlignment="1" applyProtection="1">
      <alignment horizontal="center" vertical="center" wrapText="1"/>
      <protection locked="0"/>
    </xf>
    <xf numFmtId="49" fontId="25" fillId="2" borderId="60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44" xfId="0" applyFont="1" applyBorder="1" applyAlignment="1" applyProtection="1">
      <alignment horizontal="left" vertical="center" wrapText="1"/>
      <protection locked="0"/>
    </xf>
    <xf numFmtId="0" fontId="25" fillId="0" borderId="60" xfId="0" applyFont="1" applyBorder="1" applyAlignment="1" applyProtection="1">
      <alignment horizontal="center" vertical="center" wrapText="1"/>
      <protection locked="0"/>
    </xf>
    <xf numFmtId="1" fontId="25" fillId="0" borderId="61" xfId="0" applyNumberFormat="1" applyFont="1" applyBorder="1" applyAlignment="1">
      <alignment horizontal="center" vertical="center" wrapText="1"/>
    </xf>
    <xf numFmtId="1" fontId="25" fillId="0" borderId="60" xfId="0" applyNumberFormat="1" applyFont="1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47" fillId="0" borderId="34" xfId="0" applyFont="1" applyBorder="1" applyAlignment="1">
      <alignment horizontal="center"/>
    </xf>
    <xf numFmtId="0" fontId="47" fillId="0" borderId="36" xfId="0" applyFont="1" applyBorder="1" applyAlignment="1">
      <alignment horizontal="center"/>
    </xf>
    <xf numFmtId="0" fontId="47" fillId="0" borderId="35" xfId="0" applyFont="1" applyBorder="1" applyAlignment="1">
      <alignment horizontal="center"/>
    </xf>
    <xf numFmtId="0" fontId="48" fillId="0" borderId="3" xfId="0" applyFont="1" applyBorder="1" applyAlignment="1">
      <alignment horizontal="center" vertical="center" textRotation="45"/>
    </xf>
    <xf numFmtId="0" fontId="48" fillId="0" borderId="5" xfId="0" applyFont="1" applyBorder="1" applyAlignment="1">
      <alignment horizontal="center" vertical="center" textRotation="45"/>
    </xf>
    <xf numFmtId="0" fontId="48" fillId="0" borderId="8" xfId="0" applyFont="1" applyBorder="1" applyAlignment="1">
      <alignment horizontal="center" vertical="center" textRotation="45"/>
    </xf>
    <xf numFmtId="0" fontId="9" fillId="0" borderId="17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28" fillId="0" borderId="7" xfId="0" applyFont="1" applyBorder="1" applyAlignment="1">
      <alignment horizontal="left"/>
    </xf>
    <xf numFmtId="0" fontId="29" fillId="0" borderId="7" xfId="0" applyFont="1" applyBorder="1" applyAlignment="1">
      <alignment horizontal="left"/>
    </xf>
    <xf numFmtId="0" fontId="15" fillId="0" borderId="24" xfId="0" applyFont="1" applyFill="1" applyBorder="1" applyAlignment="1">
      <alignment horizontal="left"/>
    </xf>
    <xf numFmtId="0" fontId="0" fillId="0" borderId="6" xfId="0" applyBorder="1" applyAlignment="1"/>
    <xf numFmtId="0" fontId="0" fillId="0" borderId="27" xfId="0" applyBorder="1" applyAlignment="1"/>
    <xf numFmtId="0" fontId="9" fillId="0" borderId="42" xfId="0" applyFont="1" applyBorder="1" applyAlignment="1">
      <alignment horizontal="center"/>
    </xf>
    <xf numFmtId="0" fontId="19" fillId="6" borderId="45" xfId="0" applyFont="1" applyFill="1" applyBorder="1" applyAlignment="1">
      <alignment horizontal="left" vertical="center" wrapText="1"/>
    </xf>
    <xf numFmtId="0" fontId="19" fillId="6" borderId="20" xfId="0" applyFont="1" applyFill="1" applyBorder="1" applyAlignment="1">
      <alignment horizontal="left" vertical="center" wrapText="1"/>
    </xf>
    <xf numFmtId="0" fontId="19" fillId="6" borderId="46" xfId="0" applyFont="1" applyFill="1" applyBorder="1" applyAlignment="1">
      <alignment horizontal="left" vertical="center" wrapText="1"/>
    </xf>
    <xf numFmtId="1" fontId="40" fillId="11" borderId="34" xfId="0" applyNumberFormat="1" applyFont="1" applyFill="1" applyBorder="1" applyAlignment="1">
      <alignment horizontal="center"/>
    </xf>
    <xf numFmtId="0" fontId="25" fillId="11" borderId="36" xfId="0" applyFont="1" applyFill="1" applyBorder="1" applyAlignment="1"/>
    <xf numFmtId="0" fontId="25" fillId="11" borderId="47" xfId="0" applyFont="1" applyFill="1" applyBorder="1" applyAlignment="1"/>
    <xf numFmtId="1" fontId="44" fillId="11" borderId="41" xfId="0" applyNumberFormat="1" applyFont="1" applyFill="1" applyBorder="1" applyAlignment="1">
      <alignment horizontal="center"/>
    </xf>
    <xf numFmtId="0" fontId="0" fillId="11" borderId="27" xfId="0" applyFill="1" applyBorder="1" applyAlignment="1"/>
    <xf numFmtId="1" fontId="44" fillId="11" borderId="41" xfId="0" applyNumberFormat="1" applyFont="1" applyFill="1" applyBorder="1" applyAlignment="1">
      <alignment horizontal="center" vertical="center"/>
    </xf>
    <xf numFmtId="0" fontId="0" fillId="11" borderId="27" xfId="0" applyFill="1" applyBorder="1" applyAlignment="1">
      <alignment vertical="center"/>
    </xf>
    <xf numFmtId="0" fontId="1" fillId="0" borderId="2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47" fillId="0" borderId="13" xfId="0" applyFont="1" applyFill="1" applyBorder="1" applyAlignment="1">
      <alignment horizontal="center"/>
    </xf>
    <xf numFmtId="0" fontId="47" fillId="0" borderId="2" xfId="0" applyFont="1" applyBorder="1" applyAlignment="1">
      <alignment horizontal="center"/>
    </xf>
    <xf numFmtId="0" fontId="47" fillId="0" borderId="14" xfId="0" applyFont="1" applyBorder="1" applyAlignment="1">
      <alignment horizontal="center"/>
    </xf>
    <xf numFmtId="0" fontId="0" fillId="0" borderId="9" xfId="0" applyFill="1" applyBorder="1" applyAlignment="1"/>
    <xf numFmtId="0" fontId="0" fillId="0" borderId="0" xfId="0" applyBorder="1" applyAlignment="1"/>
    <xf numFmtId="0" fontId="35" fillId="0" borderId="2" xfId="0" applyFont="1" applyBorder="1" applyAlignment="1">
      <alignment horizontal="left" vertical="center" wrapText="1"/>
    </xf>
    <xf numFmtId="0" fontId="34" fillId="0" borderId="2" xfId="0" applyFont="1" applyBorder="1" applyAlignment="1">
      <alignment horizontal="left" wrapText="1"/>
    </xf>
    <xf numFmtId="0" fontId="3" fillId="0" borderId="0" xfId="0" applyFont="1" applyBorder="1" applyAlignment="1"/>
    <xf numFmtId="0" fontId="0" fillId="0" borderId="0" xfId="0" applyAlignment="1"/>
    <xf numFmtId="0" fontId="49" fillId="0" borderId="0" xfId="0" applyFont="1" applyAlignment="1"/>
    <xf numFmtId="0" fontId="50" fillId="0" borderId="48" xfId="0" applyFont="1" applyFill="1" applyBorder="1" applyAlignment="1"/>
    <xf numFmtId="0" fontId="50" fillId="0" borderId="48" xfId="0" applyFont="1" applyBorder="1" applyAlignment="1"/>
    <xf numFmtId="0" fontId="51" fillId="2" borderId="0" xfId="0" applyFont="1" applyFill="1" applyBorder="1" applyAlignment="1">
      <alignment wrapText="1"/>
    </xf>
    <xf numFmtId="0" fontId="52" fillId="0" borderId="0" xfId="0" applyFont="1" applyBorder="1" applyAlignment="1">
      <alignment wrapText="1"/>
    </xf>
    <xf numFmtId="0" fontId="35" fillId="0" borderId="44" xfId="0" applyFont="1" applyFill="1" applyBorder="1" applyAlignment="1"/>
    <xf numFmtId="0" fontId="0" fillId="0" borderId="0" xfId="0" applyFill="1" applyBorder="1" applyAlignment="1"/>
    <xf numFmtId="0" fontId="35" fillId="0" borderId="0" xfId="0" applyFont="1" applyBorder="1" applyAlignment="1">
      <alignment vertical="top" wrapText="1"/>
    </xf>
    <xf numFmtId="0" fontId="34" fillId="0" borderId="0" xfId="0" applyFont="1" applyBorder="1" applyAlignment="1"/>
    <xf numFmtId="0" fontId="53" fillId="0" borderId="0" xfId="0" applyFont="1" applyFill="1" applyBorder="1" applyAlignment="1">
      <alignment horizontal="left" vertical="center" wrapText="1"/>
    </xf>
    <xf numFmtId="0" fontId="39" fillId="0" borderId="0" xfId="0" applyFont="1" applyAlignment="1">
      <alignment wrapText="1"/>
    </xf>
    <xf numFmtId="0" fontId="54" fillId="0" borderId="0" xfId="0" applyFont="1" applyAlignment="1" applyProtection="1">
      <alignment horizontal="left"/>
    </xf>
    <xf numFmtId="0" fontId="59" fillId="12" borderId="48" xfId="0" applyFont="1" applyFill="1" applyBorder="1" applyAlignment="1">
      <alignment horizontal="center" vertical="center"/>
    </xf>
    <xf numFmtId="0" fontId="59" fillId="12" borderId="49" xfId="0" applyFont="1" applyFill="1" applyBorder="1" applyAlignment="1">
      <alignment horizontal="center" vertical="center"/>
    </xf>
    <xf numFmtId="0" fontId="60" fillId="12" borderId="51" xfId="0" applyFont="1" applyFill="1" applyBorder="1" applyAlignment="1" applyProtection="1">
      <alignment horizontal="center" vertical="center"/>
      <protection locked="0"/>
    </xf>
    <xf numFmtId="0" fontId="60" fillId="12" borderId="52" xfId="0" applyFont="1" applyFill="1" applyBorder="1" applyAlignment="1" applyProtection="1">
      <alignment horizontal="center" vertical="center"/>
      <protection locked="0"/>
    </xf>
    <xf numFmtId="0" fontId="35" fillId="0" borderId="0" xfId="0" applyFont="1" applyFill="1" applyBorder="1" applyAlignment="1">
      <alignment wrapText="1"/>
    </xf>
    <xf numFmtId="0" fontId="25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56" fillId="0" borderId="50" xfId="0" applyFont="1" applyBorder="1" applyAlignment="1">
      <alignment horizontal="center" vertical="center"/>
    </xf>
    <xf numFmtId="0" fontId="56" fillId="0" borderId="51" xfId="0" applyFont="1" applyBorder="1" applyAlignment="1">
      <alignment horizontal="center" vertical="center"/>
    </xf>
    <xf numFmtId="0" fontId="56" fillId="0" borderId="52" xfId="0" applyFont="1" applyBorder="1" applyAlignment="1">
      <alignment horizontal="center" vertical="center"/>
    </xf>
    <xf numFmtId="0" fontId="25" fillId="0" borderId="0" xfId="0" applyFont="1" applyAlignment="1">
      <alignment horizontal="left"/>
    </xf>
  </cellXfs>
  <cellStyles count="2">
    <cellStyle name="Estilo 1" xfId="1" xr:uid="{00000000-0005-0000-0000-000000000000}"/>
    <cellStyle name="Normal" xfId="0" builtinId="0"/>
  </cellStyles>
  <dxfs count="5">
    <dxf>
      <fill>
        <patternFill>
          <bgColor theme="2" tint="-9.9948118533890809E-2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Viagem">
  <a:themeElements>
    <a:clrScheme name="Técnica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C8C3"/>
      </a:hlink>
      <a:folHlink>
        <a:srgbClr val="A116E0"/>
      </a:folHlink>
    </a:clrScheme>
    <a:fontScheme name="Viagem">
      <a:majorFont>
        <a:latin typeface="Franklin Gothic Medium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Franklin Gothic Book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05000"/>
              </a:schemeClr>
            </a:duotone>
          </a:blip>
          <a:tile tx="0" ty="0" sx="95000" sy="95000" flip="none" algn="t"/>
        </a:blipFill>
        <a:blipFill>
          <a:blip xmlns:r="http://schemas.openxmlformats.org/officeDocument/2006/relationships" r:embed="rId2">
            <a:duotone>
              <a:schemeClr val="phClr">
                <a:shade val="30000"/>
                <a:satMod val="455000"/>
              </a:schemeClr>
              <a:schemeClr val="phClr">
                <a:tint val="95000"/>
                <a:satMod val="120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R99"/>
  <sheetViews>
    <sheetView zoomScale="60" zoomScaleNormal="60" zoomScaleSheetLayoutView="70" workbookViewId="0">
      <selection activeCell="D6" sqref="D6"/>
    </sheetView>
  </sheetViews>
  <sheetFormatPr defaultRowHeight="12.75" x14ac:dyDescent="0.2"/>
  <cols>
    <col min="1" max="1" width="68.28515625" customWidth="1"/>
    <col min="2" max="2" width="5.42578125" style="51" customWidth="1"/>
    <col min="3" max="3" width="9.28515625" customWidth="1"/>
    <col min="4" max="4" width="9.7109375" style="17" customWidth="1"/>
    <col min="5" max="5" width="6.42578125" customWidth="1"/>
    <col min="6" max="6" width="9.5703125" customWidth="1"/>
    <col min="7" max="7" width="10.7109375" style="17" customWidth="1"/>
    <col min="8" max="8" width="9" customWidth="1"/>
    <col min="9" max="9" width="7" customWidth="1"/>
    <col min="10" max="10" width="10.85546875" style="17" customWidth="1"/>
    <col min="11" max="11" width="7.5703125" customWidth="1"/>
    <col min="12" max="12" width="8.140625" customWidth="1"/>
    <col min="13" max="13" width="11.28515625" style="17" customWidth="1"/>
    <col min="14" max="14" width="9.28515625" customWidth="1"/>
    <col min="15" max="15" width="10.140625" customWidth="1"/>
    <col min="16" max="16" width="10.42578125" style="17" customWidth="1"/>
    <col min="17" max="17" width="9.140625" customWidth="1"/>
    <col min="18" max="18" width="8.85546875" customWidth="1"/>
    <col min="19" max="19" width="11.5703125" style="17" customWidth="1"/>
    <col min="20" max="21" width="9.140625" customWidth="1"/>
    <col min="22" max="22" width="10.5703125" style="17" customWidth="1"/>
    <col min="23" max="23" width="6.140625" customWidth="1"/>
    <col min="24" max="24" width="6.28515625" customWidth="1"/>
    <col min="25" max="25" width="8.28515625" style="17" customWidth="1"/>
    <col min="26" max="26" width="7.28515625" customWidth="1"/>
    <col min="27" max="27" width="8.140625" customWidth="1"/>
    <col min="28" max="28" width="9.28515625" style="17" customWidth="1"/>
    <col min="29" max="29" width="7.28515625" customWidth="1"/>
    <col min="30" max="30" width="7.140625" customWidth="1"/>
    <col min="31" max="31" width="8.7109375" style="17" customWidth="1"/>
    <col min="32" max="32" width="7" customWidth="1"/>
    <col min="33" max="33" width="10.5703125" customWidth="1"/>
    <col min="34" max="34" width="10.28515625" style="17" customWidth="1"/>
    <col min="35" max="35" width="14.140625" style="33" customWidth="1"/>
    <col min="36" max="36" width="9" customWidth="1"/>
    <col min="37" max="37" width="7.85546875" customWidth="1"/>
    <col min="38" max="38" width="0.140625" customWidth="1"/>
    <col min="40" max="40" width="31.42578125" customWidth="1"/>
  </cols>
  <sheetData>
    <row r="1" spans="1:200" s="10" customFormat="1" ht="34.15" customHeight="1" x14ac:dyDescent="0.4">
      <c r="A1" s="421" t="s">
        <v>74</v>
      </c>
      <c r="B1" s="422"/>
      <c r="C1" s="422"/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422"/>
      <c r="Z1" s="422"/>
      <c r="AA1" s="422"/>
      <c r="AB1" s="422"/>
      <c r="AC1" s="422"/>
      <c r="AD1" s="422"/>
      <c r="AE1" s="422"/>
      <c r="AF1" s="422"/>
      <c r="AG1" s="422"/>
      <c r="AH1" s="422"/>
      <c r="AI1" s="422"/>
      <c r="AK1" s="9"/>
    </row>
    <row r="2" spans="1:200" s="2" customFormat="1" ht="28.15" customHeight="1" x14ac:dyDescent="0.4">
      <c r="A2" s="423" t="s">
        <v>21</v>
      </c>
      <c r="B2" s="424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424"/>
      <c r="AA2" s="424"/>
      <c r="AB2" s="424"/>
      <c r="AC2" s="424"/>
      <c r="AD2" s="424"/>
      <c r="AE2" s="424"/>
      <c r="AF2" s="424"/>
      <c r="AG2" s="424"/>
      <c r="AH2" s="424"/>
      <c r="AI2" s="425"/>
      <c r="AJ2" s="407" t="s">
        <v>63</v>
      </c>
    </row>
    <row r="3" spans="1:200" s="2" customFormat="1" ht="31.9" customHeight="1" x14ac:dyDescent="0.25">
      <c r="A3" s="29" t="s">
        <v>9</v>
      </c>
      <c r="B3" s="46"/>
      <c r="C3" s="410" t="s">
        <v>22</v>
      </c>
      <c r="D3" s="411"/>
      <c r="E3" s="412"/>
      <c r="F3" s="413" t="s">
        <v>46</v>
      </c>
      <c r="G3" s="414"/>
      <c r="H3" s="414"/>
      <c r="I3" s="410" t="s">
        <v>45</v>
      </c>
      <c r="J3" s="411"/>
      <c r="K3" s="412"/>
      <c r="L3" s="415" t="s">
        <v>47</v>
      </c>
      <c r="M3" s="416"/>
      <c r="N3" s="417"/>
      <c r="O3" s="410" t="s">
        <v>16</v>
      </c>
      <c r="P3" s="411"/>
      <c r="Q3" s="412"/>
      <c r="R3" s="415" t="s">
        <v>20</v>
      </c>
      <c r="S3" s="416"/>
      <c r="T3" s="417"/>
      <c r="U3" s="418" t="s">
        <v>0</v>
      </c>
      <c r="V3" s="419"/>
      <c r="W3" s="426"/>
      <c r="X3" s="413" t="s">
        <v>42</v>
      </c>
      <c r="Y3" s="413"/>
      <c r="Z3" s="413"/>
      <c r="AA3" s="418" t="s">
        <v>48</v>
      </c>
      <c r="AB3" s="419"/>
      <c r="AC3" s="426"/>
      <c r="AD3" s="415" t="s">
        <v>13</v>
      </c>
      <c r="AE3" s="416"/>
      <c r="AF3" s="417"/>
      <c r="AG3" s="418" t="s">
        <v>1</v>
      </c>
      <c r="AH3" s="419"/>
      <c r="AI3" s="420"/>
      <c r="AJ3" s="408"/>
      <c r="AL3"/>
      <c r="AM3"/>
      <c r="AN3"/>
      <c r="AO3"/>
      <c r="AP3"/>
      <c r="AQ3"/>
    </row>
    <row r="4" spans="1:200" s="2" customFormat="1" ht="20.25" x14ac:dyDescent="0.3">
      <c r="A4" s="7" t="s">
        <v>11</v>
      </c>
      <c r="B4" s="47" t="s">
        <v>4</v>
      </c>
      <c r="C4" s="35" t="s">
        <v>2</v>
      </c>
      <c r="D4" s="6" t="s">
        <v>3</v>
      </c>
      <c r="E4" s="36" t="s">
        <v>6</v>
      </c>
      <c r="F4" s="5" t="s">
        <v>2</v>
      </c>
      <c r="G4" s="6" t="s">
        <v>3</v>
      </c>
      <c r="H4" s="5" t="s">
        <v>6</v>
      </c>
      <c r="I4" s="39" t="s">
        <v>2</v>
      </c>
      <c r="J4" s="5" t="s">
        <v>3</v>
      </c>
      <c r="K4" s="40" t="s">
        <v>6</v>
      </c>
      <c r="L4" s="5" t="s">
        <v>2</v>
      </c>
      <c r="M4" s="6" t="s">
        <v>3</v>
      </c>
      <c r="N4" s="5" t="s">
        <v>6</v>
      </c>
      <c r="O4" s="39" t="s">
        <v>2</v>
      </c>
      <c r="P4" s="5" t="s">
        <v>3</v>
      </c>
      <c r="Q4" s="40" t="s">
        <v>6</v>
      </c>
      <c r="R4" s="5" t="s">
        <v>2</v>
      </c>
      <c r="S4" s="6" t="s">
        <v>3</v>
      </c>
      <c r="T4" s="5" t="s">
        <v>6</v>
      </c>
      <c r="U4" s="39" t="s">
        <v>2</v>
      </c>
      <c r="V4" s="5" t="s">
        <v>3</v>
      </c>
      <c r="W4" s="40" t="s">
        <v>6</v>
      </c>
      <c r="X4" s="5" t="s">
        <v>2</v>
      </c>
      <c r="Y4" s="6" t="s">
        <v>3</v>
      </c>
      <c r="Z4" s="5" t="s">
        <v>6</v>
      </c>
      <c r="AA4" s="39" t="s">
        <v>2</v>
      </c>
      <c r="AB4" s="5" t="s">
        <v>3</v>
      </c>
      <c r="AC4" s="40" t="s">
        <v>6</v>
      </c>
      <c r="AD4" s="5" t="s">
        <v>2</v>
      </c>
      <c r="AE4" s="6" t="s">
        <v>3</v>
      </c>
      <c r="AF4" s="5" t="s">
        <v>6</v>
      </c>
      <c r="AG4" s="39" t="s">
        <v>2</v>
      </c>
      <c r="AH4" s="6" t="s">
        <v>3</v>
      </c>
      <c r="AI4" s="30" t="s">
        <v>6</v>
      </c>
      <c r="AJ4" s="408"/>
      <c r="AL4"/>
      <c r="AM4"/>
      <c r="AN4"/>
      <c r="AO4"/>
      <c r="AP4"/>
      <c r="AQ4"/>
    </row>
    <row r="5" spans="1:200" s="2" customFormat="1" ht="20.25" x14ac:dyDescent="0.3">
      <c r="A5" s="13" t="s">
        <v>5</v>
      </c>
      <c r="B5" s="48"/>
      <c r="C5" s="37"/>
      <c r="D5" s="18"/>
      <c r="E5" s="38" t="s">
        <v>10</v>
      </c>
      <c r="F5" s="1"/>
      <c r="G5" s="52"/>
      <c r="H5" s="4" t="s">
        <v>10</v>
      </c>
      <c r="I5" s="41"/>
      <c r="J5" s="20"/>
      <c r="K5" s="53" t="s">
        <v>10</v>
      </c>
      <c r="L5" s="1"/>
      <c r="M5" s="18"/>
      <c r="N5" s="4" t="s">
        <v>10</v>
      </c>
      <c r="O5" s="41"/>
      <c r="P5" s="20"/>
      <c r="Q5" s="42" t="s">
        <v>10</v>
      </c>
      <c r="R5" s="1"/>
      <c r="S5" s="18"/>
      <c r="T5" s="4" t="s">
        <v>10</v>
      </c>
      <c r="U5" s="41"/>
      <c r="V5" s="20"/>
      <c r="W5" s="42" t="s">
        <v>10</v>
      </c>
      <c r="X5" s="1"/>
      <c r="Y5" s="18"/>
      <c r="Z5" s="4" t="s">
        <v>10</v>
      </c>
      <c r="AA5" s="41"/>
      <c r="AB5" s="20"/>
      <c r="AC5" s="42" t="s">
        <v>10</v>
      </c>
      <c r="AD5" s="1"/>
      <c r="AE5" s="18"/>
      <c r="AF5" s="54" t="s">
        <v>10</v>
      </c>
      <c r="AG5" s="43"/>
      <c r="AH5" s="22"/>
      <c r="AI5" s="31" t="s">
        <v>10</v>
      </c>
      <c r="AJ5" s="409"/>
      <c r="AL5"/>
      <c r="AM5"/>
      <c r="AN5"/>
      <c r="AO5"/>
      <c r="AP5"/>
      <c r="AQ5"/>
    </row>
    <row r="6" spans="1:200" s="16" customFormat="1" ht="26.25" x14ac:dyDescent="0.4">
      <c r="A6" s="255" t="s">
        <v>64</v>
      </c>
      <c r="B6" s="191" t="s">
        <v>7</v>
      </c>
      <c r="C6" s="192">
        <v>151</v>
      </c>
      <c r="D6" s="247">
        <f>(1757715.14/1000)/11</f>
        <v>159.79228545454544</v>
      </c>
      <c r="E6" s="193">
        <f t="shared" ref="E6:E11" si="0">(D6/C6)*100</f>
        <v>105.82270559903671</v>
      </c>
      <c r="F6" s="194">
        <v>117</v>
      </c>
      <c r="G6" s="247">
        <f>(1462086.56/1000)/12</f>
        <v>121.84054666666667</v>
      </c>
      <c r="H6" s="195">
        <f t="shared" ref="H6:H11" si="1">(G6/F6)*100</f>
        <v>104.13721937321938</v>
      </c>
      <c r="I6" s="192">
        <v>150</v>
      </c>
      <c r="J6" s="247">
        <f>(1866415.85/1000)/15</f>
        <v>124.42772333333333</v>
      </c>
      <c r="K6" s="193">
        <f t="shared" ref="K6:K11" si="2">(J6/I6)*100</f>
        <v>82.951815555555555</v>
      </c>
      <c r="L6" s="194">
        <v>180</v>
      </c>
      <c r="M6" s="247">
        <f>(2067174.15/1000)/9</f>
        <v>229.68601666666666</v>
      </c>
      <c r="N6" s="195">
        <f t="shared" ref="N6:N11" si="3">(M6/L6)*100</f>
        <v>127.60334259259258</v>
      </c>
      <c r="O6" s="192">
        <v>197</v>
      </c>
      <c r="P6" s="247">
        <f>(1632759.88/1000)/11</f>
        <v>148.43271636363636</v>
      </c>
      <c r="Q6" s="193">
        <f t="shared" ref="Q6:Q11" si="4">(P6/O6)*100</f>
        <v>75.346556529764655</v>
      </c>
      <c r="R6" s="194">
        <v>120</v>
      </c>
      <c r="S6" s="247">
        <f>(4161257.5/1000)/37</f>
        <v>112.4664189189189</v>
      </c>
      <c r="T6" s="195">
        <f t="shared" ref="T6:T11" si="5">(S6/R6)*100</f>
        <v>93.722015765765747</v>
      </c>
      <c r="U6" s="192">
        <v>110</v>
      </c>
      <c r="V6" s="247">
        <f>(3429700.61/1000)/27</f>
        <v>127.02594851851852</v>
      </c>
      <c r="W6" s="193">
        <f t="shared" ref="W6:W11" si="6">(V6/U6)*100</f>
        <v>115.47813501683501</v>
      </c>
      <c r="X6" s="194" t="s">
        <v>12</v>
      </c>
      <c r="Y6" s="247" t="s">
        <v>12</v>
      </c>
      <c r="Z6" s="196" t="s">
        <v>12</v>
      </c>
      <c r="AA6" s="192" t="s">
        <v>12</v>
      </c>
      <c r="AB6" s="247" t="s">
        <v>12</v>
      </c>
      <c r="AC6" s="196" t="s">
        <v>12</v>
      </c>
      <c r="AD6" s="192" t="s">
        <v>12</v>
      </c>
      <c r="AE6" s="247" t="s">
        <v>12</v>
      </c>
      <c r="AF6" s="197" t="s">
        <v>12</v>
      </c>
      <c r="AG6" s="216">
        <v>135</v>
      </c>
      <c r="AH6" s="247">
        <f>(19465628.47/1000)/128</f>
        <v>152.075222421875</v>
      </c>
      <c r="AI6" s="198">
        <f t="shared" ref="AI6:AI11" si="7">(AH6/AG6)*100</f>
        <v>112.64831290509258</v>
      </c>
      <c r="AJ6" s="102">
        <v>148.80000000000001</v>
      </c>
      <c r="AK6" s="2"/>
      <c r="AL6" s="15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</row>
    <row r="7" spans="1:200" s="2" customFormat="1" ht="30.75" customHeight="1" x14ac:dyDescent="0.4">
      <c r="A7" s="260" t="s">
        <v>33</v>
      </c>
      <c r="B7" s="199" t="s">
        <v>7</v>
      </c>
      <c r="C7" s="200">
        <v>30</v>
      </c>
      <c r="D7" s="247">
        <f>(432528.4/1000)/10</f>
        <v>43.252840000000006</v>
      </c>
      <c r="E7" s="201">
        <f t="shared" si="0"/>
        <v>144.17613333333335</v>
      </c>
      <c r="F7" s="202">
        <v>34</v>
      </c>
      <c r="G7" s="247">
        <f>(656400.75/1000)/12</f>
        <v>54.700062500000001</v>
      </c>
      <c r="H7" s="197">
        <f t="shared" si="1"/>
        <v>160.88253676470589</v>
      </c>
      <c r="I7" s="200">
        <v>35</v>
      </c>
      <c r="J7" s="247">
        <f>(283617.58/1000)/11</f>
        <v>25.783416363636366</v>
      </c>
      <c r="K7" s="201">
        <f t="shared" si="2"/>
        <v>73.666903896103904</v>
      </c>
      <c r="L7" s="202">
        <v>30</v>
      </c>
      <c r="M7" s="247">
        <f>(227704.37/1000)/10</f>
        <v>22.770436999999998</v>
      </c>
      <c r="N7" s="197">
        <f t="shared" si="3"/>
        <v>75.901456666666661</v>
      </c>
      <c r="O7" s="200">
        <v>30</v>
      </c>
      <c r="P7" s="247">
        <f>(147616.8/1000)/10</f>
        <v>14.761679999999998</v>
      </c>
      <c r="Q7" s="201">
        <f t="shared" si="4"/>
        <v>49.205599999999997</v>
      </c>
      <c r="R7" s="202">
        <v>30</v>
      </c>
      <c r="S7" s="247">
        <f>(1084292.49/1000)/27</f>
        <v>40.15898111111111</v>
      </c>
      <c r="T7" s="197">
        <f t="shared" si="5"/>
        <v>133.86327037037034</v>
      </c>
      <c r="U7" s="200">
        <v>30</v>
      </c>
      <c r="V7" s="247">
        <f>(287522.17/1000)/18</f>
        <v>15.973453888888887</v>
      </c>
      <c r="W7" s="201">
        <f t="shared" si="6"/>
        <v>53.244846296296288</v>
      </c>
      <c r="X7" s="194" t="s">
        <v>12</v>
      </c>
      <c r="Y7" s="247" t="s">
        <v>12</v>
      </c>
      <c r="Z7" s="196" t="s">
        <v>12</v>
      </c>
      <c r="AA7" s="192" t="s">
        <v>12</v>
      </c>
      <c r="AB7" s="247" t="s">
        <v>12</v>
      </c>
      <c r="AC7" s="196" t="s">
        <v>12</v>
      </c>
      <c r="AD7" s="192" t="s">
        <v>12</v>
      </c>
      <c r="AE7" s="247" t="s">
        <v>12</v>
      </c>
      <c r="AF7" s="197" t="s">
        <v>12</v>
      </c>
      <c r="AG7" s="217">
        <v>40</v>
      </c>
      <c r="AH7" s="247">
        <f>(2968904.71/1000)/102</f>
        <v>29.106908921568625</v>
      </c>
      <c r="AI7" s="203">
        <f t="shared" si="7"/>
        <v>72.767272303921558</v>
      </c>
      <c r="AJ7" s="102">
        <v>32.9</v>
      </c>
      <c r="AL7" s="16"/>
    </row>
    <row r="8" spans="1:200" s="2" customFormat="1" ht="45" x14ac:dyDescent="0.4">
      <c r="A8" s="204" t="s">
        <v>62</v>
      </c>
      <c r="B8" s="191" t="s">
        <v>7</v>
      </c>
      <c r="C8" s="192">
        <v>91</v>
      </c>
      <c r="D8" s="247">
        <f>(977359.96/1000)/11</f>
        <v>88.850905454545455</v>
      </c>
      <c r="E8" s="193">
        <f>(D8/C8)*100</f>
        <v>97.638357642357647</v>
      </c>
      <c r="F8" s="194">
        <v>50</v>
      </c>
      <c r="G8" s="247">
        <f>(557107.88/1000)/12</f>
        <v>46.425656666666669</v>
      </c>
      <c r="H8" s="195">
        <f t="shared" si="1"/>
        <v>92.851313333333337</v>
      </c>
      <c r="I8" s="192">
        <v>50</v>
      </c>
      <c r="J8" s="247">
        <f>(309600.35/1000)/15</f>
        <v>20.640023333333332</v>
      </c>
      <c r="K8" s="193">
        <f t="shared" si="2"/>
        <v>41.280046666666664</v>
      </c>
      <c r="L8" s="194">
        <v>50</v>
      </c>
      <c r="M8" s="247">
        <f>(354008.19/1000)/9</f>
        <v>39.334243333333333</v>
      </c>
      <c r="N8" s="195">
        <f t="shared" si="3"/>
        <v>78.668486666666666</v>
      </c>
      <c r="O8" s="192">
        <v>50</v>
      </c>
      <c r="P8" s="247">
        <f>(512252.32/1000)/11</f>
        <v>46.56839272727273</v>
      </c>
      <c r="Q8" s="193">
        <f t="shared" si="4"/>
        <v>93.136785454545461</v>
      </c>
      <c r="R8" s="194">
        <v>100</v>
      </c>
      <c r="S8" s="247">
        <f>(3197389.12/1000)/37</f>
        <v>86.415922162162175</v>
      </c>
      <c r="T8" s="195">
        <f t="shared" si="5"/>
        <v>86.415922162162175</v>
      </c>
      <c r="U8" s="192">
        <v>155</v>
      </c>
      <c r="V8" s="247">
        <f>(5041854.51/1000)/27</f>
        <v>186.73535222222222</v>
      </c>
      <c r="W8" s="193">
        <f t="shared" si="6"/>
        <v>120.47442078853045</v>
      </c>
      <c r="X8" s="194" t="s">
        <v>12</v>
      </c>
      <c r="Y8" s="247" t="s">
        <v>12</v>
      </c>
      <c r="Z8" s="196" t="s">
        <v>12</v>
      </c>
      <c r="AA8" s="192" t="s">
        <v>12</v>
      </c>
      <c r="AB8" s="247" t="s">
        <v>12</v>
      </c>
      <c r="AC8" s="196" t="s">
        <v>12</v>
      </c>
      <c r="AD8" s="192" t="s">
        <v>12</v>
      </c>
      <c r="AE8" s="247" t="s">
        <v>12</v>
      </c>
      <c r="AF8" s="197" t="s">
        <v>12</v>
      </c>
      <c r="AG8" s="216">
        <v>100</v>
      </c>
      <c r="AH8" s="247">
        <f>(11444393.24/1000)/128</f>
        <v>89.409322187499995</v>
      </c>
      <c r="AI8" s="198">
        <f t="shared" si="7"/>
        <v>89.409322187499995</v>
      </c>
      <c r="AJ8" s="102">
        <v>91.5</v>
      </c>
      <c r="AL8" s="14"/>
    </row>
    <row r="9" spans="1:200" s="2" customFormat="1" ht="25.5" customHeight="1" x14ac:dyDescent="0.4">
      <c r="A9" s="256" t="s">
        <v>34</v>
      </c>
      <c r="B9" s="191" t="s">
        <v>7</v>
      </c>
      <c r="C9" s="192">
        <v>15</v>
      </c>
      <c r="D9" s="252">
        <f>100*75318.35/2551140.28</f>
        <v>2.9523405902242277</v>
      </c>
      <c r="E9" s="193">
        <f t="shared" si="0"/>
        <v>19.682270601494849</v>
      </c>
      <c r="F9" s="194">
        <v>10</v>
      </c>
      <c r="G9" s="252">
        <f>100*307319.22/2318974.38</f>
        <v>13.252376682143421</v>
      </c>
      <c r="H9" s="195">
        <f t="shared" si="1"/>
        <v>132.52376682143421</v>
      </c>
      <c r="I9" s="192">
        <v>10</v>
      </c>
      <c r="J9" s="252">
        <f>100*163909.77/2166266.12</f>
        <v>7.5664651026347576</v>
      </c>
      <c r="K9" s="193">
        <f t="shared" si="2"/>
        <v>75.66465102634757</v>
      </c>
      <c r="L9" s="194">
        <v>15</v>
      </c>
      <c r="M9" s="252">
        <f>100*236685.15/2619892.26</f>
        <v>9.0341558549434406</v>
      </c>
      <c r="N9" s="195">
        <f t="shared" si="3"/>
        <v>60.227705699622938</v>
      </c>
      <c r="O9" s="192">
        <v>15</v>
      </c>
      <c r="P9" s="252">
        <f>100*73712.01/2083564.89</f>
        <v>3.5377832652958552</v>
      </c>
      <c r="Q9" s="193">
        <f t="shared" si="4"/>
        <v>23.585221768639034</v>
      </c>
      <c r="R9" s="194">
        <v>10</v>
      </c>
      <c r="S9" s="252">
        <f>100*571709.92/7690284.7</f>
        <v>7.4341840686340266</v>
      </c>
      <c r="T9" s="195">
        <f t="shared" si="5"/>
        <v>74.341840686340262</v>
      </c>
      <c r="U9" s="192">
        <v>13</v>
      </c>
      <c r="V9" s="252">
        <f>100*734897.57/7682473.95</f>
        <v>9.565897323999387</v>
      </c>
      <c r="W9" s="193">
        <f t="shared" si="6"/>
        <v>73.583825569226065</v>
      </c>
      <c r="X9" s="194" t="s">
        <v>12</v>
      </c>
      <c r="Y9" s="247" t="s">
        <v>12</v>
      </c>
      <c r="Z9" s="196" t="s">
        <v>12</v>
      </c>
      <c r="AA9" s="192" t="s">
        <v>12</v>
      </c>
      <c r="AB9" s="247" t="s">
        <v>12</v>
      </c>
      <c r="AC9" s="196" t="s">
        <v>12</v>
      </c>
      <c r="AD9" s="192" t="s">
        <v>12</v>
      </c>
      <c r="AE9" s="247" t="s">
        <v>12</v>
      </c>
      <c r="AF9" s="197" t="s">
        <v>12</v>
      </c>
      <c r="AG9" s="216">
        <v>12.1</v>
      </c>
      <c r="AH9" s="252">
        <f>100*2264647.92/30596829.22</f>
        <v>7.4015771494377089</v>
      </c>
      <c r="AI9" s="198">
        <f t="shared" si="7"/>
        <v>61.170059086262064</v>
      </c>
      <c r="AJ9" s="101">
        <v>6.7</v>
      </c>
      <c r="AL9" s="14"/>
    </row>
    <row r="10" spans="1:200" s="2" customFormat="1" ht="49.5" customHeight="1" x14ac:dyDescent="0.4">
      <c r="A10" s="257" t="s">
        <v>35</v>
      </c>
      <c r="B10" s="191" t="s">
        <v>8</v>
      </c>
      <c r="C10" s="192">
        <v>25</v>
      </c>
      <c r="D10" s="252">
        <f>100*527429.07/2551140.28</f>
        <v>20.674248066045195</v>
      </c>
      <c r="E10" s="193">
        <f t="shared" si="0"/>
        <v>82.696992264180778</v>
      </c>
      <c r="F10" s="194">
        <v>23</v>
      </c>
      <c r="G10" s="252">
        <f>100*397337.61/2318974.38</f>
        <v>17.134195764594864</v>
      </c>
      <c r="H10" s="195">
        <f t="shared" si="1"/>
        <v>74.496503324325488</v>
      </c>
      <c r="I10" s="192">
        <v>20</v>
      </c>
      <c r="J10" s="252">
        <f>100*399705.48/2166266.12</f>
        <v>18.451356290426588</v>
      </c>
      <c r="K10" s="193">
        <f t="shared" si="2"/>
        <v>92.256781452132941</v>
      </c>
      <c r="L10" s="194">
        <v>15</v>
      </c>
      <c r="M10" s="252">
        <f>100*400624.27/2619892.26</f>
        <v>15.291631496327259</v>
      </c>
      <c r="N10" s="195">
        <f t="shared" si="3"/>
        <v>101.94420997551505</v>
      </c>
      <c r="O10" s="192">
        <v>12</v>
      </c>
      <c r="P10" s="252">
        <f>100*370066.74/2083564.89</f>
        <v>17.761229409082624</v>
      </c>
      <c r="Q10" s="193">
        <f t="shared" si="4"/>
        <v>148.01024507568854</v>
      </c>
      <c r="R10" s="194">
        <v>20</v>
      </c>
      <c r="S10" s="252">
        <f>100*1574358.49/7690284.7</f>
        <v>20.472044292456427</v>
      </c>
      <c r="T10" s="195">
        <f t="shared" si="5"/>
        <v>102.36022146228214</v>
      </c>
      <c r="U10" s="192">
        <v>25</v>
      </c>
      <c r="V10" s="252">
        <f>100*1284950.97/7682473.95</f>
        <v>16.725744576068493</v>
      </c>
      <c r="W10" s="193">
        <f t="shared" si="6"/>
        <v>66.902978304273972</v>
      </c>
      <c r="X10" s="194" t="s">
        <v>12</v>
      </c>
      <c r="Y10" s="247" t="s">
        <v>12</v>
      </c>
      <c r="Z10" s="196" t="s">
        <v>12</v>
      </c>
      <c r="AA10" s="192" t="s">
        <v>12</v>
      </c>
      <c r="AB10" s="247" t="s">
        <v>12</v>
      </c>
      <c r="AC10" s="196" t="s">
        <v>12</v>
      </c>
      <c r="AD10" s="192" t="s">
        <v>12</v>
      </c>
      <c r="AE10" s="247" t="s">
        <v>12</v>
      </c>
      <c r="AF10" s="197" t="s">
        <v>12</v>
      </c>
      <c r="AG10" s="216">
        <v>20.9</v>
      </c>
      <c r="AH10" s="252">
        <f>100*5960244.42/30596829.22</f>
        <v>19.479941457803125</v>
      </c>
      <c r="AI10" s="198">
        <f t="shared" si="7"/>
        <v>93.205461520589125</v>
      </c>
      <c r="AJ10" s="101">
        <v>21.6</v>
      </c>
      <c r="AL10" s="14"/>
      <c r="AN10" s="44"/>
    </row>
    <row r="11" spans="1:200" s="2" customFormat="1" ht="42.75" customHeight="1" x14ac:dyDescent="0.4">
      <c r="A11" s="258" t="s">
        <v>36</v>
      </c>
      <c r="B11" s="191" t="s">
        <v>8</v>
      </c>
      <c r="C11" s="192">
        <v>60</v>
      </c>
      <c r="D11" s="252">
        <f>100*1948392.86/2551140.28</f>
        <v>76.373411343730581</v>
      </c>
      <c r="E11" s="193">
        <f t="shared" si="0"/>
        <v>127.28901890621765</v>
      </c>
      <c r="F11" s="194">
        <v>67</v>
      </c>
      <c r="G11" s="252">
        <f>100*1614317.65/2318974.38</f>
        <v>69.613431865512894</v>
      </c>
      <c r="H11" s="195">
        <f t="shared" si="1"/>
        <v>103.90064457539239</v>
      </c>
      <c r="I11" s="192">
        <v>70</v>
      </c>
      <c r="J11" s="252">
        <f>100*1602650.87/2166266.12</f>
        <v>73.982178606938646</v>
      </c>
      <c r="K11" s="193">
        <f t="shared" si="2"/>
        <v>105.68882658134093</v>
      </c>
      <c r="L11" s="194">
        <v>70</v>
      </c>
      <c r="M11" s="252">
        <f>100*1982582.84/2619892.26</f>
        <v>75.674212648729309</v>
      </c>
      <c r="N11" s="195">
        <f t="shared" si="3"/>
        <v>108.10601806961331</v>
      </c>
      <c r="O11" s="192">
        <v>73</v>
      </c>
      <c r="P11" s="252">
        <f>100*1639786.14/2083564.89</f>
        <v>78.700987325621526</v>
      </c>
      <c r="Q11" s="193">
        <f t="shared" si="4"/>
        <v>107.80957167893359</v>
      </c>
      <c r="R11" s="194">
        <v>70</v>
      </c>
      <c r="S11" s="252">
        <f>100*5544216.29/7690284.7</f>
        <v>72.093771638909544</v>
      </c>
      <c r="T11" s="195">
        <f t="shared" si="5"/>
        <v>102.99110234129935</v>
      </c>
      <c r="U11" s="192">
        <v>62</v>
      </c>
      <c r="V11" s="252">
        <f>100*5662625.41/7682473.95</f>
        <v>73.708358099932113</v>
      </c>
      <c r="W11" s="193">
        <f t="shared" si="6"/>
        <v>118.8844485482776</v>
      </c>
      <c r="X11" s="194" t="s">
        <v>12</v>
      </c>
      <c r="Y11" s="247" t="s">
        <v>12</v>
      </c>
      <c r="Z11" s="196" t="s">
        <v>12</v>
      </c>
      <c r="AA11" s="192" t="s">
        <v>12</v>
      </c>
      <c r="AB11" s="247" t="s">
        <v>12</v>
      </c>
      <c r="AC11" s="196" t="s">
        <v>12</v>
      </c>
      <c r="AD11" s="192" t="s">
        <v>12</v>
      </c>
      <c r="AE11" s="247" t="s">
        <v>12</v>
      </c>
      <c r="AF11" s="197" t="s">
        <v>12</v>
      </c>
      <c r="AG11" s="216">
        <v>67</v>
      </c>
      <c r="AH11" s="252">
        <f>100*22371936.88/30596829.22</f>
        <v>73.118481392759165</v>
      </c>
      <c r="AI11" s="198">
        <f t="shared" si="7"/>
        <v>109.13206178023755</v>
      </c>
      <c r="AJ11" s="101">
        <v>71.7</v>
      </c>
      <c r="AL11" s="14"/>
      <c r="AN11" s="44"/>
    </row>
    <row r="12" spans="1:200" s="2" customFormat="1" ht="13.9" customHeight="1" x14ac:dyDescent="0.35">
      <c r="A12" s="96"/>
      <c r="B12" s="50"/>
      <c r="C12" s="60"/>
      <c r="D12" s="61"/>
      <c r="E12" s="62"/>
      <c r="F12" s="63"/>
      <c r="G12" s="61"/>
      <c r="H12" s="64"/>
      <c r="I12" s="60"/>
      <c r="J12" s="61"/>
      <c r="K12" s="65"/>
      <c r="L12" s="95"/>
      <c r="M12" s="61"/>
      <c r="N12" s="64"/>
      <c r="O12" s="66"/>
      <c r="P12" s="61"/>
      <c r="Q12" s="65"/>
      <c r="R12" s="63"/>
      <c r="S12" s="61"/>
      <c r="T12" s="64"/>
      <c r="U12" s="60"/>
      <c r="V12" s="61"/>
      <c r="W12" s="65"/>
      <c r="X12" s="63"/>
      <c r="Y12" s="61"/>
      <c r="Z12" s="64"/>
      <c r="AA12" s="60"/>
      <c r="AB12" s="61"/>
      <c r="AC12" s="65"/>
      <c r="AD12" s="63"/>
      <c r="AE12" s="61"/>
      <c r="AF12" s="64"/>
      <c r="AG12" s="60"/>
      <c r="AH12" s="61"/>
      <c r="AI12" s="67"/>
      <c r="AJ12" s="93"/>
      <c r="AL12" s="14"/>
    </row>
    <row r="13" spans="1:200" s="2" customFormat="1" ht="23.25" x14ac:dyDescent="0.35">
      <c r="A13" s="32" t="s">
        <v>17</v>
      </c>
      <c r="B13" s="45"/>
      <c r="C13" s="68"/>
      <c r="D13" s="69"/>
      <c r="E13" s="70"/>
      <c r="F13" s="71"/>
      <c r="G13" s="72"/>
      <c r="H13" s="73"/>
      <c r="I13" s="74"/>
      <c r="J13" s="72"/>
      <c r="K13" s="75"/>
      <c r="L13" s="76"/>
      <c r="M13" s="72"/>
      <c r="N13" s="73"/>
      <c r="O13" s="77"/>
      <c r="P13" s="72"/>
      <c r="Q13" s="75"/>
      <c r="R13" s="76"/>
      <c r="S13" s="72"/>
      <c r="T13" s="73"/>
      <c r="U13" s="68"/>
      <c r="V13" s="72"/>
      <c r="W13" s="75"/>
      <c r="X13" s="78"/>
      <c r="Y13" s="72"/>
      <c r="Z13" s="73"/>
      <c r="AA13" s="74"/>
      <c r="AB13" s="72"/>
      <c r="AC13" s="75"/>
      <c r="AD13" s="79"/>
      <c r="AE13" s="72"/>
      <c r="AF13" s="80"/>
      <c r="AG13" s="74"/>
      <c r="AH13" s="81"/>
      <c r="AI13" s="82"/>
      <c r="AJ13" s="93"/>
      <c r="AL13" s="14"/>
    </row>
    <row r="14" spans="1:200" s="2" customFormat="1" ht="28.5" customHeight="1" x14ac:dyDescent="0.4">
      <c r="A14" s="259" t="s">
        <v>37</v>
      </c>
      <c r="B14" s="120" t="s">
        <v>7</v>
      </c>
      <c r="C14" s="121">
        <v>93</v>
      </c>
      <c r="D14" s="247">
        <v>93.6</v>
      </c>
      <c r="E14" s="122">
        <f>(D14/C14)*100</f>
        <v>100.64516129032258</v>
      </c>
      <c r="F14" s="123">
        <v>93</v>
      </c>
      <c r="G14" s="247">
        <v>92.5</v>
      </c>
      <c r="H14" s="124">
        <f>(G14/F14)*100</f>
        <v>99.462365591397855</v>
      </c>
      <c r="I14" s="121">
        <v>95</v>
      </c>
      <c r="J14" s="247">
        <v>95.2</v>
      </c>
      <c r="K14" s="122">
        <f>(J14/I14)*100</f>
        <v>100.21052631578948</v>
      </c>
      <c r="L14" s="125">
        <v>91</v>
      </c>
      <c r="M14" s="247">
        <v>89.9</v>
      </c>
      <c r="N14" s="124">
        <f>(M14/L14)*100</f>
        <v>98.791208791208788</v>
      </c>
      <c r="O14" s="121">
        <v>92</v>
      </c>
      <c r="P14" s="247">
        <v>87.4</v>
      </c>
      <c r="Q14" s="122">
        <f>(P14/O14)*100</f>
        <v>95</v>
      </c>
      <c r="R14" s="125">
        <v>93</v>
      </c>
      <c r="S14" s="247">
        <v>93</v>
      </c>
      <c r="T14" s="124">
        <f>(S14/R14)*100</f>
        <v>100</v>
      </c>
      <c r="U14" s="121">
        <v>92</v>
      </c>
      <c r="V14" s="247">
        <v>90.8</v>
      </c>
      <c r="W14" s="122">
        <f>(V14/U14)*100</f>
        <v>98.695652173913047</v>
      </c>
      <c r="X14" s="125" t="s">
        <v>12</v>
      </c>
      <c r="Y14" s="247" t="s">
        <v>12</v>
      </c>
      <c r="Z14" s="124" t="s">
        <v>12</v>
      </c>
      <c r="AA14" s="124" t="s">
        <v>12</v>
      </c>
      <c r="AB14" s="247" t="s">
        <v>12</v>
      </c>
      <c r="AC14" s="122" t="s">
        <v>12</v>
      </c>
      <c r="AD14" s="124" t="s">
        <v>12</v>
      </c>
      <c r="AE14" s="252" t="s">
        <v>12</v>
      </c>
      <c r="AF14" s="124" t="s">
        <v>12</v>
      </c>
      <c r="AG14" s="126">
        <v>92.6</v>
      </c>
      <c r="AH14" s="247">
        <v>92</v>
      </c>
      <c r="AI14" s="127">
        <f>(AH14/AG14)*100</f>
        <v>99.352051835853132</v>
      </c>
      <c r="AJ14" s="102">
        <v>91.3</v>
      </c>
      <c r="AL14" s="14"/>
    </row>
    <row r="15" spans="1:200" s="2" customFormat="1" ht="24" customHeight="1" x14ac:dyDescent="0.4">
      <c r="A15" s="128" t="s">
        <v>38</v>
      </c>
      <c r="B15" s="120" t="s">
        <v>7</v>
      </c>
      <c r="C15" s="126">
        <v>91.5</v>
      </c>
      <c r="D15" s="245">
        <v>92.32</v>
      </c>
      <c r="E15" s="122">
        <f>(D15/C15)*100</f>
        <v>100.89617486338798</v>
      </c>
      <c r="F15" s="125">
        <v>94</v>
      </c>
      <c r="G15" s="245">
        <v>93.19</v>
      </c>
      <c r="H15" s="124">
        <f>(G15/F15)*100</f>
        <v>99.138297872340416</v>
      </c>
      <c r="I15" s="121">
        <v>95</v>
      </c>
      <c r="J15" s="245">
        <v>87</v>
      </c>
      <c r="K15" s="122">
        <f>(J15/I15)*100</f>
        <v>91.578947368421055</v>
      </c>
      <c r="L15" s="206">
        <v>90</v>
      </c>
      <c r="M15" s="245">
        <v>92.86</v>
      </c>
      <c r="N15" s="124">
        <f>(M15/L15)*100</f>
        <v>103.17777777777776</v>
      </c>
      <c r="O15" s="121">
        <v>90</v>
      </c>
      <c r="P15" s="245">
        <v>90.3</v>
      </c>
      <c r="Q15" s="122">
        <f>(P15/O15)*100</f>
        <v>100.33333333333334</v>
      </c>
      <c r="R15" s="125">
        <v>91</v>
      </c>
      <c r="S15" s="245">
        <v>90.81</v>
      </c>
      <c r="T15" s="124">
        <f>(S15/R15)*100</f>
        <v>99.791208791208803</v>
      </c>
      <c r="U15" s="121">
        <v>92</v>
      </c>
      <c r="V15" s="245">
        <v>89.67</v>
      </c>
      <c r="W15" s="122">
        <f>(V15/U15)*100</f>
        <v>97.467391304347828</v>
      </c>
      <c r="X15" s="125" t="s">
        <v>12</v>
      </c>
      <c r="Y15" s="249" t="s">
        <v>12</v>
      </c>
      <c r="Z15" s="124" t="s">
        <v>12</v>
      </c>
      <c r="AA15" s="124" t="s">
        <v>12</v>
      </c>
      <c r="AB15" s="245">
        <v>87.55</v>
      </c>
      <c r="AC15" s="122" t="s">
        <v>12</v>
      </c>
      <c r="AD15" s="124" t="s">
        <v>12</v>
      </c>
      <c r="AE15" s="127" t="s">
        <v>12</v>
      </c>
      <c r="AF15" s="124" t="s">
        <v>12</v>
      </c>
      <c r="AG15" s="126">
        <v>92.2</v>
      </c>
      <c r="AH15" s="245">
        <v>90.91</v>
      </c>
      <c r="AI15" s="127">
        <f>(AH15/AG15)*100</f>
        <v>98.600867678958778</v>
      </c>
      <c r="AJ15" s="102">
        <v>90.1</v>
      </c>
      <c r="AL15" s="14"/>
    </row>
    <row r="16" spans="1:200" s="2" customFormat="1" ht="16.899999999999999" customHeight="1" x14ac:dyDescent="0.35">
      <c r="A16" s="97"/>
      <c r="B16" s="49"/>
      <c r="C16" s="83"/>
      <c r="D16" s="84"/>
      <c r="E16" s="58"/>
      <c r="F16" s="85"/>
      <c r="G16" s="59"/>
      <c r="H16" s="57"/>
      <c r="I16" s="83"/>
      <c r="J16" s="59"/>
      <c r="K16" s="58"/>
      <c r="L16" s="85"/>
      <c r="M16" s="59"/>
      <c r="N16" s="57"/>
      <c r="O16" s="83"/>
      <c r="P16" s="59"/>
      <c r="Q16" s="58"/>
      <c r="R16" s="85"/>
      <c r="S16" s="59"/>
      <c r="T16" s="57"/>
      <c r="U16" s="83"/>
      <c r="V16" s="59"/>
      <c r="W16" s="58"/>
      <c r="X16" s="85"/>
      <c r="Y16" s="59"/>
      <c r="Z16" s="57"/>
      <c r="AA16" s="83"/>
      <c r="AB16" s="59"/>
      <c r="AC16" s="58"/>
      <c r="AD16" s="85"/>
      <c r="AE16" s="59"/>
      <c r="AF16" s="57"/>
      <c r="AG16" s="108"/>
      <c r="AH16" s="56"/>
      <c r="AI16" s="59"/>
      <c r="AJ16" s="93"/>
      <c r="AL16" s="14"/>
    </row>
    <row r="17" spans="1:40" s="2" customFormat="1" ht="27.75" x14ac:dyDescent="0.4">
      <c r="A17" s="205" t="s">
        <v>18</v>
      </c>
      <c r="B17" s="45"/>
      <c r="C17" s="103"/>
      <c r="D17" s="69"/>
      <c r="E17" s="86"/>
      <c r="F17" s="79"/>
      <c r="G17" s="72"/>
      <c r="H17" s="80"/>
      <c r="I17" s="106"/>
      <c r="J17" s="72"/>
      <c r="K17" s="86"/>
      <c r="L17" s="79"/>
      <c r="M17" s="72"/>
      <c r="N17" s="80"/>
      <c r="O17" s="106"/>
      <c r="P17" s="72"/>
      <c r="Q17" s="86"/>
      <c r="R17" s="79"/>
      <c r="S17" s="72"/>
      <c r="T17" s="80"/>
      <c r="U17" s="103"/>
      <c r="V17" s="72"/>
      <c r="W17" s="86"/>
      <c r="X17" s="107"/>
      <c r="Y17" s="72"/>
      <c r="Z17" s="80"/>
      <c r="AA17" s="105"/>
      <c r="AB17" s="72"/>
      <c r="AC17" s="86"/>
      <c r="AD17" s="79"/>
      <c r="AE17" s="72"/>
      <c r="AF17" s="80"/>
      <c r="AG17" s="105"/>
      <c r="AH17" s="72"/>
      <c r="AI17" s="104"/>
      <c r="AJ17" s="93"/>
      <c r="AL17" s="14"/>
    </row>
    <row r="18" spans="1:40" s="2" customFormat="1" ht="36" customHeight="1" x14ac:dyDescent="0.4">
      <c r="A18" s="254" t="s">
        <v>72</v>
      </c>
      <c r="B18" s="173" t="s">
        <v>7</v>
      </c>
      <c r="C18" s="174">
        <v>5</v>
      </c>
      <c r="D18" s="246">
        <v>0</v>
      </c>
      <c r="E18" s="176">
        <f>(D18/C18)*100</f>
        <v>0</v>
      </c>
      <c r="F18" s="177">
        <v>4</v>
      </c>
      <c r="G18" s="246">
        <v>7</v>
      </c>
      <c r="H18" s="178">
        <f>(G18/F18)*100</f>
        <v>175</v>
      </c>
      <c r="I18" s="179">
        <v>4</v>
      </c>
      <c r="J18" s="246">
        <v>6</v>
      </c>
      <c r="K18" s="178">
        <f>(J18/I18)*100</f>
        <v>150</v>
      </c>
      <c r="L18" s="179">
        <v>3</v>
      </c>
      <c r="M18" s="246">
        <v>1</v>
      </c>
      <c r="N18" s="178">
        <f>(M18/L18)*100</f>
        <v>33.333333333333329</v>
      </c>
      <c r="O18" s="179">
        <v>3</v>
      </c>
      <c r="P18" s="246">
        <v>4</v>
      </c>
      <c r="Q18" s="176">
        <f>(P18/O18)*100</f>
        <v>133.33333333333331</v>
      </c>
      <c r="R18" s="177">
        <v>12</v>
      </c>
      <c r="S18" s="246">
        <v>19</v>
      </c>
      <c r="T18" s="178">
        <f>(S18/R18)*100</f>
        <v>158.33333333333331</v>
      </c>
      <c r="U18" s="174">
        <v>4</v>
      </c>
      <c r="V18" s="246">
        <v>5</v>
      </c>
      <c r="W18" s="176">
        <f>(V18/U18)*100</f>
        <v>125</v>
      </c>
      <c r="X18" s="177" t="s">
        <v>12</v>
      </c>
      <c r="Y18" s="248" t="s">
        <v>12</v>
      </c>
      <c r="Z18" s="178" t="s">
        <v>12</v>
      </c>
      <c r="AA18" s="178" t="s">
        <v>12</v>
      </c>
      <c r="AB18" s="248" t="s">
        <v>12</v>
      </c>
      <c r="AC18" s="176" t="s">
        <v>12</v>
      </c>
      <c r="AD18" s="178" t="s">
        <v>12</v>
      </c>
      <c r="AE18" s="248" t="s">
        <v>12</v>
      </c>
      <c r="AF18" s="178" t="s">
        <v>12</v>
      </c>
      <c r="AG18" s="181">
        <v>5</v>
      </c>
      <c r="AH18" s="247">
        <f>SUM(D18+G18+J18+M18+P18+S18+V18)/7</f>
        <v>6</v>
      </c>
      <c r="AI18" s="180">
        <f>(AH18/AG18)*100</f>
        <v>120</v>
      </c>
      <c r="AJ18" s="102">
        <v>7</v>
      </c>
      <c r="AL18" s="14"/>
    </row>
    <row r="19" spans="1:40" s="2" customFormat="1" ht="46.5" customHeight="1" x14ac:dyDescent="0.4">
      <c r="A19" s="182" t="s">
        <v>57</v>
      </c>
      <c r="B19" s="173" t="s">
        <v>7</v>
      </c>
      <c r="C19" s="174">
        <v>50</v>
      </c>
      <c r="D19" s="247">
        <f>(38400/1000)/10</f>
        <v>3.84</v>
      </c>
      <c r="E19" s="183">
        <f>(D19/C19)*100</f>
        <v>7.68</v>
      </c>
      <c r="F19" s="177">
        <v>40</v>
      </c>
      <c r="G19" s="247">
        <f>(1109934.4/1000)/12</f>
        <v>92.494533333333322</v>
      </c>
      <c r="H19" s="184">
        <f>(G19/F19)*100</f>
        <v>231.23633333333328</v>
      </c>
      <c r="I19" s="179">
        <v>50</v>
      </c>
      <c r="J19" s="247">
        <f>(343456.85/1000)/11</f>
        <v>31.223349999999996</v>
      </c>
      <c r="K19" s="183">
        <f>(J19/I19)*100</f>
        <v>62.446699999999986</v>
      </c>
      <c r="L19" s="177">
        <v>42</v>
      </c>
      <c r="M19" s="247">
        <f>(333778.46/1000)/10</f>
        <v>33.377845999999998</v>
      </c>
      <c r="N19" s="184">
        <f>(M19/L19)*100</f>
        <v>79.471061904761896</v>
      </c>
      <c r="O19" s="179">
        <v>50</v>
      </c>
      <c r="P19" s="247">
        <f>(619010.36/1000)/10</f>
        <v>61.901035999999998</v>
      </c>
      <c r="Q19" s="183">
        <f>(P19/O19)*100</f>
        <v>123.802072</v>
      </c>
      <c r="R19" s="177">
        <v>45</v>
      </c>
      <c r="S19" s="247">
        <f>(5181320.43/1000)/18</f>
        <v>287.851135</v>
      </c>
      <c r="T19" s="184">
        <f>(S19/R19)*100</f>
        <v>639.66918888888893</v>
      </c>
      <c r="U19" s="174">
        <v>60</v>
      </c>
      <c r="V19" s="247">
        <f>(1768593.37/1000)/11</f>
        <v>160.78121545454545</v>
      </c>
      <c r="W19" s="183">
        <f>(V19/U19)*100</f>
        <v>267.96869242424242</v>
      </c>
      <c r="X19" s="177" t="s">
        <v>12</v>
      </c>
      <c r="Y19" s="248" t="s">
        <v>12</v>
      </c>
      <c r="Z19" s="178" t="s">
        <v>12</v>
      </c>
      <c r="AA19" s="178" t="s">
        <v>12</v>
      </c>
      <c r="AB19" s="248" t="s">
        <v>12</v>
      </c>
      <c r="AC19" s="176" t="s">
        <v>12</v>
      </c>
      <c r="AD19" s="178" t="s">
        <v>12</v>
      </c>
      <c r="AE19" s="248" t="s">
        <v>12</v>
      </c>
      <c r="AF19" s="178" t="s">
        <v>12</v>
      </c>
      <c r="AG19" s="181">
        <v>46.1</v>
      </c>
      <c r="AH19" s="247">
        <f>(9394493.86/1000)/102</f>
        <v>92.102880980392143</v>
      </c>
      <c r="AI19" s="185">
        <f>(AH19/AG19)*100</f>
        <v>199.78932967547104</v>
      </c>
      <c r="AJ19" s="102">
        <v>75.7</v>
      </c>
      <c r="AL19" s="14"/>
    </row>
    <row r="20" spans="1:40" s="2" customFormat="1" ht="46.5" customHeight="1" x14ac:dyDescent="0.4">
      <c r="A20" s="182" t="s">
        <v>69</v>
      </c>
      <c r="B20" s="173"/>
      <c r="C20" s="174"/>
      <c r="D20" s="247">
        <f>(0/1000)/10</f>
        <v>0</v>
      </c>
      <c r="E20" s="183"/>
      <c r="F20" s="177"/>
      <c r="G20" s="247">
        <f>(452826.95/1000)/12</f>
        <v>37.735579166666668</v>
      </c>
      <c r="H20" s="184"/>
      <c r="I20" s="179"/>
      <c r="J20" s="247">
        <f>(270120.25/1000)/11</f>
        <v>24.556386363636364</v>
      </c>
      <c r="K20" s="183"/>
      <c r="L20" s="177"/>
      <c r="M20" s="247">
        <f>(5020.92/1000)/10</f>
        <v>0.50209199999999998</v>
      </c>
      <c r="N20" s="184"/>
      <c r="O20" s="179"/>
      <c r="P20" s="247">
        <f>(295862.36/1000)/10</f>
        <v>29.586235999999996</v>
      </c>
      <c r="Q20" s="183"/>
      <c r="R20" s="177"/>
      <c r="S20" s="247">
        <f>(4100906.68/1000)/18</f>
        <v>227.8281488888889</v>
      </c>
      <c r="T20" s="184"/>
      <c r="U20" s="174"/>
      <c r="V20" s="247">
        <f>(1094148.15/1000)/11</f>
        <v>99.468013636363636</v>
      </c>
      <c r="W20" s="183"/>
      <c r="X20" s="177"/>
      <c r="Y20" s="248" t="s">
        <v>12</v>
      </c>
      <c r="Z20" s="178"/>
      <c r="AA20" s="178"/>
      <c r="AB20" s="248" t="s">
        <v>12</v>
      </c>
      <c r="AC20" s="176"/>
      <c r="AD20" s="178"/>
      <c r="AE20" s="248" t="s">
        <v>12</v>
      </c>
      <c r="AF20" s="178"/>
      <c r="AG20" s="181"/>
      <c r="AH20" s="247">
        <f>(6128885.3/1000)/102</f>
        <v>60.087110784313722</v>
      </c>
      <c r="AI20" s="185"/>
      <c r="AJ20" s="55"/>
      <c r="AL20" s="14"/>
    </row>
    <row r="21" spans="1:40" s="2" customFormat="1" ht="45" customHeight="1" x14ac:dyDescent="0.4">
      <c r="A21" s="182" t="s">
        <v>68</v>
      </c>
      <c r="B21" s="173" t="s">
        <v>7</v>
      </c>
      <c r="C21" s="174">
        <v>120</v>
      </c>
      <c r="D21" s="247">
        <f>(2258587.83/1000)/11</f>
        <v>205.32616636363636</v>
      </c>
      <c r="E21" s="176">
        <f>(D21/C21)*100</f>
        <v>171.10513863636362</v>
      </c>
      <c r="F21" s="177">
        <v>100</v>
      </c>
      <c r="G21" s="247">
        <f>(1108390.16/1000)/12</f>
        <v>92.365846666666656</v>
      </c>
      <c r="H21" s="178">
        <f>(G21/F21)*100</f>
        <v>92.365846666666656</v>
      </c>
      <c r="I21" s="186">
        <v>80</v>
      </c>
      <c r="J21" s="247">
        <f>(974202.47/1000)/15</f>
        <v>64.946831333333336</v>
      </c>
      <c r="K21" s="176">
        <f>(J21/I21)*100</f>
        <v>81.183539166666677</v>
      </c>
      <c r="L21" s="177">
        <v>110</v>
      </c>
      <c r="M21" s="247">
        <f>(643466.89/1000)/9</f>
        <v>71.496321111111115</v>
      </c>
      <c r="N21" s="178">
        <f>(M21/L21)*100</f>
        <v>64.996655555555563</v>
      </c>
      <c r="O21" s="179">
        <v>125</v>
      </c>
      <c r="P21" s="247">
        <f>(1062757/1000)/11</f>
        <v>96.614272727272734</v>
      </c>
      <c r="Q21" s="176">
        <f>(P21/O21)*100</f>
        <v>77.291418181818187</v>
      </c>
      <c r="R21" s="177">
        <v>300</v>
      </c>
      <c r="S21" s="247">
        <f>(11162955.27/1000)/37</f>
        <v>301.7014937837838</v>
      </c>
      <c r="T21" s="178">
        <f>(S21/R21)*100</f>
        <v>100.5671645945946</v>
      </c>
      <c r="U21" s="174">
        <v>310</v>
      </c>
      <c r="V21" s="247">
        <f>(13804351.59/1000)/27</f>
        <v>511.27228111111111</v>
      </c>
      <c r="W21" s="176">
        <f>(V21/U21)*100</f>
        <v>164.92654229390681</v>
      </c>
      <c r="X21" s="177" t="s">
        <v>12</v>
      </c>
      <c r="Y21" s="247" t="s">
        <v>12</v>
      </c>
      <c r="Z21" s="178" t="s">
        <v>12</v>
      </c>
      <c r="AA21" s="178" t="s">
        <v>12</v>
      </c>
      <c r="AB21" s="247" t="s">
        <v>12</v>
      </c>
      <c r="AC21" s="176" t="s">
        <v>12</v>
      </c>
      <c r="AD21" s="178" t="s">
        <v>12</v>
      </c>
      <c r="AE21" s="247" t="s">
        <v>12</v>
      </c>
      <c r="AF21" s="178" t="s">
        <v>12</v>
      </c>
      <c r="AG21" s="181">
        <v>195.1</v>
      </c>
      <c r="AH21" s="247">
        <f>(31014711.21/1000)/128</f>
        <v>242.30243132812501</v>
      </c>
      <c r="AI21" s="180">
        <f>(AH21/AG21)*100</f>
        <v>124.19396787705024</v>
      </c>
      <c r="AJ21" s="102">
        <v>235.3</v>
      </c>
      <c r="AL21" s="14"/>
    </row>
    <row r="22" spans="1:40" s="2" customFormat="1" ht="25.5" customHeight="1" x14ac:dyDescent="0.4">
      <c r="A22" s="182" t="s">
        <v>39</v>
      </c>
      <c r="B22" s="173" t="s">
        <v>7</v>
      </c>
      <c r="C22" s="174">
        <v>6</v>
      </c>
      <c r="D22" s="246">
        <v>7</v>
      </c>
      <c r="E22" s="176">
        <f>(D22/C22)*100</f>
        <v>116.66666666666667</v>
      </c>
      <c r="F22" s="177">
        <v>20</v>
      </c>
      <c r="G22" s="246">
        <v>24</v>
      </c>
      <c r="H22" s="178">
        <f>(G22/F22)*100</f>
        <v>120</v>
      </c>
      <c r="I22" s="179">
        <v>2</v>
      </c>
      <c r="J22" s="246">
        <v>1</v>
      </c>
      <c r="K22" s="176">
        <f>(J22/I22)*100</f>
        <v>50</v>
      </c>
      <c r="L22" s="177">
        <v>5</v>
      </c>
      <c r="M22" s="246">
        <v>4</v>
      </c>
      <c r="N22" s="178">
        <f>(M22/L22)*100</f>
        <v>80</v>
      </c>
      <c r="O22" s="179">
        <v>4</v>
      </c>
      <c r="P22" s="246">
        <v>4</v>
      </c>
      <c r="Q22" s="176">
        <f>(P22/O22)*100</f>
        <v>100</v>
      </c>
      <c r="R22" s="177">
        <v>14</v>
      </c>
      <c r="S22" s="246">
        <v>13</v>
      </c>
      <c r="T22" s="178">
        <f>(S22/R22)*100</f>
        <v>92.857142857142861</v>
      </c>
      <c r="U22" s="174">
        <v>5</v>
      </c>
      <c r="V22" s="246">
        <v>7</v>
      </c>
      <c r="W22" s="176">
        <f>(V22/U22)*100</f>
        <v>140</v>
      </c>
      <c r="X22" s="177" t="s">
        <v>12</v>
      </c>
      <c r="Y22" s="248" t="s">
        <v>12</v>
      </c>
      <c r="Z22" s="178" t="s">
        <v>12</v>
      </c>
      <c r="AA22" s="178" t="s">
        <v>12</v>
      </c>
      <c r="AB22" s="246">
        <v>3</v>
      </c>
      <c r="AC22" s="176" t="s">
        <v>12</v>
      </c>
      <c r="AD22" s="178" t="s">
        <v>12</v>
      </c>
      <c r="AE22" s="248" t="s">
        <v>12</v>
      </c>
      <c r="AF22" s="178" t="s">
        <v>12</v>
      </c>
      <c r="AG22" s="181">
        <v>8</v>
      </c>
      <c r="AH22" s="247">
        <f>SUM(D22+G22+J22+M22+P22+S22+V22+AB22)/8</f>
        <v>7.875</v>
      </c>
      <c r="AI22" s="180">
        <f>(AH22/AG22)*100</f>
        <v>98.4375</v>
      </c>
      <c r="AJ22" s="102">
        <v>6.5</v>
      </c>
      <c r="AL22" s="14"/>
    </row>
    <row r="23" spans="1:40" s="2" customFormat="1" ht="37.5" customHeight="1" x14ac:dyDescent="0.45">
      <c r="A23" s="187" t="s">
        <v>50</v>
      </c>
      <c r="B23" s="173" t="s">
        <v>7</v>
      </c>
      <c r="C23" s="186">
        <v>0.5</v>
      </c>
      <c r="D23" s="245">
        <f>SUM(5/10)</f>
        <v>0.5</v>
      </c>
      <c r="E23" s="176">
        <f>(D23/C23)*100</f>
        <v>100</v>
      </c>
      <c r="F23" s="188">
        <v>0.5</v>
      </c>
      <c r="G23" s="276">
        <f>SUM(9/12)</f>
        <v>0.75</v>
      </c>
      <c r="H23" s="189">
        <f>(G23/F23)*100</f>
        <v>150</v>
      </c>
      <c r="I23" s="186">
        <v>0.5</v>
      </c>
      <c r="J23" s="276">
        <f>SUM(2/10)</f>
        <v>0.2</v>
      </c>
      <c r="K23" s="176">
        <f>(J23/I23)*100</f>
        <v>40</v>
      </c>
      <c r="L23" s="188">
        <v>0.6</v>
      </c>
      <c r="M23" s="245">
        <f>SUM(4/10)</f>
        <v>0.4</v>
      </c>
      <c r="N23" s="189">
        <f>(M23/L23)*100</f>
        <v>66.666666666666671</v>
      </c>
      <c r="O23" s="186">
        <v>0.7</v>
      </c>
      <c r="P23" s="276">
        <f>SUM(3/10)</f>
        <v>0.3</v>
      </c>
      <c r="Q23" s="190">
        <f>(P23/O23)*100</f>
        <v>42.857142857142861</v>
      </c>
      <c r="R23" s="188">
        <v>1</v>
      </c>
      <c r="S23" s="276">
        <f>SUM(25/27)</f>
        <v>0.92592592592592593</v>
      </c>
      <c r="T23" s="189">
        <f>(S23/R23)*100</f>
        <v>92.592592592592595</v>
      </c>
      <c r="U23" s="186">
        <v>0.5</v>
      </c>
      <c r="V23" s="245">
        <f>SUM(10/18)</f>
        <v>0.55555555555555558</v>
      </c>
      <c r="W23" s="190">
        <f>(V23/U23)*100</f>
        <v>111.11111111111111</v>
      </c>
      <c r="X23" s="177" t="s">
        <v>12</v>
      </c>
      <c r="Y23" s="247" t="s">
        <v>12</v>
      </c>
      <c r="Z23" s="178" t="s">
        <v>12</v>
      </c>
      <c r="AA23" s="178" t="s">
        <v>12</v>
      </c>
      <c r="AB23" s="247" t="s">
        <v>12</v>
      </c>
      <c r="AC23" s="190" t="s">
        <v>12</v>
      </c>
      <c r="AD23" s="189" t="s">
        <v>12</v>
      </c>
      <c r="AE23" s="247" t="s">
        <v>12</v>
      </c>
      <c r="AF23" s="178" t="s">
        <v>12</v>
      </c>
      <c r="AG23" s="218">
        <v>0.75</v>
      </c>
      <c r="AH23" s="276">
        <f>SUM(58/97)</f>
        <v>0.59793814432989689</v>
      </c>
      <c r="AI23" s="175">
        <f>(AH23/AG23)*100</f>
        <v>79.725085910652922</v>
      </c>
      <c r="AJ23" s="207">
        <v>0.73</v>
      </c>
      <c r="AL23" s="14"/>
    </row>
    <row r="24" spans="1:40" s="2" customFormat="1" ht="15" customHeight="1" x14ac:dyDescent="0.35">
      <c r="A24" s="98"/>
      <c r="B24" s="50"/>
      <c r="C24" s="87"/>
      <c r="D24" s="61"/>
      <c r="E24" s="88"/>
      <c r="F24" s="89"/>
      <c r="G24" s="61"/>
      <c r="H24" s="90"/>
      <c r="I24" s="87"/>
      <c r="J24" s="61"/>
      <c r="K24" s="88"/>
      <c r="L24" s="89"/>
      <c r="M24" s="61"/>
      <c r="N24" s="90"/>
      <c r="O24" s="87"/>
      <c r="P24" s="61"/>
      <c r="Q24" s="88"/>
      <c r="R24" s="89"/>
      <c r="S24" s="61"/>
      <c r="T24" s="90"/>
      <c r="U24" s="87"/>
      <c r="V24" s="61"/>
      <c r="W24" s="88"/>
      <c r="X24" s="89"/>
      <c r="Y24" s="61"/>
      <c r="Z24" s="90"/>
      <c r="AA24" s="87"/>
      <c r="AB24" s="61"/>
      <c r="AC24" s="88"/>
      <c r="AD24" s="89"/>
      <c r="AE24" s="61"/>
      <c r="AF24" s="90"/>
      <c r="AG24" s="87"/>
      <c r="AH24" s="91"/>
      <c r="AI24" s="61"/>
      <c r="AJ24" s="93"/>
    </row>
    <row r="25" spans="1:40" s="2" customFormat="1" ht="23.25" customHeight="1" x14ac:dyDescent="0.4">
      <c r="A25" s="205" t="s">
        <v>19</v>
      </c>
      <c r="B25" s="45"/>
      <c r="C25" s="103"/>
      <c r="D25" s="69"/>
      <c r="E25" s="86"/>
      <c r="F25" s="79"/>
      <c r="G25" s="72"/>
      <c r="H25" s="80"/>
      <c r="I25" s="106"/>
      <c r="J25" s="72"/>
      <c r="K25" s="86"/>
      <c r="L25" s="79"/>
      <c r="M25" s="72"/>
      <c r="N25" s="80"/>
      <c r="O25" s="106"/>
      <c r="P25" s="72"/>
      <c r="Q25" s="86"/>
      <c r="R25" s="79"/>
      <c r="S25" s="72"/>
      <c r="T25" s="80"/>
      <c r="U25" s="103"/>
      <c r="V25" s="72"/>
      <c r="W25" s="86"/>
      <c r="X25" s="107"/>
      <c r="Y25" s="72"/>
      <c r="Z25" s="80"/>
      <c r="AA25" s="105"/>
      <c r="AB25" s="72"/>
      <c r="AC25" s="86"/>
      <c r="AD25" s="79"/>
      <c r="AE25" s="72"/>
      <c r="AF25" s="80"/>
      <c r="AG25" s="109"/>
      <c r="AH25" s="92"/>
      <c r="AI25" s="80"/>
      <c r="AJ25" s="93"/>
      <c r="AL25" s="16"/>
    </row>
    <row r="26" spans="1:40" s="2" customFormat="1" ht="28.5" customHeight="1" x14ac:dyDescent="0.4">
      <c r="A26" s="253" t="s">
        <v>40</v>
      </c>
      <c r="B26" s="129" t="s">
        <v>7</v>
      </c>
      <c r="C26" s="130">
        <v>16</v>
      </c>
      <c r="D26" s="247">
        <v>9.3000000000000007</v>
      </c>
      <c r="E26" s="131">
        <f>(D26/C26)*100</f>
        <v>58.125000000000007</v>
      </c>
      <c r="F26" s="132">
        <v>15</v>
      </c>
      <c r="G26" s="247">
        <v>18</v>
      </c>
      <c r="H26" s="133">
        <f>(G26/F26)*100</f>
        <v>120</v>
      </c>
      <c r="I26" s="130">
        <v>20</v>
      </c>
      <c r="J26" s="247">
        <v>20</v>
      </c>
      <c r="K26" s="131">
        <f>(J26/I26)*100</f>
        <v>100</v>
      </c>
      <c r="L26" s="132">
        <v>16</v>
      </c>
      <c r="M26" s="247">
        <v>29.3</v>
      </c>
      <c r="N26" s="133">
        <f>(M26/L26)*100</f>
        <v>183.125</v>
      </c>
      <c r="O26" s="130">
        <v>15</v>
      </c>
      <c r="P26" s="247">
        <v>18.7</v>
      </c>
      <c r="Q26" s="131">
        <f>(P26/O26)*100</f>
        <v>124.66666666666666</v>
      </c>
      <c r="R26" s="132">
        <v>15</v>
      </c>
      <c r="S26" s="247">
        <v>13.7</v>
      </c>
      <c r="T26" s="133">
        <f>(S26/R26)*100</f>
        <v>91.333333333333329</v>
      </c>
      <c r="U26" s="130">
        <v>16</v>
      </c>
      <c r="V26" s="247">
        <v>5.3</v>
      </c>
      <c r="W26" s="131">
        <f>(V26/U26)*100</f>
        <v>33.125</v>
      </c>
      <c r="X26" s="132">
        <v>15</v>
      </c>
      <c r="Y26" s="247">
        <v>0</v>
      </c>
      <c r="Z26" s="133">
        <f>(Y26/X26)*100</f>
        <v>0</v>
      </c>
      <c r="AA26" s="130">
        <v>15</v>
      </c>
      <c r="AB26" s="247">
        <v>13.3</v>
      </c>
      <c r="AC26" s="131">
        <f>(AB26/AA26)*100</f>
        <v>88.666666666666671</v>
      </c>
      <c r="AD26" s="132">
        <v>15</v>
      </c>
      <c r="AE26" s="252">
        <v>0</v>
      </c>
      <c r="AF26" s="133">
        <f>(AE26/AD26)*100</f>
        <v>0</v>
      </c>
      <c r="AG26" s="219">
        <v>20</v>
      </c>
      <c r="AH26" s="247">
        <v>12.8</v>
      </c>
      <c r="AI26" s="134">
        <f>(AH26/AG26)*100</f>
        <v>64</v>
      </c>
      <c r="AJ26" s="208">
        <v>21.8</v>
      </c>
      <c r="AL26" s="14"/>
    </row>
    <row r="27" spans="1:40" s="2" customFormat="1" ht="25.15" customHeight="1" thickBot="1" x14ac:dyDescent="0.45">
      <c r="A27" s="135" t="s">
        <v>60</v>
      </c>
      <c r="B27" s="136" t="s">
        <v>7</v>
      </c>
      <c r="C27" s="137">
        <v>18</v>
      </c>
      <c r="D27" s="250">
        <v>58</v>
      </c>
      <c r="E27" s="138">
        <f>(D27/C27)*100</f>
        <v>322.22222222222223</v>
      </c>
      <c r="F27" s="139">
        <v>16</v>
      </c>
      <c r="G27" s="250">
        <v>41</v>
      </c>
      <c r="H27" s="140">
        <f>(G27/F27)*100</f>
        <v>256.25</v>
      </c>
      <c r="I27" s="137">
        <v>15</v>
      </c>
      <c r="J27" s="250">
        <v>20</v>
      </c>
      <c r="K27" s="138">
        <f>(J27/I27)*100</f>
        <v>133.33333333333331</v>
      </c>
      <c r="L27" s="139">
        <v>20</v>
      </c>
      <c r="M27" s="250">
        <v>14.4</v>
      </c>
      <c r="N27" s="140">
        <f>(M27/L27)*100</f>
        <v>72</v>
      </c>
      <c r="O27" s="137">
        <v>15</v>
      </c>
      <c r="P27" s="250">
        <v>15.1</v>
      </c>
      <c r="Q27" s="138">
        <f>(P27/O27)*100</f>
        <v>100.66666666666666</v>
      </c>
      <c r="R27" s="139">
        <v>20</v>
      </c>
      <c r="S27" s="250">
        <v>28</v>
      </c>
      <c r="T27" s="140">
        <f>(S27/R27)*100</f>
        <v>140</v>
      </c>
      <c r="U27" s="137">
        <v>40</v>
      </c>
      <c r="V27" s="250">
        <v>39.299999999999997</v>
      </c>
      <c r="W27" s="138">
        <f>(V27/U27)*100</f>
        <v>98.25</v>
      </c>
      <c r="X27" s="139">
        <v>10</v>
      </c>
      <c r="Y27" s="250">
        <v>12.1</v>
      </c>
      <c r="Z27" s="140">
        <f>(Y27/X27)*100</f>
        <v>121</v>
      </c>
      <c r="AA27" s="137">
        <v>25</v>
      </c>
      <c r="AB27" s="250">
        <v>18.899999999999999</v>
      </c>
      <c r="AC27" s="138">
        <f>(AB27/AA27)*100</f>
        <v>75.599999999999994</v>
      </c>
      <c r="AD27" s="139">
        <v>10</v>
      </c>
      <c r="AE27" s="251">
        <v>2.5</v>
      </c>
      <c r="AF27" s="140">
        <v>1.7</v>
      </c>
      <c r="AG27" s="220">
        <v>21.6</v>
      </c>
      <c r="AH27" s="250">
        <v>26.9</v>
      </c>
      <c r="AI27" s="141">
        <f>(AH27/AG27)*100</f>
        <v>124.53703703703702</v>
      </c>
      <c r="AJ27" s="209">
        <v>27.1</v>
      </c>
      <c r="AL27" s="15"/>
    </row>
    <row r="28" spans="1:40" s="2" customFormat="1" ht="27.75" customHeight="1" x14ac:dyDescent="0.35">
      <c r="A28" s="427" t="s">
        <v>41</v>
      </c>
      <c r="B28" s="142" t="s">
        <v>28</v>
      </c>
      <c r="C28" s="214">
        <v>70</v>
      </c>
      <c r="D28" s="234">
        <v>50</v>
      </c>
      <c r="E28" s="143">
        <f>(D28/C28)*100</f>
        <v>71.428571428571431</v>
      </c>
      <c r="F28" s="214">
        <v>87</v>
      </c>
      <c r="G28" s="234">
        <v>72</v>
      </c>
      <c r="H28" s="144">
        <f>(G28/F28)*100</f>
        <v>82.758620689655174</v>
      </c>
      <c r="I28" s="214">
        <v>66</v>
      </c>
      <c r="J28" s="234">
        <v>84</v>
      </c>
      <c r="K28" s="143">
        <f>(J28/I28)*100</f>
        <v>127.27272727272727</v>
      </c>
      <c r="L28" s="214">
        <v>73</v>
      </c>
      <c r="M28" s="234">
        <v>59</v>
      </c>
      <c r="N28" s="145">
        <f>(M28/L28)*100</f>
        <v>80.821917808219183</v>
      </c>
      <c r="O28" s="214">
        <v>79</v>
      </c>
      <c r="P28" s="234">
        <v>76</v>
      </c>
      <c r="Q28" s="143">
        <f>(P28/O28)*100</f>
        <v>96.202531645569621</v>
      </c>
      <c r="R28" s="214">
        <v>70</v>
      </c>
      <c r="S28" s="234">
        <v>73</v>
      </c>
      <c r="T28" s="144">
        <f>(S28/R28)*100</f>
        <v>104.28571428571429</v>
      </c>
      <c r="U28" s="214">
        <v>81</v>
      </c>
      <c r="V28" s="234">
        <v>77</v>
      </c>
      <c r="W28" s="143">
        <f>(V28/U28)*100</f>
        <v>95.061728395061735</v>
      </c>
      <c r="X28" s="214">
        <v>62</v>
      </c>
      <c r="Y28" s="234">
        <v>72</v>
      </c>
      <c r="Z28" s="144">
        <f>(Y28/X28)*100</f>
        <v>116.12903225806453</v>
      </c>
      <c r="AA28" s="214">
        <v>78</v>
      </c>
      <c r="AB28" s="234">
        <v>78</v>
      </c>
      <c r="AC28" s="143">
        <f>(AB28/AA28)*100</f>
        <v>100</v>
      </c>
      <c r="AD28" s="214">
        <v>62</v>
      </c>
      <c r="AE28" s="234">
        <v>59</v>
      </c>
      <c r="AF28" s="144">
        <f>(AE28/AD28)*100</f>
        <v>95.161290322580655</v>
      </c>
      <c r="AG28" s="214">
        <v>74</v>
      </c>
      <c r="AH28" s="236">
        <v>70</v>
      </c>
      <c r="AI28" s="144">
        <f>(AH28/AG28)*100</f>
        <v>94.594594594594597</v>
      </c>
      <c r="AJ28" s="210">
        <v>69</v>
      </c>
      <c r="AL28" s="15"/>
    </row>
    <row r="29" spans="1:40" s="2" customFormat="1" ht="26.25" customHeight="1" x14ac:dyDescent="0.35">
      <c r="A29" s="428"/>
      <c r="B29" s="142" t="s">
        <v>27</v>
      </c>
      <c r="C29" s="215">
        <v>69</v>
      </c>
      <c r="D29" s="234">
        <v>29</v>
      </c>
      <c r="E29" s="131">
        <f>(D29/C29)*100</f>
        <v>42.028985507246375</v>
      </c>
      <c r="F29" s="215">
        <v>75</v>
      </c>
      <c r="G29" s="234">
        <v>55</v>
      </c>
      <c r="H29" s="133">
        <f>(G29/F29)*100</f>
        <v>73.333333333333329</v>
      </c>
      <c r="I29" s="215">
        <v>63</v>
      </c>
      <c r="J29" s="235">
        <v>69</v>
      </c>
      <c r="K29" s="131">
        <f>(J29/I29)*100</f>
        <v>109.52380952380953</v>
      </c>
      <c r="L29" s="215">
        <v>54</v>
      </c>
      <c r="M29" s="234">
        <v>41</v>
      </c>
      <c r="N29" s="146">
        <f>(M29/L29)*100</f>
        <v>75.925925925925924</v>
      </c>
      <c r="O29" s="215">
        <v>61</v>
      </c>
      <c r="P29" s="235">
        <v>43</v>
      </c>
      <c r="Q29" s="131">
        <f>(P29/O29)*100</f>
        <v>70.491803278688522</v>
      </c>
      <c r="R29" s="215">
        <v>51</v>
      </c>
      <c r="S29" s="234">
        <v>54</v>
      </c>
      <c r="T29" s="133">
        <f>(S29/R29)*100</f>
        <v>105.88235294117648</v>
      </c>
      <c r="U29" s="215">
        <v>67</v>
      </c>
      <c r="V29" s="235">
        <v>63</v>
      </c>
      <c r="W29" s="131">
        <f>(V29/U29)*100</f>
        <v>94.029850746268664</v>
      </c>
      <c r="X29" s="215">
        <v>50</v>
      </c>
      <c r="Y29" s="234">
        <v>36</v>
      </c>
      <c r="Z29" s="133">
        <f>(Y29/X29)*100</f>
        <v>72</v>
      </c>
      <c r="AA29" s="215">
        <v>71</v>
      </c>
      <c r="AB29" s="235">
        <v>62</v>
      </c>
      <c r="AC29" s="131">
        <f>(AB29/AA29)*100</f>
        <v>87.323943661971825</v>
      </c>
      <c r="AD29" s="215">
        <v>50</v>
      </c>
      <c r="AE29" s="234">
        <v>42</v>
      </c>
      <c r="AF29" s="133">
        <f>(AE29/AD29)*100</f>
        <v>84</v>
      </c>
      <c r="AG29" s="215">
        <v>63</v>
      </c>
      <c r="AH29" s="236">
        <v>51</v>
      </c>
      <c r="AI29" s="144">
        <f>(AH29/AG29)*100</f>
        <v>80.952380952380949</v>
      </c>
      <c r="AJ29" s="210">
        <v>53</v>
      </c>
    </row>
    <row r="30" spans="1:40" s="2" customFormat="1" ht="25.5" customHeight="1" thickBot="1" x14ac:dyDescent="0.4">
      <c r="A30" s="429"/>
      <c r="B30" s="142" t="s">
        <v>29</v>
      </c>
      <c r="C30" s="215">
        <v>67</v>
      </c>
      <c r="D30" s="234">
        <v>39</v>
      </c>
      <c r="E30" s="131">
        <f>(D30/C30)*100</f>
        <v>58.208955223880601</v>
      </c>
      <c r="F30" s="215">
        <v>84</v>
      </c>
      <c r="G30" s="234">
        <v>70</v>
      </c>
      <c r="H30" s="133">
        <f>(G30/F30)*100</f>
        <v>83.333333333333343</v>
      </c>
      <c r="I30" s="215">
        <v>63</v>
      </c>
      <c r="J30" s="235">
        <v>64</v>
      </c>
      <c r="K30" s="131">
        <f>(J30/I30)*100</f>
        <v>101.58730158730158</v>
      </c>
      <c r="L30" s="215">
        <v>64</v>
      </c>
      <c r="M30" s="234">
        <v>51</v>
      </c>
      <c r="N30" s="146">
        <f>(M30/L30)*100</f>
        <v>79.6875</v>
      </c>
      <c r="O30" s="215">
        <v>71</v>
      </c>
      <c r="P30" s="235">
        <v>63</v>
      </c>
      <c r="Q30" s="131">
        <f>(P30/O30)*100</f>
        <v>88.732394366197184</v>
      </c>
      <c r="R30" s="215">
        <v>60</v>
      </c>
      <c r="S30" s="234">
        <v>67</v>
      </c>
      <c r="T30" s="133">
        <f>(S30/R30)*100</f>
        <v>111.66666666666667</v>
      </c>
      <c r="U30" s="215">
        <v>66</v>
      </c>
      <c r="V30" s="235">
        <v>59</v>
      </c>
      <c r="W30" s="131">
        <f>(V30/U30)*100</f>
        <v>89.393939393939391</v>
      </c>
      <c r="X30" s="215">
        <v>50</v>
      </c>
      <c r="Y30" s="234">
        <v>38</v>
      </c>
      <c r="Z30" s="133">
        <f>(Y30/X30)*100</f>
        <v>76</v>
      </c>
      <c r="AA30" s="215">
        <v>66</v>
      </c>
      <c r="AB30" s="235">
        <v>57</v>
      </c>
      <c r="AC30" s="131">
        <f>(AB30/AA30)*100</f>
        <v>86.36363636363636</v>
      </c>
      <c r="AD30" s="215">
        <v>57</v>
      </c>
      <c r="AE30" s="234">
        <v>47</v>
      </c>
      <c r="AF30" s="133">
        <f>(AE30/AD30)*100</f>
        <v>82.456140350877192</v>
      </c>
      <c r="AG30" s="215">
        <v>67</v>
      </c>
      <c r="AH30" s="237">
        <v>58</v>
      </c>
      <c r="AI30" s="144">
        <f>(AH30/AG30)*100</f>
        <v>86.567164179104466</v>
      </c>
      <c r="AJ30" s="211">
        <v>57</v>
      </c>
    </row>
    <row r="31" spans="1:40" s="8" customFormat="1" ht="40.5" customHeight="1" x14ac:dyDescent="0.35">
      <c r="A31" s="147" t="s">
        <v>26</v>
      </c>
      <c r="B31" s="148"/>
      <c r="C31" s="149"/>
      <c r="D31" s="239">
        <v>29</v>
      </c>
      <c r="E31" s="150"/>
      <c r="F31" s="151"/>
      <c r="G31" s="239">
        <v>25</v>
      </c>
      <c r="H31" s="151"/>
      <c r="I31" s="152"/>
      <c r="J31" s="274">
        <v>21</v>
      </c>
      <c r="K31" s="153"/>
      <c r="L31" s="151"/>
      <c r="M31" s="239">
        <v>25</v>
      </c>
      <c r="N31" s="151"/>
      <c r="O31" s="152"/>
      <c r="P31" s="274">
        <v>16</v>
      </c>
      <c r="Q31" s="153"/>
      <c r="R31" s="151"/>
      <c r="S31" s="239">
        <v>84</v>
      </c>
      <c r="T31" s="151"/>
      <c r="U31" s="152"/>
      <c r="V31" s="239">
        <v>70</v>
      </c>
      <c r="W31" s="153"/>
      <c r="X31" s="151"/>
      <c r="Y31" s="239">
        <v>11</v>
      </c>
      <c r="Z31" s="151"/>
      <c r="AA31" s="152"/>
      <c r="AB31" s="274">
        <v>22</v>
      </c>
      <c r="AC31" s="153"/>
      <c r="AD31" s="151"/>
      <c r="AE31" s="239">
        <v>51</v>
      </c>
      <c r="AF31" s="151"/>
      <c r="AG31" s="430">
        <f>SUM(D31+G31+J31+M31+P31+S31+Y31+V31+AE31+AB31)</f>
        <v>354</v>
      </c>
      <c r="AH31" s="431"/>
      <c r="AI31" s="432"/>
      <c r="AJ31" s="212">
        <v>368</v>
      </c>
      <c r="AL31" s="3"/>
    </row>
    <row r="32" spans="1:40" s="8" customFormat="1" ht="39.75" customHeight="1" x14ac:dyDescent="0.35">
      <c r="A32" s="154" t="s">
        <v>43</v>
      </c>
      <c r="B32" s="155"/>
      <c r="C32" s="156"/>
      <c r="D32" s="241">
        <v>10</v>
      </c>
      <c r="E32" s="157"/>
      <c r="F32" s="158"/>
      <c r="G32" s="241">
        <v>12</v>
      </c>
      <c r="H32" s="158"/>
      <c r="I32" s="159"/>
      <c r="J32" s="240">
        <v>10</v>
      </c>
      <c r="K32" s="160"/>
      <c r="L32" s="158"/>
      <c r="M32" s="241">
        <v>10</v>
      </c>
      <c r="N32" s="158"/>
      <c r="O32" s="159"/>
      <c r="P32" s="240">
        <v>10</v>
      </c>
      <c r="Q32" s="160"/>
      <c r="R32" s="158"/>
      <c r="S32" s="241">
        <v>27</v>
      </c>
      <c r="T32" s="158"/>
      <c r="U32" s="159"/>
      <c r="V32" s="241">
        <v>18</v>
      </c>
      <c r="W32" s="160"/>
      <c r="X32" s="158"/>
      <c r="Y32" s="243">
        <v>0</v>
      </c>
      <c r="Z32" s="158"/>
      <c r="AA32" s="159"/>
      <c r="AB32" s="240">
        <v>4</v>
      </c>
      <c r="AC32" s="160"/>
      <c r="AD32" s="158"/>
      <c r="AE32" s="241">
        <v>0</v>
      </c>
      <c r="AF32" s="158"/>
      <c r="AG32" s="433">
        <f>SUM(D32+G32+J32+M32+P32+S32+V32)</f>
        <v>97</v>
      </c>
      <c r="AH32" s="434"/>
      <c r="AI32" s="238">
        <f>SUM(AG32+AB32)</f>
        <v>101</v>
      </c>
      <c r="AJ32" s="212">
        <v>107</v>
      </c>
      <c r="AL32" s="3"/>
      <c r="AN32" s="8">
        <v>134</v>
      </c>
    </row>
    <row r="33" spans="1:45" s="8" customFormat="1" ht="39" customHeight="1" thickBot="1" x14ac:dyDescent="0.4">
      <c r="A33" s="161" t="s">
        <v>44</v>
      </c>
      <c r="B33" s="162"/>
      <c r="C33" s="163"/>
      <c r="D33" s="242">
        <v>11</v>
      </c>
      <c r="E33" s="164"/>
      <c r="F33" s="165"/>
      <c r="G33" s="242">
        <v>12</v>
      </c>
      <c r="H33" s="166"/>
      <c r="I33" s="167"/>
      <c r="J33" s="275">
        <v>14</v>
      </c>
      <c r="K33" s="168"/>
      <c r="L33" s="166"/>
      <c r="M33" s="242">
        <v>9</v>
      </c>
      <c r="N33" s="166"/>
      <c r="O33" s="167"/>
      <c r="P33" s="242">
        <v>11</v>
      </c>
      <c r="Q33" s="169"/>
      <c r="R33" s="165"/>
      <c r="S33" s="242">
        <v>37</v>
      </c>
      <c r="T33" s="166"/>
      <c r="U33" s="167"/>
      <c r="V33" s="242">
        <v>27</v>
      </c>
      <c r="W33" s="170"/>
      <c r="X33" s="165"/>
      <c r="Y33" s="244">
        <v>0</v>
      </c>
      <c r="Z33" s="171"/>
      <c r="AA33" s="172"/>
      <c r="AB33" s="242">
        <v>6</v>
      </c>
      <c r="AC33" s="164"/>
      <c r="AD33" s="165"/>
      <c r="AE33" s="275">
        <v>0</v>
      </c>
      <c r="AF33" s="171"/>
      <c r="AG33" s="435">
        <f>SUM(D33+G33+J33+M33+P33+S33+V33)</f>
        <v>121</v>
      </c>
      <c r="AH33" s="436"/>
      <c r="AI33" s="238">
        <f>SUM(AG33+AB33)</f>
        <v>127</v>
      </c>
      <c r="AJ33" s="213">
        <v>132</v>
      </c>
      <c r="AL33" s="3"/>
      <c r="AN33" s="8">
        <v>-141</v>
      </c>
    </row>
    <row r="34" spans="1:45" s="2" customFormat="1" ht="22.9" customHeight="1" thickBot="1" x14ac:dyDescent="0.3">
      <c r="A34"/>
      <c r="B34" s="51"/>
      <c r="C34" s="110" t="s">
        <v>14</v>
      </c>
      <c r="D34" s="24"/>
      <c r="E34" s="111"/>
      <c r="F34" s="112"/>
      <c r="G34" s="24"/>
      <c r="H34" s="112"/>
      <c r="I34" s="113"/>
      <c r="J34" s="26"/>
      <c r="K34" s="114"/>
      <c r="L34" s="112"/>
      <c r="M34" s="25"/>
      <c r="N34" s="26"/>
      <c r="O34" s="110"/>
      <c r="P34" s="26"/>
      <c r="Q34" s="111"/>
      <c r="R34" s="26"/>
      <c r="S34" s="26"/>
      <c r="T34" s="112" t="s">
        <v>15</v>
      </c>
      <c r="U34" s="110"/>
      <c r="V34" s="26"/>
      <c r="W34" s="111"/>
      <c r="X34" s="26"/>
      <c r="Y34" s="26"/>
      <c r="Z34" s="26"/>
      <c r="AA34" s="110"/>
      <c r="AB34" s="26"/>
      <c r="AC34" s="115"/>
      <c r="AD34" s="116"/>
      <c r="AE34" s="117"/>
      <c r="AF34" s="118"/>
      <c r="AG34" s="437" t="s">
        <v>51</v>
      </c>
      <c r="AH34" s="438"/>
      <c r="AI34" s="119" t="s">
        <v>52</v>
      </c>
      <c r="AJ34" s="17"/>
      <c r="AK34"/>
      <c r="AL34"/>
      <c r="AN34" s="2">
        <f>SUM(AN32:AN33)</f>
        <v>-7</v>
      </c>
    </row>
    <row r="35" spans="1:45" s="2" customFormat="1" ht="22.9" customHeight="1" x14ac:dyDescent="0.35">
      <c r="A35"/>
      <c r="B35" s="267" t="s">
        <v>28</v>
      </c>
      <c r="C35" s="404" t="s">
        <v>30</v>
      </c>
      <c r="D35" s="405"/>
      <c r="E35" s="406"/>
      <c r="F35" s="404" t="s">
        <v>30</v>
      </c>
      <c r="G35" s="405"/>
      <c r="H35" s="406"/>
      <c r="I35" s="404" t="s">
        <v>30</v>
      </c>
      <c r="J35" s="405"/>
      <c r="K35" s="406"/>
      <c r="L35" s="404" t="s">
        <v>30</v>
      </c>
      <c r="M35" s="405"/>
      <c r="N35" s="406"/>
      <c r="O35" s="404" t="s">
        <v>30</v>
      </c>
      <c r="P35" s="405"/>
      <c r="Q35" s="406"/>
      <c r="R35" s="404" t="s">
        <v>30</v>
      </c>
      <c r="S35" s="405"/>
      <c r="T35" s="406"/>
      <c r="U35" s="404" t="s">
        <v>30</v>
      </c>
      <c r="V35" s="405"/>
      <c r="W35" s="406"/>
      <c r="X35" s="404" t="s">
        <v>30</v>
      </c>
      <c r="Y35" s="405"/>
      <c r="Z35" s="406"/>
      <c r="AA35" s="404" t="s">
        <v>30</v>
      </c>
      <c r="AB35" s="405"/>
      <c r="AC35" s="406"/>
      <c r="AD35" s="404" t="s">
        <v>30</v>
      </c>
      <c r="AE35" s="405"/>
      <c r="AF35" s="406"/>
      <c r="AG35" s="404" t="s">
        <v>30</v>
      </c>
      <c r="AH35" s="405"/>
      <c r="AI35" s="406"/>
      <c r="AJ35"/>
      <c r="AK35"/>
      <c r="AL35"/>
    </row>
    <row r="36" spans="1:45" s="2" customFormat="1" ht="22.9" customHeight="1" thickBot="1" x14ac:dyDescent="0.4">
      <c r="A36"/>
      <c r="B36" s="268" t="s">
        <v>31</v>
      </c>
      <c r="C36" s="439" t="s">
        <v>59</v>
      </c>
      <c r="D36" s="440"/>
      <c r="E36" s="441"/>
      <c r="F36" s="439" t="s">
        <v>59</v>
      </c>
      <c r="G36" s="440"/>
      <c r="H36" s="441"/>
      <c r="I36" s="439" t="s">
        <v>59</v>
      </c>
      <c r="J36" s="440"/>
      <c r="K36" s="441"/>
      <c r="L36" s="439" t="s">
        <v>59</v>
      </c>
      <c r="M36" s="440"/>
      <c r="N36" s="441"/>
      <c r="O36" s="439" t="s">
        <v>59</v>
      </c>
      <c r="P36" s="440"/>
      <c r="Q36" s="441"/>
      <c r="R36" s="439" t="s">
        <v>59</v>
      </c>
      <c r="S36" s="440"/>
      <c r="T36" s="441"/>
      <c r="U36" s="439" t="s">
        <v>59</v>
      </c>
      <c r="V36" s="440"/>
      <c r="W36" s="441"/>
      <c r="X36" s="439" t="s">
        <v>59</v>
      </c>
      <c r="Y36" s="440"/>
      <c r="Z36" s="441"/>
      <c r="AA36" s="439" t="s">
        <v>59</v>
      </c>
      <c r="AB36" s="440"/>
      <c r="AC36" s="441"/>
      <c r="AD36" s="439" t="s">
        <v>59</v>
      </c>
      <c r="AE36" s="440"/>
      <c r="AF36" s="441"/>
      <c r="AG36" s="439" t="s">
        <v>59</v>
      </c>
      <c r="AH36" s="440"/>
      <c r="AI36" s="441"/>
      <c r="AL36"/>
    </row>
    <row r="37" spans="1:45" s="2" customFormat="1" ht="20.45" customHeight="1" x14ac:dyDescent="0.35">
      <c r="A37" s="34"/>
      <c r="B37" s="268" t="s">
        <v>32</v>
      </c>
      <c r="C37" s="404" t="s">
        <v>66</v>
      </c>
      <c r="D37" s="405"/>
      <c r="E37" s="406"/>
      <c r="F37" s="404" t="s">
        <v>66</v>
      </c>
      <c r="G37" s="405"/>
      <c r="H37" s="406"/>
      <c r="I37" s="404" t="s">
        <v>66</v>
      </c>
      <c r="J37" s="405"/>
      <c r="K37" s="406"/>
      <c r="L37" s="404" t="s">
        <v>66</v>
      </c>
      <c r="M37" s="405"/>
      <c r="N37" s="406"/>
      <c r="O37" s="404" t="s">
        <v>66</v>
      </c>
      <c r="P37" s="405"/>
      <c r="Q37" s="406"/>
      <c r="R37" s="404" t="s">
        <v>66</v>
      </c>
      <c r="S37" s="405"/>
      <c r="T37" s="406"/>
      <c r="U37" s="404" t="s">
        <v>66</v>
      </c>
      <c r="V37" s="405"/>
      <c r="W37" s="406"/>
      <c r="X37" s="404" t="s">
        <v>66</v>
      </c>
      <c r="Y37" s="405"/>
      <c r="Z37" s="406"/>
      <c r="AA37" s="404" t="s">
        <v>66</v>
      </c>
      <c r="AB37" s="405"/>
      <c r="AC37" s="406"/>
      <c r="AD37" s="404" t="s">
        <v>66</v>
      </c>
      <c r="AE37" s="405"/>
      <c r="AF37" s="406"/>
      <c r="AG37" s="404" t="s">
        <v>66</v>
      </c>
      <c r="AH37" s="405"/>
      <c r="AI37" s="406"/>
      <c r="AJ37" s="99"/>
      <c r="AK37" s="94"/>
      <c r="AL37"/>
    </row>
    <row r="38" spans="1:45" s="2" customFormat="1" ht="20.25" x14ac:dyDescent="0.3">
      <c r="A38" s="221" t="s">
        <v>67</v>
      </c>
      <c r="B38" s="222"/>
      <c r="C38" s="223"/>
      <c r="D38" s="224"/>
      <c r="E38" s="225"/>
      <c r="F38" s="225"/>
      <c r="G38" s="224"/>
      <c r="H38" s="226"/>
      <c r="I38" s="226"/>
      <c r="J38" s="224"/>
      <c r="K38" s="226"/>
      <c r="L38" s="226"/>
      <c r="M38" s="224"/>
      <c r="N38" s="226"/>
      <c r="O38" s="226"/>
      <c r="P38" s="224"/>
      <c r="Q38" s="226"/>
      <c r="R38" s="226"/>
      <c r="S38" s="224"/>
      <c r="T38" s="226"/>
      <c r="U38" s="226"/>
      <c r="V38" s="224"/>
      <c r="W38" s="263"/>
      <c r="X38" s="263"/>
      <c r="Y38" s="264"/>
      <c r="Z38" s="27"/>
      <c r="AA38" s="27"/>
      <c r="AB38" s="26"/>
      <c r="AC38" s="28"/>
      <c r="AD38" s="23"/>
      <c r="AE38" s="26"/>
      <c r="AF38" s="27"/>
      <c r="AG38" s="27"/>
      <c r="AH38" s="26"/>
      <c r="AI38" s="27"/>
      <c r="AJ38"/>
      <c r="AK38"/>
      <c r="AL38"/>
    </row>
    <row r="39" spans="1:45" s="12" customFormat="1" ht="15.75" customHeight="1" x14ac:dyDescent="0.3">
      <c r="A39" s="221" t="s">
        <v>25</v>
      </c>
      <c r="B39" s="227"/>
      <c r="C39" s="223"/>
      <c r="D39" s="228"/>
      <c r="E39" s="223"/>
      <c r="F39" s="223"/>
      <c r="G39" s="228"/>
      <c r="H39" s="229"/>
      <c r="I39" s="229"/>
      <c r="J39" s="228"/>
      <c r="K39" s="229"/>
      <c r="L39" s="229"/>
      <c r="M39" s="228"/>
      <c r="N39" s="229"/>
      <c r="O39" s="229"/>
      <c r="P39" s="228"/>
      <c r="Q39" s="229"/>
      <c r="R39" s="229"/>
      <c r="S39" s="228"/>
      <c r="T39" s="229"/>
      <c r="U39" s="229"/>
      <c r="V39" s="228"/>
      <c r="W39" s="271"/>
      <c r="X39" s="271"/>
      <c r="Y39" s="270"/>
      <c r="AB39" s="21"/>
      <c r="AD39" s="11"/>
      <c r="AE39" s="21"/>
      <c r="AH39" s="21"/>
      <c r="AJ39" s="11"/>
      <c r="AK39" s="11"/>
      <c r="AL39" s="11"/>
    </row>
    <row r="40" spans="1:45" ht="36" customHeight="1" thickBot="1" x14ac:dyDescent="0.35">
      <c r="A40" s="272" t="s">
        <v>23</v>
      </c>
      <c r="B40" s="444" t="s">
        <v>49</v>
      </c>
      <c r="C40" s="444"/>
      <c r="D40" s="444"/>
      <c r="E40" s="444"/>
      <c r="F40" s="444"/>
      <c r="G40" s="444"/>
      <c r="H40" s="444"/>
      <c r="I40" s="444"/>
      <c r="J40" s="444"/>
      <c r="K40" s="444"/>
      <c r="L40" s="444"/>
      <c r="M40" s="444"/>
      <c r="N40" s="444"/>
      <c r="O40" s="444"/>
      <c r="P40" s="444"/>
      <c r="Q40" s="444"/>
      <c r="R40" s="444"/>
      <c r="S40" s="445"/>
      <c r="T40" s="445"/>
      <c r="U40" s="445"/>
      <c r="V40" s="445"/>
      <c r="W40" s="261"/>
      <c r="X40" s="261"/>
      <c r="Y40" s="262"/>
      <c r="Z40" s="446" t="s">
        <v>53</v>
      </c>
      <c r="AA40" s="447"/>
      <c r="AB40" s="447"/>
      <c r="AC40" s="447"/>
      <c r="AD40" s="21"/>
      <c r="AE40" s="457" t="s">
        <v>73</v>
      </c>
      <c r="AF40" s="458"/>
      <c r="AG40" s="458"/>
      <c r="AH40" s="458"/>
      <c r="AI40" s="458"/>
      <c r="AJ40" s="273"/>
      <c r="AM40" s="2"/>
      <c r="AN40" s="2"/>
      <c r="AO40" s="2"/>
      <c r="AP40" s="2"/>
      <c r="AQ40" s="2"/>
      <c r="AR40" s="2"/>
      <c r="AS40" s="2"/>
    </row>
    <row r="41" spans="1:45" s="2" customFormat="1" ht="20.25" customHeight="1" x14ac:dyDescent="0.3">
      <c r="A41" s="230" t="s">
        <v>24</v>
      </c>
      <c r="B41" s="231" t="s">
        <v>55</v>
      </c>
      <c r="C41" s="226"/>
      <c r="D41" s="224"/>
      <c r="E41" s="226"/>
      <c r="F41" s="226"/>
      <c r="G41" s="224"/>
      <c r="H41" s="226"/>
      <c r="I41" s="226"/>
      <c r="J41" s="224"/>
      <c r="K41" s="226"/>
      <c r="L41" s="226"/>
      <c r="M41" s="224"/>
      <c r="N41" s="226"/>
      <c r="O41" s="226"/>
      <c r="P41" s="224"/>
      <c r="Q41" s="226"/>
      <c r="R41" s="226"/>
      <c r="S41" s="224"/>
      <c r="T41" s="226"/>
      <c r="U41" s="226"/>
      <c r="V41" s="224"/>
      <c r="W41" s="226"/>
      <c r="X41" s="226"/>
      <c r="Y41" s="224"/>
      <c r="Z41" s="448" t="s">
        <v>54</v>
      </c>
      <c r="AA41" s="448"/>
      <c r="AB41" s="448"/>
      <c r="AC41" s="448"/>
      <c r="AD41" s="448"/>
      <c r="AE41" s="19"/>
      <c r="AH41" s="449"/>
      <c r="AI41" s="450"/>
      <c r="AJ41" s="450"/>
    </row>
    <row r="42" spans="1:45" ht="15.75" customHeight="1" x14ac:dyDescent="0.25">
      <c r="A42" s="232" t="s">
        <v>56</v>
      </c>
      <c r="B42" s="455" t="s">
        <v>65</v>
      </c>
      <c r="C42" s="455"/>
      <c r="D42" s="455"/>
      <c r="E42" s="455"/>
      <c r="F42" s="455"/>
      <c r="G42" s="455"/>
      <c r="H42" s="455"/>
      <c r="I42" s="455"/>
      <c r="J42" s="455"/>
      <c r="K42" s="455"/>
      <c r="L42" s="455"/>
      <c r="M42" s="455"/>
      <c r="N42" s="455"/>
      <c r="O42" s="455"/>
      <c r="P42" s="455"/>
      <c r="Q42" s="455"/>
      <c r="R42" s="455"/>
      <c r="S42" s="456"/>
      <c r="T42" s="456"/>
      <c r="U42" s="456"/>
      <c r="V42" s="456"/>
      <c r="W42" s="456"/>
      <c r="X42" s="456"/>
      <c r="Y42" s="456"/>
      <c r="Z42" s="2"/>
      <c r="AA42" s="2"/>
      <c r="AB42" s="19"/>
      <c r="AC42" s="2"/>
      <c r="AD42" s="2"/>
      <c r="AE42" s="19"/>
      <c r="AF42" s="2"/>
      <c r="AG42" s="2"/>
      <c r="AH42" s="19"/>
      <c r="AI42" s="2"/>
      <c r="AJ42" s="2"/>
      <c r="AK42" s="44">
        <f>SUM(AK40:AK41)</f>
        <v>0</v>
      </c>
      <c r="AL42" s="2"/>
      <c r="AM42" s="2"/>
      <c r="AN42" s="2"/>
      <c r="AO42" s="2"/>
      <c r="AP42" s="2"/>
      <c r="AQ42" s="2"/>
      <c r="AR42" s="2"/>
      <c r="AS42" s="2"/>
    </row>
    <row r="43" spans="1:45" ht="36" customHeight="1" x14ac:dyDescent="0.25">
      <c r="A43" s="233" t="s">
        <v>58</v>
      </c>
      <c r="B43" s="451" t="s">
        <v>70</v>
      </c>
      <c r="C43" s="452"/>
      <c r="D43" s="452"/>
      <c r="E43" s="452"/>
      <c r="F43" s="452"/>
      <c r="G43" s="452"/>
      <c r="H43" s="452"/>
      <c r="I43" s="452"/>
      <c r="J43" s="452"/>
      <c r="K43" s="452"/>
      <c r="L43" s="452"/>
      <c r="M43" s="452"/>
      <c r="N43" s="452"/>
      <c r="O43" s="452"/>
      <c r="P43" s="452"/>
      <c r="Q43" s="452"/>
      <c r="R43" s="452"/>
      <c r="S43" s="452"/>
      <c r="T43" s="452"/>
      <c r="U43" s="452"/>
      <c r="V43" s="452"/>
      <c r="W43" s="452"/>
      <c r="X43" s="226"/>
      <c r="Y43" s="224"/>
      <c r="Z43" s="2"/>
      <c r="AA43" s="2"/>
      <c r="AB43" s="19"/>
      <c r="AC43" s="2"/>
      <c r="AD43" s="2"/>
      <c r="AE43" s="19"/>
      <c r="AF43" s="2"/>
      <c r="AG43" s="443"/>
      <c r="AH43" s="443"/>
      <c r="AI43" s="443"/>
      <c r="AJ43" s="2"/>
      <c r="AK43" s="2"/>
      <c r="AL43" s="2"/>
      <c r="AM43" s="2"/>
      <c r="AN43" s="2"/>
      <c r="AO43" s="2"/>
    </row>
    <row r="44" spans="1:45" ht="18.75" customHeight="1" thickBot="1" x14ac:dyDescent="0.35">
      <c r="A44" s="269" t="s">
        <v>61</v>
      </c>
      <c r="B44" s="453" t="s">
        <v>71</v>
      </c>
      <c r="C44" s="453"/>
      <c r="D44" s="453"/>
      <c r="E44" s="453"/>
      <c r="F44" s="453"/>
      <c r="G44" s="453"/>
      <c r="H44" s="453"/>
      <c r="I44" s="265"/>
      <c r="J44" s="266"/>
      <c r="K44" s="265"/>
      <c r="L44" s="265"/>
      <c r="M44" s="266"/>
      <c r="N44" s="265"/>
      <c r="O44" s="263"/>
      <c r="P44" s="264"/>
      <c r="Q44" s="263"/>
      <c r="R44" s="263"/>
      <c r="S44" s="264"/>
      <c r="T44" s="263"/>
      <c r="U44" s="263"/>
      <c r="V44" s="264"/>
      <c r="W44" s="263"/>
      <c r="X44" s="263"/>
      <c r="Y44" s="264"/>
      <c r="Z44" s="2"/>
      <c r="AA44" s="2"/>
      <c r="AB44" s="19"/>
      <c r="AC44" s="2"/>
      <c r="AD44" s="2"/>
      <c r="AE44" s="19"/>
      <c r="AF44" s="2"/>
      <c r="AG44" s="454"/>
      <c r="AH44" s="443"/>
      <c r="AI44" s="443"/>
      <c r="AJ44" s="2"/>
      <c r="AK44" s="2"/>
      <c r="AL44" s="2"/>
      <c r="AM44" s="2"/>
      <c r="AN44" s="2"/>
      <c r="AO44" s="2"/>
    </row>
    <row r="45" spans="1:45" ht="27.75" customHeight="1" x14ac:dyDescent="0.2">
      <c r="A45" s="100"/>
      <c r="AG45" s="442"/>
      <c r="AH45" s="443"/>
      <c r="AI45" s="443"/>
    </row>
    <row r="46" spans="1:45" x14ac:dyDescent="0.2">
      <c r="AI46" s="2"/>
    </row>
    <row r="47" spans="1:45" x14ac:dyDescent="0.2">
      <c r="AI47" s="2"/>
    </row>
    <row r="48" spans="1:45" x14ac:dyDescent="0.2">
      <c r="AI48" s="2"/>
    </row>
    <row r="49" spans="35:35" x14ac:dyDescent="0.2">
      <c r="AI49" s="2"/>
    </row>
    <row r="50" spans="35:35" x14ac:dyDescent="0.2">
      <c r="AI50" s="2"/>
    </row>
    <row r="51" spans="35:35" x14ac:dyDescent="0.2">
      <c r="AI51" s="2"/>
    </row>
    <row r="52" spans="35:35" x14ac:dyDescent="0.2">
      <c r="AI52" s="2"/>
    </row>
    <row r="53" spans="35:35" x14ac:dyDescent="0.2">
      <c r="AI53" s="2"/>
    </row>
    <row r="54" spans="35:35" x14ac:dyDescent="0.2">
      <c r="AI54" s="2"/>
    </row>
    <row r="55" spans="35:35" x14ac:dyDescent="0.2">
      <c r="AI55" s="2"/>
    </row>
    <row r="56" spans="35:35" x14ac:dyDescent="0.2">
      <c r="AI56" s="2"/>
    </row>
    <row r="57" spans="35:35" x14ac:dyDescent="0.2">
      <c r="AI57" s="2"/>
    </row>
    <row r="58" spans="35:35" x14ac:dyDescent="0.2">
      <c r="AI58" s="2"/>
    </row>
    <row r="59" spans="35:35" x14ac:dyDescent="0.2">
      <c r="AI59" s="2"/>
    </row>
    <row r="60" spans="35:35" x14ac:dyDescent="0.2">
      <c r="AI60" s="2"/>
    </row>
    <row r="61" spans="35:35" x14ac:dyDescent="0.2">
      <c r="AI61" s="2"/>
    </row>
    <row r="62" spans="35:35" x14ac:dyDescent="0.2">
      <c r="AI62" s="2"/>
    </row>
    <row r="63" spans="35:35" x14ac:dyDescent="0.2">
      <c r="AI63" s="2"/>
    </row>
    <row r="64" spans="35:35" x14ac:dyDescent="0.2">
      <c r="AI64" s="2"/>
    </row>
    <row r="65" spans="35:35" x14ac:dyDescent="0.2">
      <c r="AI65" s="2"/>
    </row>
    <row r="66" spans="35:35" x14ac:dyDescent="0.2">
      <c r="AI66" s="2"/>
    </row>
    <row r="67" spans="35:35" x14ac:dyDescent="0.2">
      <c r="AI67" s="2"/>
    </row>
    <row r="68" spans="35:35" x14ac:dyDescent="0.2">
      <c r="AI68" s="2"/>
    </row>
    <row r="69" spans="35:35" x14ac:dyDescent="0.2">
      <c r="AI69" s="2"/>
    </row>
    <row r="70" spans="35:35" x14ac:dyDescent="0.2">
      <c r="AI70" s="2"/>
    </row>
    <row r="71" spans="35:35" x14ac:dyDescent="0.2">
      <c r="AI71" s="2"/>
    </row>
    <row r="72" spans="35:35" x14ac:dyDescent="0.2">
      <c r="AI72" s="2"/>
    </row>
    <row r="73" spans="35:35" x14ac:dyDescent="0.2">
      <c r="AI73" s="2"/>
    </row>
    <row r="74" spans="35:35" x14ac:dyDescent="0.2">
      <c r="AI74" s="2"/>
    </row>
    <row r="75" spans="35:35" x14ac:dyDescent="0.2">
      <c r="AI75" s="2"/>
    </row>
    <row r="76" spans="35:35" x14ac:dyDescent="0.2">
      <c r="AI76" s="2"/>
    </row>
    <row r="77" spans="35:35" x14ac:dyDescent="0.2">
      <c r="AI77" s="2"/>
    </row>
    <row r="78" spans="35:35" x14ac:dyDescent="0.2">
      <c r="AI78" s="2"/>
    </row>
    <row r="79" spans="35:35" x14ac:dyDescent="0.2">
      <c r="AI79" s="2"/>
    </row>
    <row r="80" spans="35:35" x14ac:dyDescent="0.2">
      <c r="AI80" s="2"/>
    </row>
    <row r="81" spans="35:35" x14ac:dyDescent="0.2">
      <c r="AI81" s="2"/>
    </row>
    <row r="82" spans="35:35" x14ac:dyDescent="0.2">
      <c r="AI82" s="2"/>
    </row>
    <row r="83" spans="35:35" x14ac:dyDescent="0.2">
      <c r="AI83" s="2"/>
    </row>
    <row r="84" spans="35:35" x14ac:dyDescent="0.2">
      <c r="AI84" s="2"/>
    </row>
    <row r="85" spans="35:35" x14ac:dyDescent="0.2">
      <c r="AI85" s="2"/>
    </row>
    <row r="86" spans="35:35" x14ac:dyDescent="0.2">
      <c r="AI86" s="2"/>
    </row>
    <row r="87" spans="35:35" x14ac:dyDescent="0.2">
      <c r="AI87" s="2"/>
    </row>
    <row r="88" spans="35:35" x14ac:dyDescent="0.2">
      <c r="AI88" s="2"/>
    </row>
    <row r="89" spans="35:35" x14ac:dyDescent="0.2">
      <c r="AI89" s="2"/>
    </row>
    <row r="90" spans="35:35" x14ac:dyDescent="0.2">
      <c r="AI90" s="2"/>
    </row>
    <row r="91" spans="35:35" x14ac:dyDescent="0.2">
      <c r="AI91" s="2"/>
    </row>
    <row r="92" spans="35:35" x14ac:dyDescent="0.2">
      <c r="AI92" s="2"/>
    </row>
    <row r="93" spans="35:35" x14ac:dyDescent="0.2">
      <c r="AI93" s="2"/>
    </row>
    <row r="94" spans="35:35" x14ac:dyDescent="0.2">
      <c r="AI94" s="2"/>
    </row>
    <row r="95" spans="35:35" x14ac:dyDescent="0.2">
      <c r="AI95" s="2"/>
    </row>
    <row r="96" spans="35:35" x14ac:dyDescent="0.2">
      <c r="AI96" s="2"/>
    </row>
    <row r="97" spans="35:35" x14ac:dyDescent="0.2">
      <c r="AI97" s="2"/>
    </row>
    <row r="98" spans="35:35" x14ac:dyDescent="0.2">
      <c r="AI98" s="2"/>
    </row>
    <row r="99" spans="35:35" x14ac:dyDescent="0.2">
      <c r="AI99" s="2"/>
    </row>
  </sheetData>
  <sheetProtection selectLockedCells="1" selectUnlockedCells="1"/>
  <mergeCells count="63">
    <mergeCell ref="AG36:AI36"/>
    <mergeCell ref="B42:Y42"/>
    <mergeCell ref="R37:T37"/>
    <mergeCell ref="U37:W37"/>
    <mergeCell ref="X37:Z37"/>
    <mergeCell ref="AE40:AI40"/>
    <mergeCell ref="O37:Q37"/>
    <mergeCell ref="AA37:AC37"/>
    <mergeCell ref="AD37:AF37"/>
    <mergeCell ref="C37:E37"/>
    <mergeCell ref="F37:H37"/>
    <mergeCell ref="I37:K37"/>
    <mergeCell ref="AG37:AI37"/>
    <mergeCell ref="L37:N37"/>
    <mergeCell ref="C36:E36"/>
    <mergeCell ref="F36:H36"/>
    <mergeCell ref="AG45:AI45"/>
    <mergeCell ref="B40:V40"/>
    <mergeCell ref="Z40:AC40"/>
    <mergeCell ref="Z41:AD41"/>
    <mergeCell ref="AH41:AJ41"/>
    <mergeCell ref="B43:W43"/>
    <mergeCell ref="AG43:AI43"/>
    <mergeCell ref="B44:H44"/>
    <mergeCell ref="AG44:AI44"/>
    <mergeCell ref="I36:K36"/>
    <mergeCell ref="L36:N36"/>
    <mergeCell ref="R36:T36"/>
    <mergeCell ref="O36:Q36"/>
    <mergeCell ref="AA36:AC36"/>
    <mergeCell ref="AD36:AF36"/>
    <mergeCell ref="R35:T35"/>
    <mergeCell ref="X35:Z35"/>
    <mergeCell ref="AA35:AC35"/>
    <mergeCell ref="AD35:AF35"/>
    <mergeCell ref="U36:W36"/>
    <mergeCell ref="X36:Z36"/>
    <mergeCell ref="A1:AI1"/>
    <mergeCell ref="A2:AI2"/>
    <mergeCell ref="U3:W3"/>
    <mergeCell ref="U35:W35"/>
    <mergeCell ref="X3:Z3"/>
    <mergeCell ref="AA3:AC3"/>
    <mergeCell ref="AD3:AF3"/>
    <mergeCell ref="A28:A30"/>
    <mergeCell ref="AG31:AI31"/>
    <mergeCell ref="AG32:AH32"/>
    <mergeCell ref="AG33:AH33"/>
    <mergeCell ref="AG34:AH34"/>
    <mergeCell ref="C35:E35"/>
    <mergeCell ref="F35:H35"/>
    <mergeCell ref="I35:K35"/>
    <mergeCell ref="L35:N35"/>
    <mergeCell ref="O35:Q35"/>
    <mergeCell ref="AG35:AI35"/>
    <mergeCell ref="AJ2:AJ5"/>
    <mergeCell ref="C3:E3"/>
    <mergeCell ref="F3:H3"/>
    <mergeCell ref="I3:K3"/>
    <mergeCell ref="L3:N3"/>
    <mergeCell ref="O3:Q3"/>
    <mergeCell ref="R3:T3"/>
    <mergeCell ref="AG3:AI3"/>
  </mergeCells>
  <pageMargins left="0" right="0" top="0" bottom="0" header="0" footer="0"/>
  <pageSetup paperSize="5" scale="40" orientation="landscape" verticalDpi="300" r:id="rId1"/>
  <headerFooter scaleWithDoc="0" alignWithMargins="0">
    <oddFooter>Página &amp;P&amp;R2012 - INDICADORESESTRATÉGICOSUTsDGBD.JAN.DEZ.xls</oddFooter>
  </headerFooter>
  <rowBreaks count="2" manualBreakCount="2">
    <brk id="44" max="44" man="1"/>
    <brk id="45" max="45" man="1"/>
  </rowBreaks>
  <colBreaks count="1" manualBreakCount="1">
    <brk id="36" max="4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U471"/>
  <sheetViews>
    <sheetView tabSelected="1" zoomScale="90" zoomScaleNormal="90" zoomScaleSheetLayoutView="50" workbookViewId="0">
      <selection activeCell="A4" sqref="A4"/>
    </sheetView>
  </sheetViews>
  <sheetFormatPr defaultRowHeight="12.75" x14ac:dyDescent="0.2"/>
  <cols>
    <col min="1" max="1" width="12.7109375" style="281" customWidth="1"/>
    <col min="2" max="2" width="12.7109375" style="300" customWidth="1"/>
    <col min="3" max="3" width="16.7109375" style="300" customWidth="1"/>
    <col min="4" max="4" width="12.7109375" customWidth="1"/>
    <col min="5" max="5" width="39.85546875" style="302" customWidth="1"/>
    <col min="6" max="6" width="20.5703125" style="300" customWidth="1"/>
    <col min="7" max="8" width="14.42578125" style="281" customWidth="1"/>
    <col min="9" max="9" width="12.7109375" style="281" customWidth="1"/>
    <col min="10" max="10" width="12.5703125" style="281" customWidth="1"/>
    <col min="11" max="11" width="15" style="281" customWidth="1"/>
    <col min="12" max="12" width="15.42578125" style="300" customWidth="1"/>
    <col min="13" max="13" width="14.85546875" style="300" customWidth="1"/>
    <col min="14" max="14" width="18.140625" style="281" customWidth="1"/>
    <col min="15" max="16" width="9.140625" style="390" customWidth="1"/>
    <col min="17" max="17" width="9.140625" style="310" customWidth="1"/>
  </cols>
  <sheetData>
    <row r="1" spans="1:17" s="10" customFormat="1" ht="16.5" thickBot="1" x14ac:dyDescent="0.25">
      <c r="A1" s="460" t="s">
        <v>126</v>
      </c>
      <c r="B1" s="460"/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1"/>
      <c r="O1" s="307"/>
      <c r="P1" s="307"/>
      <c r="Q1" s="307"/>
    </row>
    <row r="2" spans="1:17" s="277" customFormat="1" ht="16.5" thickBot="1" x14ac:dyDescent="0.25">
      <c r="A2" s="462" t="s">
        <v>117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3"/>
      <c r="O2" s="307"/>
      <c r="P2" s="307"/>
      <c r="Q2" s="307"/>
    </row>
    <row r="3" spans="1:17" s="10" customFormat="1" ht="48.75" customHeight="1" thickBot="1" x14ac:dyDescent="0.25">
      <c r="A3" s="280" t="s">
        <v>80</v>
      </c>
      <c r="B3" s="299" t="s">
        <v>81</v>
      </c>
      <c r="C3" s="299" t="s">
        <v>82</v>
      </c>
      <c r="D3" s="280" t="s">
        <v>83</v>
      </c>
      <c r="E3" s="301" t="s">
        <v>84</v>
      </c>
      <c r="F3" s="299" t="s">
        <v>114</v>
      </c>
      <c r="G3" s="280" t="s">
        <v>85</v>
      </c>
      <c r="H3" s="280" t="s">
        <v>115</v>
      </c>
      <c r="I3" s="280" t="s">
        <v>86</v>
      </c>
      <c r="J3" s="280" t="s">
        <v>87</v>
      </c>
      <c r="K3" s="280" t="s">
        <v>88</v>
      </c>
      <c r="L3" s="303" t="s">
        <v>89</v>
      </c>
      <c r="M3" s="299" t="s">
        <v>116</v>
      </c>
      <c r="N3" s="304" t="s">
        <v>90</v>
      </c>
      <c r="O3" s="307"/>
      <c r="P3" s="307"/>
      <c r="Q3" s="308"/>
    </row>
    <row r="4" spans="1:17" s="279" customFormat="1" ht="32.25" customHeight="1" thickBot="1" x14ac:dyDescent="0.25">
      <c r="A4" s="319"/>
      <c r="B4" s="317"/>
      <c r="C4" s="283"/>
      <c r="D4" s="320"/>
      <c r="E4" s="321"/>
      <c r="F4" s="334"/>
      <c r="G4" s="285"/>
      <c r="H4" s="285"/>
      <c r="I4" s="282"/>
      <c r="J4" s="282"/>
      <c r="K4" s="317"/>
      <c r="L4" s="311" t="str">
        <f>IF(K4="-","Cancelado",IF(K4&gt;0,"Concluído","Em andamento"))</f>
        <v>Em andamento</v>
      </c>
      <c r="M4" s="312">
        <f>K4-A4</f>
        <v>0</v>
      </c>
      <c r="N4" s="313" t="str">
        <f>IFERROR(IF(O4&gt;=0,"Dentro do prazo","Fora do prazo"),"-")</f>
        <v>Dentro do prazo</v>
      </c>
      <c r="O4" s="389">
        <f>IFERROR(B4-K4,"-")</f>
        <v>0</v>
      </c>
      <c r="P4" s="389">
        <f>IFERROR(IF(K4=0,0,MONTH(K4)),"-")</f>
        <v>0</v>
      </c>
      <c r="Q4" s="309">
        <f>IFERROR(IF(A4=0,0,MONTH(A4)),"-")</f>
        <v>0</v>
      </c>
    </row>
    <row r="5" spans="1:17" s="279" customFormat="1" ht="32.25" customHeight="1" thickBot="1" x14ac:dyDescent="0.25">
      <c r="A5" s="315"/>
      <c r="B5" s="317"/>
      <c r="C5" s="283"/>
      <c r="D5" s="316"/>
      <c r="E5" s="383"/>
      <c r="F5" s="335"/>
      <c r="G5" s="285"/>
      <c r="H5" s="285"/>
      <c r="I5" s="282"/>
      <c r="J5" s="282"/>
      <c r="K5" s="317"/>
      <c r="L5" s="311" t="str">
        <f t="shared" ref="L5:L68" si="0">IF(K5="-","Cancelado",IF(K5&gt;0,"Concluído","Em andamento"))</f>
        <v>Em andamento</v>
      </c>
      <c r="M5" s="312">
        <f t="shared" ref="M5:M68" si="1">K5-A5</f>
        <v>0</v>
      </c>
      <c r="N5" s="313" t="str">
        <f t="shared" ref="N5:N68" si="2">IFERROR(IF(O5&gt;=0,"Dentro do prazo","Fora do prazo"),"-")</f>
        <v>Dentro do prazo</v>
      </c>
      <c r="O5" s="389">
        <f t="shared" ref="O5:O68" si="3">IFERROR(B5-K5,"-")</f>
        <v>0</v>
      </c>
      <c r="P5" s="389">
        <f t="shared" ref="P5:P68" si="4">IFERROR(IF(K5=0,0,MONTH(K5)),"-")</f>
        <v>0</v>
      </c>
      <c r="Q5" s="309">
        <f t="shared" ref="Q5:Q68" si="5">IFERROR(IF(A5=0,0,MONTH(A5)),"-")</f>
        <v>0</v>
      </c>
    </row>
    <row r="6" spans="1:17" s="279" customFormat="1" ht="32.25" customHeight="1" thickBot="1" x14ac:dyDescent="0.25">
      <c r="A6" s="323"/>
      <c r="B6" s="317"/>
      <c r="C6" s="283"/>
      <c r="D6" s="316"/>
      <c r="E6" s="322"/>
      <c r="F6" s="314"/>
      <c r="G6" s="285"/>
      <c r="H6" s="285"/>
      <c r="I6" s="282"/>
      <c r="J6" s="282"/>
      <c r="K6" s="317"/>
      <c r="L6" s="311" t="str">
        <f t="shared" si="0"/>
        <v>Em andamento</v>
      </c>
      <c r="M6" s="312">
        <f t="shared" si="1"/>
        <v>0</v>
      </c>
      <c r="N6" s="313" t="str">
        <f t="shared" si="2"/>
        <v>Dentro do prazo</v>
      </c>
      <c r="O6" s="389">
        <f t="shared" si="3"/>
        <v>0</v>
      </c>
      <c r="P6" s="389">
        <f t="shared" si="4"/>
        <v>0</v>
      </c>
      <c r="Q6" s="309">
        <f t="shared" si="5"/>
        <v>0</v>
      </c>
    </row>
    <row r="7" spans="1:17" s="279" customFormat="1" ht="32.25" customHeight="1" thickBot="1" x14ac:dyDescent="0.25">
      <c r="A7" s="314"/>
      <c r="B7" s="317"/>
      <c r="C7" s="283"/>
      <c r="D7" s="316"/>
      <c r="E7" s="322"/>
      <c r="F7" s="314"/>
      <c r="G7" s="285"/>
      <c r="H7" s="285"/>
      <c r="I7" s="282"/>
      <c r="J7" s="282"/>
      <c r="K7" s="317"/>
      <c r="L7" s="311" t="str">
        <f t="shared" si="0"/>
        <v>Em andamento</v>
      </c>
      <c r="M7" s="312">
        <f t="shared" si="1"/>
        <v>0</v>
      </c>
      <c r="N7" s="313" t="str">
        <f t="shared" si="2"/>
        <v>Dentro do prazo</v>
      </c>
      <c r="O7" s="389">
        <f t="shared" si="3"/>
        <v>0</v>
      </c>
      <c r="P7" s="389">
        <f t="shared" si="4"/>
        <v>0</v>
      </c>
      <c r="Q7" s="309">
        <f t="shared" si="5"/>
        <v>0</v>
      </c>
    </row>
    <row r="8" spans="1:17" s="279" customFormat="1" ht="32.25" customHeight="1" thickBot="1" x14ac:dyDescent="0.25">
      <c r="A8" s="317"/>
      <c r="B8" s="326"/>
      <c r="C8" s="283"/>
      <c r="D8" s="324"/>
      <c r="E8" s="325"/>
      <c r="F8" s="336"/>
      <c r="G8" s="339"/>
      <c r="H8" s="317"/>
      <c r="I8" s="317"/>
      <c r="J8" s="282"/>
      <c r="K8" s="326"/>
      <c r="L8" s="311" t="str">
        <f t="shared" si="0"/>
        <v>Em andamento</v>
      </c>
      <c r="M8" s="312">
        <f t="shared" si="1"/>
        <v>0</v>
      </c>
      <c r="N8" s="313" t="str">
        <f t="shared" si="2"/>
        <v>Dentro do prazo</v>
      </c>
      <c r="O8" s="389">
        <f t="shared" si="3"/>
        <v>0</v>
      </c>
      <c r="P8" s="389">
        <f t="shared" si="4"/>
        <v>0</v>
      </c>
      <c r="Q8" s="309">
        <f t="shared" si="5"/>
        <v>0</v>
      </c>
    </row>
    <row r="9" spans="1:17" s="279" customFormat="1" ht="32.25" customHeight="1" thickBot="1" x14ac:dyDescent="0.25">
      <c r="A9" s="317"/>
      <c r="B9" s="326"/>
      <c r="C9" s="283"/>
      <c r="D9" s="324"/>
      <c r="E9" s="327"/>
      <c r="F9" s="336"/>
      <c r="G9" s="339"/>
      <c r="H9" s="285"/>
      <c r="I9" s="317"/>
      <c r="J9" s="282"/>
      <c r="K9" s="326"/>
      <c r="L9" s="311" t="str">
        <f t="shared" si="0"/>
        <v>Em andamento</v>
      </c>
      <c r="M9" s="312">
        <f t="shared" si="1"/>
        <v>0</v>
      </c>
      <c r="N9" s="313" t="str">
        <f t="shared" si="2"/>
        <v>Dentro do prazo</v>
      </c>
      <c r="O9" s="389">
        <f t="shared" si="3"/>
        <v>0</v>
      </c>
      <c r="P9" s="389">
        <f t="shared" si="4"/>
        <v>0</v>
      </c>
      <c r="Q9" s="309">
        <f t="shared" si="5"/>
        <v>0</v>
      </c>
    </row>
    <row r="10" spans="1:17" s="279" customFormat="1" ht="32.25" customHeight="1" thickBot="1" x14ac:dyDescent="0.25">
      <c r="A10" s="317"/>
      <c r="B10" s="330"/>
      <c r="C10" s="283"/>
      <c r="D10" s="324"/>
      <c r="E10" s="328"/>
      <c r="F10" s="337"/>
      <c r="G10" s="339"/>
      <c r="H10" s="285"/>
      <c r="I10" s="317"/>
      <c r="J10" s="282"/>
      <c r="K10" s="330"/>
      <c r="L10" s="311" t="str">
        <f t="shared" si="0"/>
        <v>Em andamento</v>
      </c>
      <c r="M10" s="312">
        <f t="shared" si="1"/>
        <v>0</v>
      </c>
      <c r="N10" s="313" t="str">
        <f t="shared" si="2"/>
        <v>Dentro do prazo</v>
      </c>
      <c r="O10" s="389">
        <f t="shared" si="3"/>
        <v>0</v>
      </c>
      <c r="P10" s="389">
        <f t="shared" si="4"/>
        <v>0</v>
      </c>
      <c r="Q10" s="309">
        <f t="shared" si="5"/>
        <v>0</v>
      </c>
    </row>
    <row r="11" spans="1:17" s="279" customFormat="1" ht="36.75" customHeight="1" thickBot="1" x14ac:dyDescent="0.25">
      <c r="A11" s="315"/>
      <c r="B11" s="318"/>
      <c r="C11" s="283"/>
      <c r="D11" s="316"/>
      <c r="E11" s="331"/>
      <c r="F11" s="335"/>
      <c r="G11" s="285"/>
      <c r="H11" s="285"/>
      <c r="I11" s="282"/>
      <c r="J11" s="282"/>
      <c r="K11" s="318"/>
      <c r="L11" s="311" t="str">
        <f t="shared" si="0"/>
        <v>Em andamento</v>
      </c>
      <c r="M11" s="312">
        <f t="shared" si="1"/>
        <v>0</v>
      </c>
      <c r="N11" s="313" t="str">
        <f t="shared" si="2"/>
        <v>Dentro do prazo</v>
      </c>
      <c r="O11" s="389">
        <f t="shared" si="3"/>
        <v>0</v>
      </c>
      <c r="P11" s="389">
        <f t="shared" si="4"/>
        <v>0</v>
      </c>
      <c r="Q11" s="309">
        <f t="shared" si="5"/>
        <v>0</v>
      </c>
    </row>
    <row r="12" spans="1:17" s="279" customFormat="1" ht="32.25" customHeight="1" thickBot="1" x14ac:dyDescent="0.25">
      <c r="A12" s="317"/>
      <c r="B12" s="318"/>
      <c r="C12" s="283"/>
      <c r="D12" s="324"/>
      <c r="E12" s="332"/>
      <c r="F12" s="337"/>
      <c r="G12" s="285"/>
      <c r="H12" s="285"/>
      <c r="I12" s="317"/>
      <c r="J12" s="315"/>
      <c r="K12" s="318"/>
      <c r="L12" s="311" t="str">
        <f t="shared" si="0"/>
        <v>Em andamento</v>
      </c>
      <c r="M12" s="312">
        <f t="shared" si="1"/>
        <v>0</v>
      </c>
      <c r="N12" s="313" t="str">
        <f t="shared" si="2"/>
        <v>Dentro do prazo</v>
      </c>
      <c r="O12" s="389">
        <f t="shared" si="3"/>
        <v>0</v>
      </c>
      <c r="P12" s="389">
        <f t="shared" si="4"/>
        <v>0</v>
      </c>
      <c r="Q12" s="309">
        <f t="shared" si="5"/>
        <v>0</v>
      </c>
    </row>
    <row r="13" spans="1:17" s="279" customFormat="1" ht="32.25" customHeight="1" thickBot="1" x14ac:dyDescent="0.25">
      <c r="A13" s="317"/>
      <c r="B13" s="318"/>
      <c r="C13" s="283"/>
      <c r="D13" s="324"/>
      <c r="E13" s="391"/>
      <c r="F13" s="337"/>
      <c r="G13" s="285"/>
      <c r="H13" s="285"/>
      <c r="I13" s="317"/>
      <c r="J13" s="315"/>
      <c r="K13" s="318"/>
      <c r="L13" s="311" t="str">
        <f t="shared" si="0"/>
        <v>Em andamento</v>
      </c>
      <c r="M13" s="312">
        <f t="shared" si="1"/>
        <v>0</v>
      </c>
      <c r="N13" s="313" t="str">
        <f t="shared" si="2"/>
        <v>Dentro do prazo</v>
      </c>
      <c r="O13" s="389">
        <f t="shared" si="3"/>
        <v>0</v>
      </c>
      <c r="P13" s="389">
        <f t="shared" si="4"/>
        <v>0</v>
      </c>
      <c r="Q13" s="309">
        <f t="shared" si="5"/>
        <v>0</v>
      </c>
    </row>
    <row r="14" spans="1:17" s="279" customFormat="1" ht="32.25" customHeight="1" thickBot="1" x14ac:dyDescent="0.25">
      <c r="A14" s="317"/>
      <c r="B14" s="318"/>
      <c r="C14" s="283"/>
      <c r="D14" s="324"/>
      <c r="E14" s="332"/>
      <c r="F14" s="337"/>
      <c r="G14" s="317"/>
      <c r="H14" s="285"/>
      <c r="I14" s="317"/>
      <c r="J14" s="315"/>
      <c r="K14" s="318"/>
      <c r="L14" s="311" t="str">
        <f t="shared" si="0"/>
        <v>Em andamento</v>
      </c>
      <c r="M14" s="312">
        <f t="shared" si="1"/>
        <v>0</v>
      </c>
      <c r="N14" s="313" t="str">
        <f t="shared" si="2"/>
        <v>Dentro do prazo</v>
      </c>
      <c r="O14" s="389">
        <f t="shared" si="3"/>
        <v>0</v>
      </c>
      <c r="P14" s="389">
        <f t="shared" si="4"/>
        <v>0</v>
      </c>
      <c r="Q14" s="309">
        <f t="shared" si="5"/>
        <v>0</v>
      </c>
    </row>
    <row r="15" spans="1:17" s="279" customFormat="1" ht="32.25" customHeight="1" thickBot="1" x14ac:dyDescent="0.25">
      <c r="A15" s="317"/>
      <c r="B15" s="317"/>
      <c r="C15" s="283"/>
      <c r="D15" s="324"/>
      <c r="E15" s="327"/>
      <c r="F15" s="337"/>
      <c r="G15" s="317"/>
      <c r="H15" s="285"/>
      <c r="I15" s="317"/>
      <c r="J15" s="317"/>
      <c r="K15" s="317"/>
      <c r="L15" s="311" t="str">
        <f t="shared" si="0"/>
        <v>Em andamento</v>
      </c>
      <c r="M15" s="312">
        <f t="shared" si="1"/>
        <v>0</v>
      </c>
      <c r="N15" s="313" t="str">
        <f t="shared" si="2"/>
        <v>Dentro do prazo</v>
      </c>
      <c r="O15" s="389">
        <f t="shared" si="3"/>
        <v>0</v>
      </c>
      <c r="P15" s="389">
        <f t="shared" si="4"/>
        <v>0</v>
      </c>
      <c r="Q15" s="309">
        <f t="shared" si="5"/>
        <v>0</v>
      </c>
    </row>
    <row r="16" spans="1:17" s="279" customFormat="1" ht="32.25" customHeight="1" thickBot="1" x14ac:dyDescent="0.25">
      <c r="A16" s="317"/>
      <c r="B16" s="317"/>
      <c r="C16" s="283"/>
      <c r="D16" s="324"/>
      <c r="E16" s="392"/>
      <c r="F16" s="337"/>
      <c r="G16" s="285"/>
      <c r="H16" s="285"/>
      <c r="I16" s="317"/>
      <c r="J16" s="317"/>
      <c r="K16" s="317"/>
      <c r="L16" s="311" t="str">
        <f t="shared" si="0"/>
        <v>Em andamento</v>
      </c>
      <c r="M16" s="312">
        <f t="shared" si="1"/>
        <v>0</v>
      </c>
      <c r="N16" s="313" t="str">
        <f t="shared" si="2"/>
        <v>Dentro do prazo</v>
      </c>
      <c r="O16" s="389">
        <f t="shared" si="3"/>
        <v>0</v>
      </c>
      <c r="P16" s="389">
        <f t="shared" si="4"/>
        <v>0</v>
      </c>
      <c r="Q16" s="309">
        <f t="shared" si="5"/>
        <v>0</v>
      </c>
    </row>
    <row r="17" spans="1:17" s="279" customFormat="1" ht="32.25" customHeight="1" x14ac:dyDescent="0.2">
      <c r="A17" s="315"/>
      <c r="B17" s="318"/>
      <c r="C17" s="283"/>
      <c r="D17" s="316"/>
      <c r="E17" s="386"/>
      <c r="F17" s="387"/>
      <c r="G17" s="315"/>
      <c r="H17" s="285"/>
      <c r="I17" s="315"/>
      <c r="J17" s="315"/>
      <c r="K17" s="315"/>
      <c r="L17" s="311" t="str">
        <f t="shared" si="0"/>
        <v>Em andamento</v>
      </c>
      <c r="M17" s="312">
        <f t="shared" si="1"/>
        <v>0</v>
      </c>
      <c r="N17" s="313" t="str">
        <f t="shared" si="2"/>
        <v>Dentro do prazo</v>
      </c>
      <c r="O17" s="389">
        <f t="shared" si="3"/>
        <v>0</v>
      </c>
      <c r="P17" s="389">
        <f t="shared" si="4"/>
        <v>0</v>
      </c>
      <c r="Q17" s="309">
        <f t="shared" si="5"/>
        <v>0</v>
      </c>
    </row>
    <row r="18" spans="1:17" s="279" customFormat="1" ht="32.25" customHeight="1" thickBot="1" x14ac:dyDescent="0.25">
      <c r="A18" s="341"/>
      <c r="B18" s="341"/>
      <c r="C18" s="283"/>
      <c r="D18" s="384"/>
      <c r="E18" s="385"/>
      <c r="F18" s="352"/>
      <c r="G18" s="352"/>
      <c r="H18" s="285"/>
      <c r="I18" s="341"/>
      <c r="J18" s="341"/>
      <c r="K18" s="341"/>
      <c r="L18" s="278" t="str">
        <f t="shared" si="0"/>
        <v>Em andamento</v>
      </c>
      <c r="M18" s="306">
        <f t="shared" si="1"/>
        <v>0</v>
      </c>
      <c r="N18" s="305" t="str">
        <f t="shared" si="2"/>
        <v>Dentro do prazo</v>
      </c>
      <c r="O18" s="389">
        <f t="shared" si="3"/>
        <v>0</v>
      </c>
      <c r="P18" s="389">
        <f t="shared" si="4"/>
        <v>0</v>
      </c>
      <c r="Q18" s="309">
        <f t="shared" si="5"/>
        <v>0</v>
      </c>
    </row>
    <row r="19" spans="1:17" s="279" customFormat="1" ht="32.25" customHeight="1" thickBot="1" x14ac:dyDescent="0.25">
      <c r="A19" s="317"/>
      <c r="B19" s="317"/>
      <c r="C19" s="283"/>
      <c r="D19" s="324"/>
      <c r="E19" s="346"/>
      <c r="F19" s="329"/>
      <c r="G19" s="315"/>
      <c r="H19" s="285"/>
      <c r="I19" s="282"/>
      <c r="J19" s="341"/>
      <c r="K19" s="341"/>
      <c r="L19" s="311" t="str">
        <f t="shared" si="0"/>
        <v>Em andamento</v>
      </c>
      <c r="M19" s="312">
        <f t="shared" si="1"/>
        <v>0</v>
      </c>
      <c r="N19" s="313" t="str">
        <f t="shared" si="2"/>
        <v>Dentro do prazo</v>
      </c>
      <c r="O19" s="389">
        <f t="shared" si="3"/>
        <v>0</v>
      </c>
      <c r="P19" s="389">
        <f t="shared" si="4"/>
        <v>0</v>
      </c>
      <c r="Q19" s="309">
        <f t="shared" si="5"/>
        <v>0</v>
      </c>
    </row>
    <row r="20" spans="1:17" s="279" customFormat="1" ht="32.25" customHeight="1" thickBot="1" x14ac:dyDescent="0.25">
      <c r="A20" s="341"/>
      <c r="B20" s="317"/>
      <c r="C20" s="283"/>
      <c r="D20" s="324"/>
      <c r="E20" s="346"/>
      <c r="F20" s="317"/>
      <c r="G20" s="341"/>
      <c r="H20" s="285"/>
      <c r="I20" s="282"/>
      <c r="J20" s="282"/>
      <c r="K20" s="282"/>
      <c r="L20" s="311" t="str">
        <f t="shared" si="0"/>
        <v>Em andamento</v>
      </c>
      <c r="M20" s="312">
        <f t="shared" si="1"/>
        <v>0</v>
      </c>
      <c r="N20" s="313" t="str">
        <f t="shared" si="2"/>
        <v>Dentro do prazo</v>
      </c>
      <c r="O20" s="389">
        <f t="shared" si="3"/>
        <v>0</v>
      </c>
      <c r="P20" s="389">
        <f t="shared" si="4"/>
        <v>0</v>
      </c>
      <c r="Q20" s="309">
        <f t="shared" si="5"/>
        <v>0</v>
      </c>
    </row>
    <row r="21" spans="1:17" s="279" customFormat="1" ht="32.25" customHeight="1" thickBot="1" x14ac:dyDescent="0.25">
      <c r="A21" s="314"/>
      <c r="B21" s="317"/>
      <c r="C21" s="283"/>
      <c r="D21" s="316"/>
      <c r="E21" s="347"/>
      <c r="F21" s="317"/>
      <c r="G21" s="341"/>
      <c r="H21" s="285"/>
      <c r="I21" s="282"/>
      <c r="J21" s="282"/>
      <c r="K21" s="282"/>
      <c r="L21" s="311" t="str">
        <f t="shared" si="0"/>
        <v>Em andamento</v>
      </c>
      <c r="M21" s="312">
        <f t="shared" si="1"/>
        <v>0</v>
      </c>
      <c r="N21" s="313" t="str">
        <f t="shared" si="2"/>
        <v>Dentro do prazo</v>
      </c>
      <c r="O21" s="389">
        <f t="shared" si="3"/>
        <v>0</v>
      </c>
      <c r="P21" s="389">
        <f t="shared" si="4"/>
        <v>0</v>
      </c>
      <c r="Q21" s="309">
        <f t="shared" si="5"/>
        <v>0</v>
      </c>
    </row>
    <row r="22" spans="1:17" s="279" customFormat="1" ht="32.25" customHeight="1" thickBot="1" x14ac:dyDescent="0.25">
      <c r="A22" s="317"/>
      <c r="B22" s="315"/>
      <c r="C22" s="283"/>
      <c r="D22" s="324"/>
      <c r="E22" s="348"/>
      <c r="F22" s="317"/>
      <c r="G22" s="282"/>
      <c r="H22" s="285"/>
      <c r="I22" s="317"/>
      <c r="J22" s="318"/>
      <c r="K22" s="318"/>
      <c r="L22" s="311" t="str">
        <f t="shared" si="0"/>
        <v>Em andamento</v>
      </c>
      <c r="M22" s="312">
        <f t="shared" si="1"/>
        <v>0</v>
      </c>
      <c r="N22" s="313" t="str">
        <f t="shared" si="2"/>
        <v>Dentro do prazo</v>
      </c>
      <c r="O22" s="389">
        <f t="shared" si="3"/>
        <v>0</v>
      </c>
      <c r="P22" s="389">
        <f t="shared" si="4"/>
        <v>0</v>
      </c>
      <c r="Q22" s="309">
        <f t="shared" si="5"/>
        <v>0</v>
      </c>
    </row>
    <row r="23" spans="1:17" s="279" customFormat="1" ht="32.25" customHeight="1" thickBot="1" x14ac:dyDescent="0.25">
      <c r="A23" s="317"/>
      <c r="B23" s="317"/>
      <c r="C23" s="283"/>
      <c r="D23" s="324"/>
      <c r="E23" s="346"/>
      <c r="F23" s="317"/>
      <c r="G23" s="282"/>
      <c r="H23" s="285"/>
      <c r="I23" s="317"/>
      <c r="J23" s="353"/>
      <c r="K23" s="353"/>
      <c r="L23" s="311" t="str">
        <f t="shared" si="0"/>
        <v>Em andamento</v>
      </c>
      <c r="M23" s="312">
        <f t="shared" si="1"/>
        <v>0</v>
      </c>
      <c r="N23" s="313" t="str">
        <f t="shared" si="2"/>
        <v>Dentro do prazo</v>
      </c>
      <c r="O23" s="389">
        <f t="shared" si="3"/>
        <v>0</v>
      </c>
      <c r="P23" s="389">
        <f t="shared" si="4"/>
        <v>0</v>
      </c>
      <c r="Q23" s="309">
        <f t="shared" si="5"/>
        <v>0</v>
      </c>
    </row>
    <row r="24" spans="1:17" s="279" customFormat="1" ht="32.25" customHeight="1" thickBot="1" x14ac:dyDescent="0.25">
      <c r="A24" s="317"/>
      <c r="B24" s="317"/>
      <c r="C24" s="283"/>
      <c r="D24" s="324"/>
      <c r="E24" s="391"/>
      <c r="F24" s="329"/>
      <c r="G24" s="318"/>
      <c r="H24" s="285"/>
      <c r="I24" s="317"/>
      <c r="J24" s="336"/>
      <c r="K24" s="336"/>
      <c r="L24" s="311" t="str">
        <f t="shared" si="0"/>
        <v>Em andamento</v>
      </c>
      <c r="M24" s="312">
        <f t="shared" si="1"/>
        <v>0</v>
      </c>
      <c r="N24" s="313" t="str">
        <f t="shared" si="2"/>
        <v>Dentro do prazo</v>
      </c>
      <c r="O24" s="389">
        <f t="shared" si="3"/>
        <v>0</v>
      </c>
      <c r="P24" s="389">
        <f t="shared" si="4"/>
        <v>0</v>
      </c>
      <c r="Q24" s="309">
        <f t="shared" si="5"/>
        <v>0</v>
      </c>
    </row>
    <row r="25" spans="1:17" s="279" customFormat="1" ht="32.25" customHeight="1" thickBot="1" x14ac:dyDescent="0.25">
      <c r="A25" s="317"/>
      <c r="B25" s="315"/>
      <c r="C25" s="283"/>
      <c r="D25" s="324"/>
      <c r="E25" s="338"/>
      <c r="F25" s="329"/>
      <c r="G25" s="353"/>
      <c r="H25" s="285"/>
      <c r="I25" s="341"/>
      <c r="J25" s="341"/>
      <c r="K25" s="341"/>
      <c r="L25" s="311" t="str">
        <f t="shared" si="0"/>
        <v>Em andamento</v>
      </c>
      <c r="M25" s="312">
        <f t="shared" si="1"/>
        <v>0</v>
      </c>
      <c r="N25" s="313" t="str">
        <f t="shared" si="2"/>
        <v>Dentro do prazo</v>
      </c>
      <c r="O25" s="389">
        <f t="shared" si="3"/>
        <v>0</v>
      </c>
      <c r="P25" s="389">
        <f t="shared" si="4"/>
        <v>0</v>
      </c>
      <c r="Q25" s="309">
        <f t="shared" si="5"/>
        <v>0</v>
      </c>
    </row>
    <row r="26" spans="1:17" s="279" customFormat="1" ht="32.25" customHeight="1" thickBot="1" x14ac:dyDescent="0.25">
      <c r="A26" s="317"/>
      <c r="B26" s="315"/>
      <c r="C26" s="283"/>
      <c r="D26" s="324"/>
      <c r="E26" s="346"/>
      <c r="F26" s="329"/>
      <c r="G26" s="336"/>
      <c r="H26" s="285"/>
      <c r="I26" s="317"/>
      <c r="J26" s="315"/>
      <c r="K26" s="315"/>
      <c r="L26" s="311" t="str">
        <f t="shared" si="0"/>
        <v>Em andamento</v>
      </c>
      <c r="M26" s="312">
        <f t="shared" si="1"/>
        <v>0</v>
      </c>
      <c r="N26" s="313" t="str">
        <f t="shared" si="2"/>
        <v>Dentro do prazo</v>
      </c>
      <c r="O26" s="389">
        <f t="shared" si="3"/>
        <v>0</v>
      </c>
      <c r="P26" s="389">
        <f t="shared" si="4"/>
        <v>0</v>
      </c>
      <c r="Q26" s="309">
        <f t="shared" si="5"/>
        <v>0</v>
      </c>
    </row>
    <row r="27" spans="1:17" s="279" customFormat="1" ht="32.25" customHeight="1" thickBot="1" x14ac:dyDescent="0.25">
      <c r="A27" s="317"/>
      <c r="B27" s="315"/>
      <c r="C27" s="283"/>
      <c r="D27" s="324"/>
      <c r="E27" s="393"/>
      <c r="F27" s="329"/>
      <c r="G27" s="341"/>
      <c r="H27" s="285"/>
      <c r="I27" s="282"/>
      <c r="J27" s="282"/>
      <c r="K27" s="315"/>
      <c r="L27" s="311" t="str">
        <f t="shared" si="0"/>
        <v>Em andamento</v>
      </c>
      <c r="M27" s="312">
        <f t="shared" si="1"/>
        <v>0</v>
      </c>
      <c r="N27" s="313" t="str">
        <f t="shared" si="2"/>
        <v>Dentro do prazo</v>
      </c>
      <c r="O27" s="389">
        <f t="shared" si="3"/>
        <v>0</v>
      </c>
      <c r="P27" s="389">
        <f t="shared" si="4"/>
        <v>0</v>
      </c>
      <c r="Q27" s="309">
        <f t="shared" si="5"/>
        <v>0</v>
      </c>
    </row>
    <row r="28" spans="1:17" s="279" customFormat="1" ht="32.25" customHeight="1" thickBot="1" x14ac:dyDescent="0.25">
      <c r="A28" s="317"/>
      <c r="B28" s="315"/>
      <c r="C28" s="283"/>
      <c r="D28" s="324"/>
      <c r="E28" s="338"/>
      <c r="F28" s="329"/>
      <c r="G28" s="352"/>
      <c r="H28" s="285"/>
      <c r="I28" s="317"/>
      <c r="J28" s="315"/>
      <c r="K28" s="315"/>
      <c r="L28" s="311" t="str">
        <f t="shared" si="0"/>
        <v>Em andamento</v>
      </c>
      <c r="M28" s="312">
        <f t="shared" si="1"/>
        <v>0</v>
      </c>
      <c r="N28" s="313" t="str">
        <f t="shared" si="2"/>
        <v>Dentro do prazo</v>
      </c>
      <c r="O28" s="389">
        <f t="shared" si="3"/>
        <v>0</v>
      </c>
      <c r="P28" s="389">
        <f t="shared" si="4"/>
        <v>0</v>
      </c>
      <c r="Q28" s="309">
        <f t="shared" si="5"/>
        <v>0</v>
      </c>
    </row>
    <row r="29" spans="1:17" s="279" customFormat="1" ht="32.25" customHeight="1" thickBot="1" x14ac:dyDescent="0.25">
      <c r="A29" s="342"/>
      <c r="B29" s="342"/>
      <c r="C29" s="283"/>
      <c r="D29" s="344"/>
      <c r="E29" s="349"/>
      <c r="F29" s="354"/>
      <c r="G29" s="342"/>
      <c r="H29" s="354"/>
      <c r="I29" s="342"/>
      <c r="J29" s="342"/>
      <c r="K29" s="342"/>
      <c r="L29" s="311" t="str">
        <f t="shared" si="0"/>
        <v>Em andamento</v>
      </c>
      <c r="M29" s="312">
        <f t="shared" si="1"/>
        <v>0</v>
      </c>
      <c r="N29" s="313" t="str">
        <f t="shared" si="2"/>
        <v>Dentro do prazo</v>
      </c>
      <c r="O29" s="389">
        <f t="shared" si="3"/>
        <v>0</v>
      </c>
      <c r="P29" s="389">
        <f t="shared" si="4"/>
        <v>0</v>
      </c>
      <c r="Q29" s="309">
        <f t="shared" si="5"/>
        <v>0</v>
      </c>
    </row>
    <row r="30" spans="1:17" s="279" customFormat="1" ht="32.25" customHeight="1" thickBot="1" x14ac:dyDescent="0.25">
      <c r="A30" s="340"/>
      <c r="B30" s="282"/>
      <c r="C30" s="343"/>
      <c r="D30" s="343"/>
      <c r="E30" s="363"/>
      <c r="F30" s="364"/>
      <c r="G30" s="285"/>
      <c r="H30" s="285"/>
      <c r="I30" s="352"/>
      <c r="J30" s="341"/>
      <c r="K30" s="317"/>
      <c r="L30" s="311" t="str">
        <f t="shared" si="0"/>
        <v>Em andamento</v>
      </c>
      <c r="M30" s="312">
        <f t="shared" si="1"/>
        <v>0</v>
      </c>
      <c r="N30" s="313" t="str">
        <f t="shared" si="2"/>
        <v>Dentro do prazo</v>
      </c>
      <c r="O30" s="389">
        <f t="shared" si="3"/>
        <v>0</v>
      </c>
      <c r="P30" s="389">
        <f t="shared" si="4"/>
        <v>0</v>
      </c>
      <c r="Q30" s="309">
        <f t="shared" si="5"/>
        <v>0</v>
      </c>
    </row>
    <row r="31" spans="1:17" s="279" customFormat="1" ht="32.25" customHeight="1" thickBot="1" x14ac:dyDescent="0.25">
      <c r="A31" s="317"/>
      <c r="B31" s="282"/>
      <c r="C31" s="324"/>
      <c r="D31" s="324"/>
      <c r="E31" s="346"/>
      <c r="F31" s="337"/>
      <c r="G31" s="352"/>
      <c r="H31" s="285"/>
      <c r="I31" s="282"/>
      <c r="J31" s="341"/>
      <c r="K31" s="317"/>
      <c r="L31" s="311" t="str">
        <f t="shared" si="0"/>
        <v>Em andamento</v>
      </c>
      <c r="M31" s="312">
        <f t="shared" si="1"/>
        <v>0</v>
      </c>
      <c r="N31" s="313" t="str">
        <f t="shared" si="2"/>
        <v>Dentro do prazo</v>
      </c>
      <c r="O31" s="389">
        <f t="shared" si="3"/>
        <v>0</v>
      </c>
      <c r="P31" s="389">
        <f t="shared" si="4"/>
        <v>0</v>
      </c>
      <c r="Q31" s="309">
        <f t="shared" si="5"/>
        <v>0</v>
      </c>
    </row>
    <row r="32" spans="1:17" s="279" customFormat="1" ht="45" customHeight="1" thickBot="1" x14ac:dyDescent="0.25">
      <c r="A32" s="341"/>
      <c r="B32" s="282"/>
      <c r="C32" s="324"/>
      <c r="D32" s="324"/>
      <c r="E32" s="346"/>
      <c r="F32" s="336"/>
      <c r="G32" s="352"/>
      <c r="H32" s="285"/>
      <c r="I32" s="282"/>
      <c r="J32" s="282"/>
      <c r="K32" s="317"/>
      <c r="L32" s="311" t="str">
        <f t="shared" si="0"/>
        <v>Em andamento</v>
      </c>
      <c r="M32" s="312">
        <f t="shared" si="1"/>
        <v>0</v>
      </c>
      <c r="N32" s="313" t="str">
        <f t="shared" si="2"/>
        <v>Dentro do prazo</v>
      </c>
      <c r="O32" s="389">
        <f t="shared" si="3"/>
        <v>0</v>
      </c>
      <c r="P32" s="389">
        <f t="shared" si="4"/>
        <v>0</v>
      </c>
      <c r="Q32" s="309">
        <f t="shared" si="5"/>
        <v>0</v>
      </c>
    </row>
    <row r="33" spans="1:17" s="279" customFormat="1" ht="32.25" customHeight="1" thickBot="1" x14ac:dyDescent="0.25">
      <c r="A33" s="336"/>
      <c r="B33" s="282"/>
      <c r="C33" s="324"/>
      <c r="D33" s="324"/>
      <c r="E33" s="346"/>
      <c r="F33" s="336"/>
      <c r="G33" s="352"/>
      <c r="H33" s="285"/>
      <c r="I33" s="317"/>
      <c r="J33" s="341"/>
      <c r="K33" s="317"/>
      <c r="L33" s="311" t="str">
        <f t="shared" si="0"/>
        <v>Em andamento</v>
      </c>
      <c r="M33" s="312">
        <f t="shared" si="1"/>
        <v>0</v>
      </c>
      <c r="N33" s="313" t="str">
        <f t="shared" si="2"/>
        <v>Dentro do prazo</v>
      </c>
      <c r="O33" s="389">
        <f t="shared" si="3"/>
        <v>0</v>
      </c>
      <c r="P33" s="389">
        <f t="shared" si="4"/>
        <v>0</v>
      </c>
      <c r="Q33" s="309">
        <f t="shared" si="5"/>
        <v>0</v>
      </c>
    </row>
    <row r="34" spans="1:17" s="279" customFormat="1" ht="42.75" customHeight="1" thickBot="1" x14ac:dyDescent="0.25">
      <c r="A34" s="317"/>
      <c r="B34" s="282"/>
      <c r="C34" s="324"/>
      <c r="D34" s="324"/>
      <c r="E34" s="346"/>
      <c r="F34" s="336"/>
      <c r="G34" s="317"/>
      <c r="H34" s="285"/>
      <c r="I34" s="341"/>
      <c r="J34" s="318"/>
      <c r="K34" s="326"/>
      <c r="L34" s="311" t="str">
        <f t="shared" si="0"/>
        <v>Em andamento</v>
      </c>
      <c r="M34" s="312">
        <f t="shared" si="1"/>
        <v>0</v>
      </c>
      <c r="N34" s="313" t="str">
        <f t="shared" si="2"/>
        <v>Dentro do prazo</v>
      </c>
      <c r="O34" s="389">
        <f t="shared" si="3"/>
        <v>0</v>
      </c>
      <c r="P34" s="389">
        <f t="shared" si="4"/>
        <v>0</v>
      </c>
      <c r="Q34" s="309">
        <f t="shared" si="5"/>
        <v>0</v>
      </c>
    </row>
    <row r="35" spans="1:17" s="279" customFormat="1" ht="32.25" customHeight="1" thickBot="1" x14ac:dyDescent="0.25">
      <c r="A35" s="317"/>
      <c r="B35" s="282"/>
      <c r="C35" s="324"/>
      <c r="D35" s="324"/>
      <c r="E35" s="346"/>
      <c r="F35" s="336"/>
      <c r="G35" s="317"/>
      <c r="H35" s="285"/>
      <c r="I35" s="336"/>
      <c r="J35" s="353"/>
      <c r="K35" s="369"/>
      <c r="L35" s="311" t="str">
        <f t="shared" si="0"/>
        <v>Em andamento</v>
      </c>
      <c r="M35" s="312">
        <f t="shared" si="1"/>
        <v>0</v>
      </c>
      <c r="N35" s="313" t="str">
        <f t="shared" si="2"/>
        <v>Dentro do prazo</v>
      </c>
      <c r="O35" s="389">
        <f t="shared" si="3"/>
        <v>0</v>
      </c>
      <c r="P35" s="389">
        <f t="shared" si="4"/>
        <v>0</v>
      </c>
      <c r="Q35" s="309">
        <f t="shared" si="5"/>
        <v>0</v>
      </c>
    </row>
    <row r="36" spans="1:17" s="279" customFormat="1" ht="32.25" customHeight="1" thickBot="1" x14ac:dyDescent="0.25">
      <c r="A36" s="317"/>
      <c r="B36" s="282"/>
      <c r="C36" s="324"/>
      <c r="D36" s="324"/>
      <c r="E36" s="346"/>
      <c r="F36" s="337"/>
      <c r="G36" s="317"/>
      <c r="H36" s="285"/>
      <c r="I36" s="317"/>
      <c r="J36" s="336"/>
      <c r="K36" s="370"/>
      <c r="L36" s="311" t="str">
        <f t="shared" si="0"/>
        <v>Em andamento</v>
      </c>
      <c r="M36" s="312">
        <f t="shared" si="1"/>
        <v>0</v>
      </c>
      <c r="N36" s="313" t="str">
        <f t="shared" si="2"/>
        <v>Dentro do prazo</v>
      </c>
      <c r="O36" s="389">
        <f t="shared" si="3"/>
        <v>0</v>
      </c>
      <c r="P36" s="389">
        <f t="shared" si="4"/>
        <v>0</v>
      </c>
      <c r="Q36" s="309">
        <f t="shared" si="5"/>
        <v>0</v>
      </c>
    </row>
    <row r="37" spans="1:17" s="279" customFormat="1" ht="32.25" customHeight="1" thickBot="1" x14ac:dyDescent="0.25">
      <c r="A37" s="317"/>
      <c r="B37" s="282"/>
      <c r="C37" s="324"/>
      <c r="D37" s="357"/>
      <c r="E37" s="346"/>
      <c r="F37" s="337"/>
      <c r="G37" s="317"/>
      <c r="H37" s="285"/>
      <c r="I37" s="341"/>
      <c r="J37" s="341"/>
      <c r="K37" s="318"/>
      <c r="L37" s="311" t="str">
        <f t="shared" si="0"/>
        <v>Em andamento</v>
      </c>
      <c r="M37" s="312">
        <f t="shared" si="1"/>
        <v>0</v>
      </c>
      <c r="N37" s="313" t="str">
        <f t="shared" si="2"/>
        <v>Dentro do prazo</v>
      </c>
      <c r="O37" s="389">
        <f t="shared" si="3"/>
        <v>0</v>
      </c>
      <c r="P37" s="389">
        <f t="shared" si="4"/>
        <v>0</v>
      </c>
      <c r="Q37" s="309">
        <f t="shared" si="5"/>
        <v>0</v>
      </c>
    </row>
    <row r="38" spans="1:17" s="279" customFormat="1" ht="32.25" customHeight="1" thickBot="1" x14ac:dyDescent="0.25">
      <c r="A38" s="317"/>
      <c r="B38" s="282"/>
      <c r="C38" s="324"/>
      <c r="D38" s="357"/>
      <c r="E38" s="347"/>
      <c r="F38" s="337"/>
      <c r="G38" s="285"/>
      <c r="H38" s="285"/>
      <c r="I38" s="341"/>
      <c r="J38" s="341"/>
      <c r="K38" s="318"/>
      <c r="L38" s="311" t="str">
        <f t="shared" si="0"/>
        <v>Em andamento</v>
      </c>
      <c r="M38" s="312">
        <f t="shared" si="1"/>
        <v>0</v>
      </c>
      <c r="N38" s="313" t="str">
        <f t="shared" si="2"/>
        <v>Dentro do prazo</v>
      </c>
      <c r="O38" s="389">
        <f t="shared" si="3"/>
        <v>0</v>
      </c>
      <c r="P38" s="389">
        <f t="shared" si="4"/>
        <v>0</v>
      </c>
      <c r="Q38" s="309">
        <f t="shared" si="5"/>
        <v>0</v>
      </c>
    </row>
    <row r="39" spans="1:17" s="279" customFormat="1" ht="32.25" customHeight="1" thickBot="1" x14ac:dyDescent="0.25">
      <c r="A39" s="317"/>
      <c r="B39" s="282"/>
      <c r="C39" s="324"/>
      <c r="D39" s="357"/>
      <c r="E39" s="347"/>
      <c r="F39" s="337"/>
      <c r="G39" s="285"/>
      <c r="H39" s="285"/>
      <c r="I39" s="341"/>
      <c r="J39" s="341"/>
      <c r="K39" s="318"/>
      <c r="L39" s="311" t="str">
        <f t="shared" si="0"/>
        <v>Em andamento</v>
      </c>
      <c r="M39" s="312">
        <f t="shared" si="1"/>
        <v>0</v>
      </c>
      <c r="N39" s="313" t="str">
        <f t="shared" si="2"/>
        <v>Dentro do prazo</v>
      </c>
      <c r="O39" s="389">
        <f t="shared" si="3"/>
        <v>0</v>
      </c>
      <c r="P39" s="389">
        <f t="shared" si="4"/>
        <v>0</v>
      </c>
      <c r="Q39" s="309">
        <f t="shared" si="5"/>
        <v>0</v>
      </c>
    </row>
    <row r="40" spans="1:17" s="279" customFormat="1" ht="32.25" customHeight="1" thickBot="1" x14ac:dyDescent="0.25">
      <c r="A40" s="317"/>
      <c r="B40" s="282"/>
      <c r="C40" s="324"/>
      <c r="D40" s="359"/>
      <c r="E40" s="365"/>
      <c r="F40" s="366"/>
      <c r="G40" s="285"/>
      <c r="H40" s="285"/>
      <c r="I40" s="341"/>
      <c r="J40" s="341"/>
      <c r="K40" s="388"/>
      <c r="L40" s="311" t="str">
        <f t="shared" si="0"/>
        <v>Em andamento</v>
      </c>
      <c r="M40" s="312">
        <f t="shared" si="1"/>
        <v>0</v>
      </c>
      <c r="N40" s="313" t="str">
        <f t="shared" si="2"/>
        <v>Dentro do prazo</v>
      </c>
      <c r="O40" s="389">
        <f t="shared" si="3"/>
        <v>0</v>
      </c>
      <c r="P40" s="389">
        <f t="shared" si="4"/>
        <v>0</v>
      </c>
      <c r="Q40" s="309">
        <f t="shared" si="5"/>
        <v>0</v>
      </c>
    </row>
    <row r="41" spans="1:17" s="279" customFormat="1" ht="32.25" customHeight="1" thickBot="1" x14ac:dyDescent="0.25">
      <c r="A41" s="317"/>
      <c r="B41" s="282"/>
      <c r="C41" s="324"/>
      <c r="D41" s="359"/>
      <c r="E41" s="346"/>
      <c r="F41" s="366"/>
      <c r="G41" s="285"/>
      <c r="H41" s="285"/>
      <c r="I41" s="341"/>
      <c r="J41" s="341"/>
      <c r="K41" s="318"/>
      <c r="L41" s="311" t="str">
        <f t="shared" si="0"/>
        <v>Em andamento</v>
      </c>
      <c r="M41" s="312">
        <f t="shared" si="1"/>
        <v>0</v>
      </c>
      <c r="N41" s="313" t="str">
        <f t="shared" si="2"/>
        <v>Dentro do prazo</v>
      </c>
      <c r="O41" s="389">
        <f t="shared" si="3"/>
        <v>0</v>
      </c>
      <c r="P41" s="389">
        <f t="shared" si="4"/>
        <v>0</v>
      </c>
      <c r="Q41" s="309">
        <f t="shared" si="5"/>
        <v>0</v>
      </c>
    </row>
    <row r="42" spans="1:17" s="279" customFormat="1" ht="32.25" customHeight="1" thickBot="1" x14ac:dyDescent="0.25">
      <c r="A42" s="317"/>
      <c r="B42" s="282"/>
      <c r="C42" s="324"/>
      <c r="D42" s="359"/>
      <c r="E42" s="346"/>
      <c r="F42" s="366"/>
      <c r="G42" s="285"/>
      <c r="H42" s="285"/>
      <c r="I42" s="341"/>
      <c r="J42" s="341"/>
      <c r="K42" s="318"/>
      <c r="L42" s="311" t="str">
        <f t="shared" si="0"/>
        <v>Em andamento</v>
      </c>
      <c r="M42" s="312">
        <f t="shared" si="1"/>
        <v>0</v>
      </c>
      <c r="N42" s="313" t="str">
        <f t="shared" si="2"/>
        <v>Dentro do prazo</v>
      </c>
      <c r="O42" s="389">
        <f t="shared" si="3"/>
        <v>0</v>
      </c>
      <c r="P42" s="389">
        <f t="shared" si="4"/>
        <v>0</v>
      </c>
      <c r="Q42" s="309">
        <f t="shared" si="5"/>
        <v>0</v>
      </c>
    </row>
    <row r="43" spans="1:17" s="279" customFormat="1" ht="32.25" customHeight="1" thickBot="1" x14ac:dyDescent="0.25">
      <c r="A43" s="317"/>
      <c r="B43" s="282"/>
      <c r="C43" s="324"/>
      <c r="D43" s="324"/>
      <c r="E43" s="346"/>
      <c r="F43" s="366"/>
      <c r="G43" s="285"/>
      <c r="H43" s="285"/>
      <c r="I43" s="341"/>
      <c r="J43" s="341"/>
      <c r="K43" s="318"/>
      <c r="L43" s="311" t="str">
        <f t="shared" si="0"/>
        <v>Em andamento</v>
      </c>
      <c r="M43" s="312">
        <f t="shared" si="1"/>
        <v>0</v>
      </c>
      <c r="N43" s="313" t="str">
        <f t="shared" si="2"/>
        <v>Dentro do prazo</v>
      </c>
      <c r="O43" s="389">
        <f t="shared" si="3"/>
        <v>0</v>
      </c>
      <c r="P43" s="389">
        <f t="shared" si="4"/>
        <v>0</v>
      </c>
      <c r="Q43" s="309">
        <f t="shared" si="5"/>
        <v>0</v>
      </c>
    </row>
    <row r="44" spans="1:17" s="279" customFormat="1" ht="32.25" customHeight="1" thickBot="1" x14ac:dyDescent="0.25">
      <c r="A44" s="317"/>
      <c r="B44" s="282"/>
      <c r="C44" s="324"/>
      <c r="D44" s="324"/>
      <c r="E44" s="346"/>
      <c r="F44" s="366"/>
      <c r="G44" s="352"/>
      <c r="H44" s="285"/>
      <c r="I44" s="341"/>
      <c r="J44" s="341"/>
      <c r="K44" s="318"/>
      <c r="L44" s="311" t="str">
        <f t="shared" si="0"/>
        <v>Em andamento</v>
      </c>
      <c r="M44" s="312">
        <f t="shared" si="1"/>
        <v>0</v>
      </c>
      <c r="N44" s="313" t="str">
        <f t="shared" si="2"/>
        <v>Dentro do prazo</v>
      </c>
      <c r="O44" s="389">
        <f t="shared" si="3"/>
        <v>0</v>
      </c>
      <c r="P44" s="389">
        <f t="shared" si="4"/>
        <v>0</v>
      </c>
      <c r="Q44" s="309">
        <f t="shared" si="5"/>
        <v>0</v>
      </c>
    </row>
    <row r="45" spans="1:17" s="279" customFormat="1" ht="32.25" customHeight="1" thickBot="1" x14ac:dyDescent="0.25">
      <c r="A45" s="317"/>
      <c r="B45" s="282"/>
      <c r="C45" s="324"/>
      <c r="D45" s="358"/>
      <c r="E45" s="348"/>
      <c r="F45" s="366"/>
      <c r="G45" s="285"/>
      <c r="H45" s="285"/>
      <c r="I45" s="282"/>
      <c r="J45" s="282"/>
      <c r="K45" s="318"/>
      <c r="L45" s="311" t="str">
        <f t="shared" si="0"/>
        <v>Em andamento</v>
      </c>
      <c r="M45" s="312">
        <f t="shared" si="1"/>
        <v>0</v>
      </c>
      <c r="N45" s="313" t="str">
        <f t="shared" si="2"/>
        <v>Dentro do prazo</v>
      </c>
      <c r="O45" s="389">
        <f t="shared" si="3"/>
        <v>0</v>
      </c>
      <c r="P45" s="389">
        <f t="shared" si="4"/>
        <v>0</v>
      </c>
      <c r="Q45" s="309">
        <f t="shared" si="5"/>
        <v>0</v>
      </c>
    </row>
    <row r="46" spans="1:17" s="279" customFormat="1" ht="32.25" customHeight="1" thickBot="1" x14ac:dyDescent="0.25">
      <c r="A46" s="317"/>
      <c r="B46" s="282"/>
      <c r="C46" s="324"/>
      <c r="D46" s="358"/>
      <c r="E46" s="348"/>
      <c r="F46" s="366"/>
      <c r="G46" s="285"/>
      <c r="H46" s="285"/>
      <c r="I46" s="282"/>
      <c r="J46" s="282"/>
      <c r="K46" s="318"/>
      <c r="L46" s="311" t="str">
        <f t="shared" si="0"/>
        <v>Em andamento</v>
      </c>
      <c r="M46" s="312">
        <f t="shared" si="1"/>
        <v>0</v>
      </c>
      <c r="N46" s="313" t="str">
        <f t="shared" si="2"/>
        <v>Dentro do prazo</v>
      </c>
      <c r="O46" s="389">
        <f t="shared" si="3"/>
        <v>0</v>
      </c>
      <c r="P46" s="389">
        <f t="shared" si="4"/>
        <v>0</v>
      </c>
      <c r="Q46" s="309">
        <f t="shared" si="5"/>
        <v>0</v>
      </c>
    </row>
    <row r="47" spans="1:17" s="279" customFormat="1" ht="32.25" customHeight="1" thickBot="1" x14ac:dyDescent="0.25">
      <c r="A47" s="317"/>
      <c r="B47" s="282"/>
      <c r="C47" s="324"/>
      <c r="D47" s="359"/>
      <c r="E47" s="346"/>
      <c r="F47" s="366"/>
      <c r="G47" s="285"/>
      <c r="H47" s="285"/>
      <c r="I47" s="336"/>
      <c r="J47" s="336"/>
      <c r="K47" s="318"/>
      <c r="L47" s="311" t="str">
        <f t="shared" si="0"/>
        <v>Em andamento</v>
      </c>
      <c r="M47" s="312">
        <f t="shared" si="1"/>
        <v>0</v>
      </c>
      <c r="N47" s="313" t="str">
        <f t="shared" si="2"/>
        <v>Dentro do prazo</v>
      </c>
      <c r="O47" s="389">
        <f t="shared" si="3"/>
        <v>0</v>
      </c>
      <c r="P47" s="389">
        <f t="shared" si="4"/>
        <v>0</v>
      </c>
      <c r="Q47" s="309">
        <f t="shared" si="5"/>
        <v>0</v>
      </c>
    </row>
    <row r="48" spans="1:17" s="279" customFormat="1" ht="32.25" customHeight="1" thickBot="1" x14ac:dyDescent="0.25">
      <c r="A48" s="317"/>
      <c r="B48" s="282"/>
      <c r="C48" s="324"/>
      <c r="D48" s="359"/>
      <c r="E48" s="346"/>
      <c r="F48" s="366"/>
      <c r="G48" s="285"/>
      <c r="H48" s="285"/>
      <c r="I48" s="336"/>
      <c r="J48" s="336"/>
      <c r="K48" s="318"/>
      <c r="L48" s="311" t="str">
        <f t="shared" si="0"/>
        <v>Em andamento</v>
      </c>
      <c r="M48" s="312">
        <f t="shared" si="1"/>
        <v>0</v>
      </c>
      <c r="N48" s="313" t="str">
        <f t="shared" si="2"/>
        <v>Dentro do prazo</v>
      </c>
      <c r="O48" s="389">
        <f t="shared" si="3"/>
        <v>0</v>
      </c>
      <c r="P48" s="389">
        <f t="shared" si="4"/>
        <v>0</v>
      </c>
      <c r="Q48" s="309">
        <f t="shared" si="5"/>
        <v>0</v>
      </c>
    </row>
    <row r="49" spans="1:17" s="279" customFormat="1" ht="32.25" customHeight="1" thickBot="1" x14ac:dyDescent="0.25">
      <c r="A49" s="355"/>
      <c r="B49" s="282"/>
      <c r="C49" s="356"/>
      <c r="D49" s="360"/>
      <c r="E49" s="367"/>
      <c r="F49" s="368"/>
      <c r="G49" s="285"/>
      <c r="H49" s="285"/>
      <c r="I49" s="355"/>
      <c r="J49" s="371"/>
      <c r="K49" s="372"/>
      <c r="L49" s="311" t="str">
        <f t="shared" si="0"/>
        <v>Em andamento</v>
      </c>
      <c r="M49" s="312">
        <f t="shared" si="1"/>
        <v>0</v>
      </c>
      <c r="N49" s="313" t="str">
        <f t="shared" si="2"/>
        <v>Dentro do prazo</v>
      </c>
      <c r="O49" s="389">
        <f t="shared" si="3"/>
        <v>0</v>
      </c>
      <c r="P49" s="389">
        <f t="shared" si="4"/>
        <v>0</v>
      </c>
      <c r="Q49" s="309">
        <f t="shared" si="5"/>
        <v>0</v>
      </c>
    </row>
    <row r="50" spans="1:17" s="279" customFormat="1" ht="32.25" customHeight="1" thickBot="1" x14ac:dyDescent="0.25">
      <c r="A50" s="340"/>
      <c r="B50" s="318"/>
      <c r="C50" s="343"/>
      <c r="D50" s="374"/>
      <c r="E50" s="363"/>
      <c r="F50" s="364"/>
      <c r="G50" s="285"/>
      <c r="H50" s="285"/>
      <c r="I50" s="352"/>
      <c r="J50" s="352"/>
      <c r="K50" s="318"/>
      <c r="L50" s="311" t="str">
        <f t="shared" si="0"/>
        <v>Em andamento</v>
      </c>
      <c r="M50" s="312">
        <f t="shared" si="1"/>
        <v>0</v>
      </c>
      <c r="N50" s="313" t="str">
        <f t="shared" si="2"/>
        <v>Dentro do prazo</v>
      </c>
      <c r="O50" s="389">
        <f t="shared" si="3"/>
        <v>0</v>
      </c>
      <c r="P50" s="389">
        <f t="shared" si="4"/>
        <v>0</v>
      </c>
      <c r="Q50" s="309">
        <f t="shared" si="5"/>
        <v>0</v>
      </c>
    </row>
    <row r="51" spans="1:17" s="279" customFormat="1" ht="32.25" customHeight="1" thickBot="1" x14ac:dyDescent="0.25">
      <c r="A51" s="317"/>
      <c r="B51" s="317"/>
      <c r="C51" s="324"/>
      <c r="D51" s="375"/>
      <c r="E51" s="346"/>
      <c r="F51" s="337"/>
      <c r="G51" s="285"/>
      <c r="H51" s="285"/>
      <c r="I51" s="282"/>
      <c r="J51" s="341"/>
      <c r="K51" s="317"/>
      <c r="L51" s="311" t="str">
        <f t="shared" si="0"/>
        <v>Em andamento</v>
      </c>
      <c r="M51" s="312">
        <f t="shared" si="1"/>
        <v>0</v>
      </c>
      <c r="N51" s="313" t="str">
        <f t="shared" si="2"/>
        <v>Dentro do prazo</v>
      </c>
      <c r="O51" s="389">
        <f t="shared" si="3"/>
        <v>0</v>
      </c>
      <c r="P51" s="389">
        <f t="shared" si="4"/>
        <v>0</v>
      </c>
      <c r="Q51" s="309">
        <f t="shared" si="5"/>
        <v>0</v>
      </c>
    </row>
    <row r="52" spans="1:17" s="279" customFormat="1" ht="32.25" customHeight="1" thickBot="1" x14ac:dyDescent="0.25">
      <c r="A52" s="341"/>
      <c r="B52" s="317"/>
      <c r="C52" s="324"/>
      <c r="D52" s="375"/>
      <c r="E52" s="391"/>
      <c r="F52" s="336"/>
      <c r="G52" s="285"/>
      <c r="H52" s="285"/>
      <c r="I52" s="282"/>
      <c r="J52" s="282"/>
      <c r="K52" s="317"/>
      <c r="L52" s="311" t="str">
        <f t="shared" si="0"/>
        <v>Em andamento</v>
      </c>
      <c r="M52" s="312">
        <f t="shared" si="1"/>
        <v>0</v>
      </c>
      <c r="N52" s="313" t="str">
        <f t="shared" si="2"/>
        <v>Dentro do prazo</v>
      </c>
      <c r="O52" s="389">
        <f t="shared" si="3"/>
        <v>0</v>
      </c>
      <c r="P52" s="389">
        <f t="shared" si="4"/>
        <v>0</v>
      </c>
      <c r="Q52" s="309">
        <f t="shared" si="5"/>
        <v>0</v>
      </c>
    </row>
    <row r="53" spans="1:17" s="279" customFormat="1" ht="32.25" customHeight="1" thickBot="1" x14ac:dyDescent="0.25">
      <c r="A53" s="336"/>
      <c r="B53" s="318"/>
      <c r="C53" s="324"/>
      <c r="D53" s="375"/>
      <c r="E53" s="346"/>
      <c r="F53" s="336"/>
      <c r="G53" s="317"/>
      <c r="H53" s="285"/>
      <c r="I53" s="352"/>
      <c r="J53" s="352"/>
      <c r="K53" s="318"/>
      <c r="L53" s="311" t="str">
        <f t="shared" si="0"/>
        <v>Em andamento</v>
      </c>
      <c r="M53" s="312">
        <f t="shared" si="1"/>
        <v>0</v>
      </c>
      <c r="N53" s="313" t="str">
        <f t="shared" si="2"/>
        <v>Dentro do prazo</v>
      </c>
      <c r="O53" s="389">
        <f t="shared" si="3"/>
        <v>0</v>
      </c>
      <c r="P53" s="389">
        <f t="shared" si="4"/>
        <v>0</v>
      </c>
      <c r="Q53" s="309">
        <f t="shared" si="5"/>
        <v>0</v>
      </c>
    </row>
    <row r="54" spans="1:17" s="279" customFormat="1" ht="32.25" customHeight="1" thickBot="1" x14ac:dyDescent="0.25">
      <c r="A54" s="317"/>
      <c r="B54" s="318"/>
      <c r="C54" s="324"/>
      <c r="D54" s="375"/>
      <c r="E54" s="347"/>
      <c r="F54" s="336"/>
      <c r="G54" s="352"/>
      <c r="H54" s="285"/>
      <c r="I54" s="352"/>
      <c r="J54" s="352"/>
      <c r="K54" s="318"/>
      <c r="L54" s="311" t="str">
        <f t="shared" si="0"/>
        <v>Em andamento</v>
      </c>
      <c r="M54" s="312">
        <f t="shared" si="1"/>
        <v>0</v>
      </c>
      <c r="N54" s="313" t="str">
        <f t="shared" si="2"/>
        <v>Dentro do prazo</v>
      </c>
      <c r="O54" s="389">
        <f t="shared" si="3"/>
        <v>0</v>
      </c>
      <c r="P54" s="389">
        <f t="shared" si="4"/>
        <v>0</v>
      </c>
      <c r="Q54" s="309">
        <f t="shared" si="5"/>
        <v>0</v>
      </c>
    </row>
    <row r="55" spans="1:17" s="279" customFormat="1" ht="32.25" customHeight="1" thickBot="1" x14ac:dyDescent="0.25">
      <c r="A55" s="317"/>
      <c r="B55" s="318"/>
      <c r="C55" s="324"/>
      <c r="D55" s="375"/>
      <c r="E55" s="346"/>
      <c r="F55" s="336"/>
      <c r="G55" s="352"/>
      <c r="H55" s="285"/>
      <c r="I55" s="352"/>
      <c r="J55" s="352"/>
      <c r="K55" s="318"/>
      <c r="L55" s="311" t="str">
        <f t="shared" si="0"/>
        <v>Em andamento</v>
      </c>
      <c r="M55" s="312">
        <f t="shared" si="1"/>
        <v>0</v>
      </c>
      <c r="N55" s="313" t="str">
        <f t="shared" si="2"/>
        <v>Dentro do prazo</v>
      </c>
      <c r="O55" s="389">
        <f t="shared" si="3"/>
        <v>0</v>
      </c>
      <c r="P55" s="389">
        <f t="shared" si="4"/>
        <v>0</v>
      </c>
      <c r="Q55" s="309">
        <f t="shared" si="5"/>
        <v>0</v>
      </c>
    </row>
    <row r="56" spans="1:17" s="279" customFormat="1" ht="32.25" customHeight="1" thickBot="1" x14ac:dyDescent="0.25">
      <c r="A56" s="317"/>
      <c r="B56" s="370"/>
      <c r="C56" s="324"/>
      <c r="D56" s="375"/>
      <c r="E56" s="346"/>
      <c r="F56" s="337"/>
      <c r="G56" s="317"/>
      <c r="H56" s="285"/>
      <c r="I56" s="317"/>
      <c r="J56" s="336"/>
      <c r="K56" s="370"/>
      <c r="L56" s="311" t="str">
        <f t="shared" si="0"/>
        <v>Em andamento</v>
      </c>
      <c r="M56" s="312">
        <f t="shared" si="1"/>
        <v>0</v>
      </c>
      <c r="N56" s="313" t="str">
        <f t="shared" si="2"/>
        <v>Dentro do prazo</v>
      </c>
      <c r="O56" s="389">
        <f t="shared" si="3"/>
        <v>0</v>
      </c>
      <c r="P56" s="389">
        <f t="shared" si="4"/>
        <v>0</v>
      </c>
      <c r="Q56" s="309">
        <f t="shared" si="5"/>
        <v>0</v>
      </c>
    </row>
    <row r="57" spans="1:17" s="279" customFormat="1" ht="32.25" customHeight="1" thickBot="1" x14ac:dyDescent="0.25">
      <c r="A57" s="317"/>
      <c r="B57" s="318"/>
      <c r="C57" s="324"/>
      <c r="D57" s="376"/>
      <c r="E57" s="346"/>
      <c r="F57" s="337"/>
      <c r="G57" s="352"/>
      <c r="H57" s="285"/>
      <c r="I57" s="282"/>
      <c r="J57" s="341"/>
      <c r="K57" s="318"/>
      <c r="L57" s="311" t="str">
        <f t="shared" si="0"/>
        <v>Em andamento</v>
      </c>
      <c r="M57" s="312">
        <f t="shared" si="1"/>
        <v>0</v>
      </c>
      <c r="N57" s="313" t="str">
        <f t="shared" si="2"/>
        <v>Dentro do prazo</v>
      </c>
      <c r="O57" s="389">
        <f t="shared" si="3"/>
        <v>0</v>
      </c>
      <c r="P57" s="389">
        <f t="shared" si="4"/>
        <v>0</v>
      </c>
      <c r="Q57" s="309">
        <f t="shared" si="5"/>
        <v>0</v>
      </c>
    </row>
    <row r="58" spans="1:17" s="279" customFormat="1" ht="32.25" customHeight="1" thickBot="1" x14ac:dyDescent="0.25">
      <c r="A58" s="317"/>
      <c r="B58" s="318"/>
      <c r="C58" s="324"/>
      <c r="D58" s="376"/>
      <c r="E58" s="346"/>
      <c r="F58" s="337"/>
      <c r="G58" s="352"/>
      <c r="H58" s="285"/>
      <c r="I58" s="341"/>
      <c r="J58" s="341"/>
      <c r="K58" s="318"/>
      <c r="L58" s="311" t="str">
        <f t="shared" si="0"/>
        <v>Em andamento</v>
      </c>
      <c r="M58" s="312">
        <f t="shared" si="1"/>
        <v>0</v>
      </c>
      <c r="N58" s="313" t="str">
        <f t="shared" si="2"/>
        <v>Dentro do prazo</v>
      </c>
      <c r="O58" s="389">
        <f t="shared" si="3"/>
        <v>0</v>
      </c>
      <c r="P58" s="389">
        <f t="shared" si="4"/>
        <v>0</v>
      </c>
      <c r="Q58" s="309">
        <f t="shared" si="5"/>
        <v>0</v>
      </c>
    </row>
    <row r="59" spans="1:17" s="279" customFormat="1" ht="32.25" customHeight="1" thickBot="1" x14ac:dyDescent="0.25">
      <c r="A59" s="317"/>
      <c r="B59" s="353"/>
      <c r="C59" s="324"/>
      <c r="D59" s="376"/>
      <c r="E59" s="391"/>
      <c r="F59" s="337"/>
      <c r="G59" s="352"/>
      <c r="H59" s="285"/>
      <c r="I59" s="341"/>
      <c r="J59" s="341"/>
      <c r="K59" s="353"/>
      <c r="L59" s="311" t="str">
        <f t="shared" si="0"/>
        <v>Em andamento</v>
      </c>
      <c r="M59" s="312">
        <f t="shared" si="1"/>
        <v>0</v>
      </c>
      <c r="N59" s="313" t="str">
        <f t="shared" si="2"/>
        <v>Dentro do prazo</v>
      </c>
      <c r="O59" s="389">
        <f t="shared" si="3"/>
        <v>0</v>
      </c>
      <c r="P59" s="389">
        <f t="shared" si="4"/>
        <v>0</v>
      </c>
      <c r="Q59" s="309">
        <f t="shared" si="5"/>
        <v>0</v>
      </c>
    </row>
    <row r="60" spans="1:17" s="279" customFormat="1" ht="32.25" customHeight="1" thickBot="1" x14ac:dyDescent="0.25">
      <c r="A60" s="317"/>
      <c r="B60" s="341"/>
      <c r="C60" s="324"/>
      <c r="D60" s="375"/>
      <c r="E60" s="346"/>
      <c r="F60" s="366"/>
      <c r="G60" s="352"/>
      <c r="H60" s="285"/>
      <c r="I60" s="341"/>
      <c r="J60" s="341"/>
      <c r="K60" s="341"/>
      <c r="L60" s="311" t="str">
        <f t="shared" si="0"/>
        <v>Em andamento</v>
      </c>
      <c r="M60" s="312">
        <f t="shared" si="1"/>
        <v>0</v>
      </c>
      <c r="N60" s="313" t="str">
        <f t="shared" si="2"/>
        <v>Dentro do prazo</v>
      </c>
      <c r="O60" s="389">
        <f t="shared" si="3"/>
        <v>0</v>
      </c>
      <c r="P60" s="389">
        <f t="shared" si="4"/>
        <v>0</v>
      </c>
      <c r="Q60" s="309">
        <f t="shared" si="5"/>
        <v>0</v>
      </c>
    </row>
    <row r="61" spans="1:17" s="279" customFormat="1" ht="32.25" customHeight="1" thickBot="1" x14ac:dyDescent="0.25">
      <c r="A61" s="317"/>
      <c r="B61" s="318"/>
      <c r="C61" s="324"/>
      <c r="D61" s="375"/>
      <c r="E61" s="346"/>
      <c r="F61" s="366"/>
      <c r="G61" s="285"/>
      <c r="H61" s="285"/>
      <c r="I61" s="341"/>
      <c r="J61" s="341"/>
      <c r="K61" s="318"/>
      <c r="L61" s="311" t="str">
        <f t="shared" si="0"/>
        <v>Em andamento</v>
      </c>
      <c r="M61" s="312">
        <f t="shared" si="1"/>
        <v>0</v>
      </c>
      <c r="N61" s="313" t="str">
        <f t="shared" si="2"/>
        <v>Dentro do prazo</v>
      </c>
      <c r="O61" s="389">
        <f t="shared" si="3"/>
        <v>0</v>
      </c>
      <c r="P61" s="389">
        <f t="shared" si="4"/>
        <v>0</v>
      </c>
      <c r="Q61" s="309">
        <f t="shared" si="5"/>
        <v>0</v>
      </c>
    </row>
    <row r="62" spans="1:17" s="279" customFormat="1" ht="32.25" customHeight="1" thickBot="1" x14ac:dyDescent="0.25">
      <c r="A62" s="342"/>
      <c r="B62" s="333"/>
      <c r="C62" s="344"/>
      <c r="D62" s="377"/>
      <c r="E62" s="367"/>
      <c r="F62" s="378"/>
      <c r="G62" s="285"/>
      <c r="H62" s="285"/>
      <c r="I62" s="342"/>
      <c r="J62" s="342"/>
      <c r="K62" s="333"/>
      <c r="L62" s="311" t="str">
        <f t="shared" si="0"/>
        <v>Em andamento</v>
      </c>
      <c r="M62" s="312">
        <f t="shared" si="1"/>
        <v>0</v>
      </c>
      <c r="N62" s="313" t="str">
        <f t="shared" si="2"/>
        <v>Dentro do prazo</v>
      </c>
      <c r="O62" s="389">
        <f t="shared" si="3"/>
        <v>0</v>
      </c>
      <c r="P62" s="389">
        <f t="shared" si="4"/>
        <v>0</v>
      </c>
      <c r="Q62" s="309">
        <f t="shared" si="5"/>
        <v>0</v>
      </c>
    </row>
    <row r="63" spans="1:17" s="279" customFormat="1" ht="32.25" customHeight="1" thickBot="1" x14ac:dyDescent="0.25">
      <c r="A63" s="340"/>
      <c r="B63" s="318"/>
      <c r="C63" s="343"/>
      <c r="D63" s="343"/>
      <c r="E63" s="394"/>
      <c r="F63" s="350"/>
      <c r="G63" s="352"/>
      <c r="H63" s="285"/>
      <c r="I63" s="341"/>
      <c r="J63" s="341"/>
      <c r="K63" s="318"/>
      <c r="L63" s="311" t="str">
        <f t="shared" si="0"/>
        <v>Em andamento</v>
      </c>
      <c r="M63" s="312">
        <f t="shared" si="1"/>
        <v>0</v>
      </c>
      <c r="N63" s="313" t="str">
        <f t="shared" si="2"/>
        <v>Dentro do prazo</v>
      </c>
      <c r="O63" s="389">
        <f t="shared" si="3"/>
        <v>0</v>
      </c>
      <c r="P63" s="389">
        <f t="shared" si="4"/>
        <v>0</v>
      </c>
      <c r="Q63" s="309">
        <f t="shared" si="5"/>
        <v>0</v>
      </c>
    </row>
    <row r="64" spans="1:17" s="279" customFormat="1" ht="32.25" customHeight="1" thickBot="1" x14ac:dyDescent="0.25">
      <c r="A64" s="317"/>
      <c r="B64" s="317"/>
      <c r="C64" s="324"/>
      <c r="D64" s="324"/>
      <c r="E64" s="346"/>
      <c r="F64" s="329"/>
      <c r="G64" s="352"/>
      <c r="H64" s="285"/>
      <c r="I64" s="282"/>
      <c r="J64" s="341"/>
      <c r="K64" s="317"/>
      <c r="L64" s="311" t="str">
        <f t="shared" si="0"/>
        <v>Em andamento</v>
      </c>
      <c r="M64" s="312">
        <f t="shared" si="1"/>
        <v>0</v>
      </c>
      <c r="N64" s="313" t="str">
        <f t="shared" si="2"/>
        <v>Dentro do prazo</v>
      </c>
      <c r="O64" s="389">
        <f t="shared" si="3"/>
        <v>0</v>
      </c>
      <c r="P64" s="389">
        <f t="shared" si="4"/>
        <v>0</v>
      </c>
      <c r="Q64" s="309">
        <f t="shared" si="5"/>
        <v>0</v>
      </c>
    </row>
    <row r="65" spans="1:17" s="279" customFormat="1" ht="32.25" customHeight="1" thickBot="1" x14ac:dyDescent="0.25">
      <c r="A65" s="341"/>
      <c r="B65" s="317"/>
      <c r="C65" s="324"/>
      <c r="D65" s="324"/>
      <c r="E65" s="346"/>
      <c r="F65" s="317"/>
      <c r="G65" s="352"/>
      <c r="H65" s="285"/>
      <c r="I65" s="282"/>
      <c r="J65" s="282"/>
      <c r="K65" s="317"/>
      <c r="L65" s="311" t="str">
        <f t="shared" si="0"/>
        <v>Em andamento</v>
      </c>
      <c r="M65" s="312">
        <f t="shared" si="1"/>
        <v>0</v>
      </c>
      <c r="N65" s="313" t="str">
        <f t="shared" si="2"/>
        <v>Dentro do prazo</v>
      </c>
      <c r="O65" s="389">
        <f t="shared" si="3"/>
        <v>0</v>
      </c>
      <c r="P65" s="389">
        <f t="shared" si="4"/>
        <v>0</v>
      </c>
      <c r="Q65" s="309">
        <f t="shared" si="5"/>
        <v>0</v>
      </c>
    </row>
    <row r="66" spans="1:17" s="279" customFormat="1" ht="32.25" customHeight="1" thickBot="1" x14ac:dyDescent="0.25">
      <c r="A66" s="336"/>
      <c r="B66" s="318"/>
      <c r="C66" s="324"/>
      <c r="D66" s="324"/>
      <c r="E66" s="327"/>
      <c r="F66" s="317"/>
      <c r="G66" s="352"/>
      <c r="H66" s="285"/>
      <c r="I66" s="341"/>
      <c r="J66" s="341"/>
      <c r="K66" s="318"/>
      <c r="L66" s="311" t="str">
        <f t="shared" si="0"/>
        <v>Em andamento</v>
      </c>
      <c r="M66" s="312">
        <f t="shared" si="1"/>
        <v>0</v>
      </c>
      <c r="N66" s="313" t="str">
        <f t="shared" si="2"/>
        <v>Dentro do prazo</v>
      </c>
      <c r="O66" s="389">
        <f t="shared" si="3"/>
        <v>0</v>
      </c>
      <c r="P66" s="389">
        <f t="shared" si="4"/>
        <v>0</v>
      </c>
      <c r="Q66" s="309">
        <f t="shared" si="5"/>
        <v>0</v>
      </c>
    </row>
    <row r="67" spans="1:17" s="279" customFormat="1" ht="32.25" customHeight="1" thickBot="1" x14ac:dyDescent="0.25">
      <c r="A67" s="336"/>
      <c r="B67" s="318"/>
      <c r="C67" s="324"/>
      <c r="D67" s="324"/>
      <c r="E67" s="327"/>
      <c r="F67" s="317"/>
      <c r="G67" s="285"/>
      <c r="H67" s="285"/>
      <c r="I67" s="352"/>
      <c r="J67" s="352"/>
      <c r="K67" s="318"/>
      <c r="L67" s="311" t="str">
        <f t="shared" si="0"/>
        <v>Em andamento</v>
      </c>
      <c r="M67" s="312">
        <f t="shared" si="1"/>
        <v>0</v>
      </c>
      <c r="N67" s="313" t="str">
        <f t="shared" si="2"/>
        <v>Dentro do prazo</v>
      </c>
      <c r="O67" s="389">
        <f t="shared" si="3"/>
        <v>0</v>
      </c>
      <c r="P67" s="389">
        <f t="shared" si="4"/>
        <v>0</v>
      </c>
      <c r="Q67" s="309">
        <f t="shared" si="5"/>
        <v>0</v>
      </c>
    </row>
    <row r="68" spans="1:17" s="279" customFormat="1" ht="32.25" customHeight="1" thickBot="1" x14ac:dyDescent="0.25">
      <c r="A68" s="317"/>
      <c r="B68" s="318"/>
      <c r="C68" s="324"/>
      <c r="D68" s="324"/>
      <c r="E68" s="327"/>
      <c r="F68" s="317"/>
      <c r="G68" s="352"/>
      <c r="H68" s="285"/>
      <c r="I68" s="341"/>
      <c r="J68" s="341"/>
      <c r="K68" s="318"/>
      <c r="L68" s="311" t="str">
        <f t="shared" si="0"/>
        <v>Em andamento</v>
      </c>
      <c r="M68" s="312">
        <f t="shared" si="1"/>
        <v>0</v>
      </c>
      <c r="N68" s="313" t="str">
        <f t="shared" si="2"/>
        <v>Dentro do prazo</v>
      </c>
      <c r="O68" s="389">
        <f t="shared" si="3"/>
        <v>0</v>
      </c>
      <c r="P68" s="389">
        <f t="shared" si="4"/>
        <v>0</v>
      </c>
      <c r="Q68" s="309">
        <f t="shared" si="5"/>
        <v>0</v>
      </c>
    </row>
    <row r="69" spans="1:17" s="279" customFormat="1" ht="32.25" customHeight="1" thickBot="1" x14ac:dyDescent="0.25">
      <c r="A69" s="317"/>
      <c r="B69" s="370"/>
      <c r="C69" s="324"/>
      <c r="D69" s="324"/>
      <c r="E69" s="392"/>
      <c r="F69" s="329"/>
      <c r="G69" s="317"/>
      <c r="H69" s="285"/>
      <c r="I69" s="317"/>
      <c r="J69" s="336"/>
      <c r="K69" s="370"/>
      <c r="L69" s="311" t="str">
        <f t="shared" ref="L69:L94" si="6">IF(K69="-","Cancelado",IF(K69&gt;0,"Concluído","Em andamento"))</f>
        <v>Em andamento</v>
      </c>
      <c r="M69" s="312">
        <f t="shared" ref="M69:M94" si="7">K69-A69</f>
        <v>0</v>
      </c>
      <c r="N69" s="313" t="str">
        <f t="shared" ref="N69:N94" si="8">IFERROR(IF(O69&gt;=0,"Dentro do prazo","Fora do prazo"),"-")</f>
        <v>Dentro do prazo</v>
      </c>
      <c r="O69" s="389">
        <f t="shared" ref="O69:O94" si="9">IFERROR(B69-K69,"-")</f>
        <v>0</v>
      </c>
      <c r="P69" s="389">
        <f t="shared" ref="P69:P94" si="10">IFERROR(IF(K69=0,0,MONTH(K69)),"-")</f>
        <v>0</v>
      </c>
      <c r="Q69" s="309">
        <f t="shared" ref="Q69:Q94" si="11">IFERROR(IF(A69=0,0,MONTH(A69)),"-")</f>
        <v>0</v>
      </c>
    </row>
    <row r="70" spans="1:17" s="279" customFormat="1" ht="32.25" customHeight="1" thickBot="1" x14ac:dyDescent="0.25">
      <c r="A70" s="317"/>
      <c r="B70" s="318"/>
      <c r="C70" s="324"/>
      <c r="D70" s="357"/>
      <c r="E70" s="327"/>
      <c r="F70" s="329"/>
      <c r="G70" s="352"/>
      <c r="H70" s="285"/>
      <c r="I70" s="282"/>
      <c r="J70" s="341"/>
      <c r="K70" s="318"/>
      <c r="L70" s="311" t="str">
        <f t="shared" si="6"/>
        <v>Em andamento</v>
      </c>
      <c r="M70" s="312">
        <f t="shared" si="7"/>
        <v>0</v>
      </c>
      <c r="N70" s="313" t="str">
        <f t="shared" si="8"/>
        <v>Dentro do prazo</v>
      </c>
      <c r="O70" s="389">
        <f t="shared" si="9"/>
        <v>0</v>
      </c>
      <c r="P70" s="389">
        <f t="shared" si="10"/>
        <v>0</v>
      </c>
      <c r="Q70" s="309">
        <f t="shared" si="11"/>
        <v>0</v>
      </c>
    </row>
    <row r="71" spans="1:17" s="279" customFormat="1" ht="32.25" customHeight="1" thickBot="1" x14ac:dyDescent="0.25">
      <c r="A71" s="317"/>
      <c r="B71" s="318"/>
      <c r="C71" s="324"/>
      <c r="D71" s="357"/>
      <c r="E71" s="346"/>
      <c r="F71" s="329"/>
      <c r="G71" s="352"/>
      <c r="H71" s="285"/>
      <c r="I71" s="341"/>
      <c r="J71" s="341"/>
      <c r="K71" s="318"/>
      <c r="L71" s="311" t="str">
        <f t="shared" si="6"/>
        <v>Em andamento</v>
      </c>
      <c r="M71" s="312">
        <f t="shared" si="7"/>
        <v>0</v>
      </c>
      <c r="N71" s="313" t="str">
        <f t="shared" si="8"/>
        <v>Dentro do prazo</v>
      </c>
      <c r="O71" s="389">
        <f t="shared" si="9"/>
        <v>0</v>
      </c>
      <c r="P71" s="389">
        <f t="shared" si="10"/>
        <v>0</v>
      </c>
      <c r="Q71" s="309">
        <f t="shared" si="11"/>
        <v>0</v>
      </c>
    </row>
    <row r="72" spans="1:17" s="279" customFormat="1" ht="32.25" customHeight="1" thickBot="1" x14ac:dyDescent="0.25">
      <c r="A72" s="317"/>
      <c r="B72" s="353"/>
      <c r="C72" s="324"/>
      <c r="D72" s="357"/>
      <c r="E72" s="327"/>
      <c r="F72" s="329"/>
      <c r="G72" s="352"/>
      <c r="H72" s="285"/>
      <c r="I72" s="341"/>
      <c r="J72" s="341"/>
      <c r="K72" s="353"/>
      <c r="L72" s="311" t="str">
        <f t="shared" si="6"/>
        <v>Em andamento</v>
      </c>
      <c r="M72" s="312">
        <f t="shared" si="7"/>
        <v>0</v>
      </c>
      <c r="N72" s="313" t="str">
        <f t="shared" si="8"/>
        <v>Dentro do prazo</v>
      </c>
      <c r="O72" s="389">
        <f t="shared" si="9"/>
        <v>0</v>
      </c>
      <c r="P72" s="389">
        <f t="shared" si="10"/>
        <v>0</v>
      </c>
      <c r="Q72" s="309">
        <f t="shared" si="11"/>
        <v>0</v>
      </c>
    </row>
    <row r="73" spans="1:17" s="279" customFormat="1" ht="32.25" customHeight="1" thickBot="1" x14ac:dyDescent="0.25">
      <c r="A73" s="317"/>
      <c r="B73" s="341"/>
      <c r="C73" s="324"/>
      <c r="D73" s="324"/>
      <c r="E73" s="322"/>
      <c r="F73" s="361"/>
      <c r="G73" s="285"/>
      <c r="H73" s="285"/>
      <c r="I73" s="352"/>
      <c r="J73" s="352"/>
      <c r="K73" s="341"/>
      <c r="L73" s="311" t="str">
        <f t="shared" si="6"/>
        <v>Em andamento</v>
      </c>
      <c r="M73" s="312">
        <f t="shared" si="7"/>
        <v>0</v>
      </c>
      <c r="N73" s="313" t="str">
        <f t="shared" si="8"/>
        <v>Dentro do prazo</v>
      </c>
      <c r="O73" s="389">
        <f t="shared" si="9"/>
        <v>0</v>
      </c>
      <c r="P73" s="389">
        <f t="shared" si="10"/>
        <v>0</v>
      </c>
      <c r="Q73" s="309">
        <f t="shared" si="11"/>
        <v>0</v>
      </c>
    </row>
    <row r="74" spans="1:17" s="279" customFormat="1" ht="32.25" customHeight="1" thickBot="1" x14ac:dyDescent="0.25">
      <c r="A74" s="317"/>
      <c r="B74" s="282"/>
      <c r="C74" s="324"/>
      <c r="D74" s="324"/>
      <c r="E74" s="379"/>
      <c r="F74" s="361"/>
      <c r="G74" s="285"/>
      <c r="H74" s="285"/>
      <c r="I74" s="282"/>
      <c r="J74" s="282"/>
      <c r="K74" s="282"/>
      <c r="L74" s="311" t="str">
        <f t="shared" si="6"/>
        <v>Em andamento</v>
      </c>
      <c r="M74" s="312">
        <f t="shared" si="7"/>
        <v>0</v>
      </c>
      <c r="N74" s="313" t="str">
        <f t="shared" si="8"/>
        <v>Dentro do prazo</v>
      </c>
      <c r="O74" s="389">
        <f t="shared" si="9"/>
        <v>0</v>
      </c>
      <c r="P74" s="389">
        <f t="shared" si="10"/>
        <v>0</v>
      </c>
      <c r="Q74" s="309">
        <f t="shared" si="11"/>
        <v>0</v>
      </c>
    </row>
    <row r="75" spans="1:17" s="279" customFormat="1" ht="32.25" customHeight="1" thickBot="1" x14ac:dyDescent="0.25">
      <c r="A75" s="317"/>
      <c r="B75" s="282"/>
      <c r="C75" s="324"/>
      <c r="D75" s="324"/>
      <c r="E75" s="379"/>
      <c r="F75" s="361"/>
      <c r="G75" s="285"/>
      <c r="H75" s="285"/>
      <c r="I75" s="282"/>
      <c r="J75" s="282"/>
      <c r="K75" s="282"/>
      <c r="L75" s="311" t="str">
        <f t="shared" si="6"/>
        <v>Em andamento</v>
      </c>
      <c r="M75" s="312">
        <f t="shared" si="7"/>
        <v>0</v>
      </c>
      <c r="N75" s="313" t="str">
        <f t="shared" si="8"/>
        <v>Dentro do prazo</v>
      </c>
      <c r="O75" s="389">
        <f t="shared" si="9"/>
        <v>0</v>
      </c>
      <c r="P75" s="389">
        <f t="shared" si="10"/>
        <v>0</v>
      </c>
      <c r="Q75" s="309">
        <f t="shared" si="11"/>
        <v>0</v>
      </c>
    </row>
    <row r="76" spans="1:17" s="279" customFormat="1" ht="32.25" customHeight="1" thickBot="1" x14ac:dyDescent="0.25">
      <c r="A76" s="317"/>
      <c r="B76" s="380"/>
      <c r="C76" s="324"/>
      <c r="D76" s="324"/>
      <c r="E76" s="327"/>
      <c r="F76" s="361"/>
      <c r="G76" s="352"/>
      <c r="H76" s="285"/>
      <c r="I76" s="341"/>
      <c r="J76" s="341"/>
      <c r="K76" s="380"/>
      <c r="L76" s="311" t="str">
        <f t="shared" si="6"/>
        <v>Em andamento</v>
      </c>
      <c r="M76" s="312">
        <f t="shared" si="7"/>
        <v>0</v>
      </c>
      <c r="N76" s="313" t="str">
        <f t="shared" si="8"/>
        <v>Dentro do prazo</v>
      </c>
      <c r="O76" s="389">
        <f t="shared" si="9"/>
        <v>0</v>
      </c>
      <c r="P76" s="389">
        <f t="shared" si="10"/>
        <v>0</v>
      </c>
      <c r="Q76" s="309">
        <f t="shared" si="11"/>
        <v>0</v>
      </c>
    </row>
    <row r="77" spans="1:17" s="279" customFormat="1" ht="32.25" customHeight="1" thickBot="1" x14ac:dyDescent="0.25">
      <c r="A77" s="317"/>
      <c r="B77" s="380"/>
      <c r="C77" s="324"/>
      <c r="D77" s="359"/>
      <c r="E77" s="325"/>
      <c r="F77" s="361"/>
      <c r="G77" s="352"/>
      <c r="H77" s="285"/>
      <c r="I77" s="341"/>
      <c r="J77" s="341"/>
      <c r="K77" s="380"/>
      <c r="L77" s="311" t="str">
        <f t="shared" si="6"/>
        <v>Em andamento</v>
      </c>
      <c r="M77" s="312">
        <f t="shared" si="7"/>
        <v>0</v>
      </c>
      <c r="N77" s="313" t="str">
        <f t="shared" si="8"/>
        <v>Dentro do prazo</v>
      </c>
      <c r="O77" s="389">
        <f t="shared" si="9"/>
        <v>0</v>
      </c>
      <c r="P77" s="389">
        <f t="shared" si="10"/>
        <v>0</v>
      </c>
      <c r="Q77" s="309">
        <f t="shared" si="11"/>
        <v>0</v>
      </c>
    </row>
    <row r="78" spans="1:17" s="279" customFormat="1" ht="32.25" customHeight="1" thickBot="1" x14ac:dyDescent="0.25">
      <c r="A78" s="317"/>
      <c r="B78" s="380"/>
      <c r="C78" s="324"/>
      <c r="D78" s="359"/>
      <c r="E78" s="327"/>
      <c r="F78" s="361"/>
      <c r="G78" s="285"/>
      <c r="H78" s="285"/>
      <c r="I78" s="282"/>
      <c r="J78" s="282"/>
      <c r="K78" s="380"/>
      <c r="L78" s="311" t="str">
        <f t="shared" si="6"/>
        <v>Em andamento</v>
      </c>
      <c r="M78" s="312">
        <f t="shared" si="7"/>
        <v>0</v>
      </c>
      <c r="N78" s="313" t="str">
        <f t="shared" si="8"/>
        <v>Dentro do prazo</v>
      </c>
      <c r="O78" s="389">
        <f t="shared" si="9"/>
        <v>0</v>
      </c>
      <c r="P78" s="389">
        <f t="shared" si="10"/>
        <v>0</v>
      </c>
      <c r="Q78" s="309">
        <f t="shared" si="11"/>
        <v>0</v>
      </c>
    </row>
    <row r="79" spans="1:17" s="279" customFormat="1" ht="32.25" customHeight="1" thickBot="1" x14ac:dyDescent="0.25">
      <c r="A79" s="317"/>
      <c r="B79" s="380"/>
      <c r="C79" s="324"/>
      <c r="D79" s="359"/>
      <c r="E79" s="327"/>
      <c r="F79" s="361"/>
      <c r="G79" s="285"/>
      <c r="H79" s="285"/>
      <c r="I79" s="282"/>
      <c r="J79" s="282"/>
      <c r="K79" s="380"/>
      <c r="L79" s="311" t="str">
        <f t="shared" si="6"/>
        <v>Em andamento</v>
      </c>
      <c r="M79" s="312">
        <f t="shared" si="7"/>
        <v>0</v>
      </c>
      <c r="N79" s="313" t="str">
        <f t="shared" si="8"/>
        <v>Dentro do prazo</v>
      </c>
      <c r="O79" s="389">
        <f t="shared" si="9"/>
        <v>0</v>
      </c>
      <c r="P79" s="389">
        <f t="shared" si="10"/>
        <v>0</v>
      </c>
      <c r="Q79" s="309">
        <f t="shared" si="11"/>
        <v>0</v>
      </c>
    </row>
    <row r="80" spans="1:17" s="279" customFormat="1" ht="32.25" customHeight="1" thickBot="1" x14ac:dyDescent="0.25">
      <c r="A80" s="342"/>
      <c r="B80" s="333"/>
      <c r="C80" s="344"/>
      <c r="D80" s="344"/>
      <c r="E80" s="362"/>
      <c r="F80" s="373"/>
      <c r="G80" s="351"/>
      <c r="H80" s="285"/>
      <c r="I80" s="342"/>
      <c r="J80" s="342"/>
      <c r="K80" s="333"/>
      <c r="L80" s="311" t="str">
        <f t="shared" si="6"/>
        <v>Em andamento</v>
      </c>
      <c r="M80" s="312">
        <f t="shared" si="7"/>
        <v>0</v>
      </c>
      <c r="N80" s="313" t="str">
        <f t="shared" si="8"/>
        <v>Dentro do prazo</v>
      </c>
      <c r="O80" s="389">
        <f t="shared" si="9"/>
        <v>0</v>
      </c>
      <c r="P80" s="389">
        <f t="shared" si="10"/>
        <v>0</v>
      </c>
      <c r="Q80" s="309">
        <f t="shared" si="11"/>
        <v>0</v>
      </c>
    </row>
    <row r="81" spans="1:17" s="279" customFormat="1" ht="32.25" customHeight="1" thickBot="1" x14ac:dyDescent="0.25">
      <c r="A81" s="340"/>
      <c r="B81" s="341"/>
      <c r="C81" s="343"/>
      <c r="D81" s="343"/>
      <c r="E81" s="394"/>
      <c r="F81" s="364"/>
      <c r="G81" s="285"/>
      <c r="H81" s="285"/>
      <c r="I81" s="352"/>
      <c r="J81" s="352"/>
      <c r="K81" s="341"/>
      <c r="L81" s="311" t="str">
        <f t="shared" si="6"/>
        <v>Em andamento</v>
      </c>
      <c r="M81" s="312">
        <f t="shared" si="7"/>
        <v>0</v>
      </c>
      <c r="N81" s="313" t="str">
        <f t="shared" si="8"/>
        <v>Dentro do prazo</v>
      </c>
      <c r="O81" s="389">
        <f t="shared" si="9"/>
        <v>0</v>
      </c>
      <c r="P81" s="389">
        <f t="shared" si="10"/>
        <v>0</v>
      </c>
      <c r="Q81" s="309">
        <f t="shared" si="11"/>
        <v>0</v>
      </c>
    </row>
    <row r="82" spans="1:17" s="279" customFormat="1" ht="32.25" customHeight="1" thickBot="1" x14ac:dyDescent="0.25">
      <c r="A82" s="317"/>
      <c r="B82" s="317"/>
      <c r="C82" s="324"/>
      <c r="D82" s="324"/>
      <c r="E82" s="346"/>
      <c r="F82" s="337"/>
      <c r="G82" s="285"/>
      <c r="H82" s="285"/>
      <c r="I82" s="352"/>
      <c r="J82" s="352"/>
      <c r="K82" s="317"/>
      <c r="L82" s="311" t="str">
        <f t="shared" si="6"/>
        <v>Em andamento</v>
      </c>
      <c r="M82" s="312">
        <f t="shared" si="7"/>
        <v>0</v>
      </c>
      <c r="N82" s="313" t="str">
        <f t="shared" si="8"/>
        <v>Dentro do prazo</v>
      </c>
      <c r="O82" s="389">
        <f t="shared" si="9"/>
        <v>0</v>
      </c>
      <c r="P82" s="389">
        <f t="shared" si="10"/>
        <v>0</v>
      </c>
      <c r="Q82" s="309">
        <f t="shared" si="11"/>
        <v>0</v>
      </c>
    </row>
    <row r="83" spans="1:17" s="279" customFormat="1" ht="32.25" customHeight="1" thickBot="1" x14ac:dyDescent="0.25">
      <c r="A83" s="341"/>
      <c r="B83" s="317"/>
      <c r="C83" s="324"/>
      <c r="D83" s="324"/>
      <c r="E83" s="346"/>
      <c r="F83" s="336"/>
      <c r="G83" s="352"/>
      <c r="H83" s="285"/>
      <c r="I83" s="282"/>
      <c r="J83" s="282"/>
      <c r="K83" s="317"/>
      <c r="L83" s="311" t="str">
        <f t="shared" si="6"/>
        <v>Em andamento</v>
      </c>
      <c r="M83" s="312">
        <f t="shared" si="7"/>
        <v>0</v>
      </c>
      <c r="N83" s="313" t="str">
        <f t="shared" si="8"/>
        <v>Dentro do prazo</v>
      </c>
      <c r="O83" s="389">
        <f t="shared" si="9"/>
        <v>0</v>
      </c>
      <c r="P83" s="389">
        <f t="shared" si="10"/>
        <v>0</v>
      </c>
      <c r="Q83" s="309">
        <f t="shared" si="11"/>
        <v>0</v>
      </c>
    </row>
    <row r="84" spans="1:17" s="279" customFormat="1" ht="32.25" customHeight="1" thickBot="1" x14ac:dyDescent="0.25">
      <c r="A84" s="336"/>
      <c r="B84" s="318"/>
      <c r="C84" s="324"/>
      <c r="D84" s="324"/>
      <c r="E84" s="346"/>
      <c r="F84" s="336"/>
      <c r="G84" s="352"/>
      <c r="H84" s="285"/>
      <c r="I84" s="282"/>
      <c r="J84" s="341"/>
      <c r="K84" s="318"/>
      <c r="L84" s="311" t="str">
        <f t="shared" si="6"/>
        <v>Em andamento</v>
      </c>
      <c r="M84" s="312">
        <f t="shared" si="7"/>
        <v>0</v>
      </c>
      <c r="N84" s="313" t="str">
        <f t="shared" si="8"/>
        <v>Dentro do prazo</v>
      </c>
      <c r="O84" s="389">
        <f t="shared" si="9"/>
        <v>0</v>
      </c>
      <c r="P84" s="389">
        <f t="shared" si="10"/>
        <v>0</v>
      </c>
      <c r="Q84" s="309">
        <f t="shared" si="11"/>
        <v>0</v>
      </c>
    </row>
    <row r="85" spans="1:17" s="279" customFormat="1" ht="32.25" customHeight="1" thickBot="1" x14ac:dyDescent="0.25">
      <c r="A85" s="336"/>
      <c r="B85" s="318"/>
      <c r="C85" s="324"/>
      <c r="D85" s="324"/>
      <c r="E85" s="327"/>
      <c r="F85" s="336"/>
      <c r="G85" s="352"/>
      <c r="H85" s="285"/>
      <c r="I85" s="341"/>
      <c r="J85" s="341"/>
      <c r="K85" s="318"/>
      <c r="L85" s="311" t="str">
        <f t="shared" si="6"/>
        <v>Em andamento</v>
      </c>
      <c r="M85" s="312">
        <f t="shared" si="7"/>
        <v>0</v>
      </c>
      <c r="N85" s="313" t="str">
        <f t="shared" si="8"/>
        <v>Dentro do prazo</v>
      </c>
      <c r="O85" s="389">
        <f t="shared" si="9"/>
        <v>0</v>
      </c>
      <c r="P85" s="389">
        <f t="shared" si="10"/>
        <v>0</v>
      </c>
      <c r="Q85" s="309">
        <f t="shared" si="11"/>
        <v>0</v>
      </c>
    </row>
    <row r="86" spans="1:17" s="279" customFormat="1" ht="32.25" customHeight="1" thickBot="1" x14ac:dyDescent="0.25">
      <c r="A86" s="317"/>
      <c r="B86" s="318"/>
      <c r="C86" s="324"/>
      <c r="D86" s="324"/>
      <c r="E86" s="322"/>
      <c r="F86" s="336"/>
      <c r="G86" s="285"/>
      <c r="H86" s="285"/>
      <c r="I86" s="352"/>
      <c r="J86" s="352"/>
      <c r="K86" s="318"/>
      <c r="L86" s="311" t="str">
        <f t="shared" si="6"/>
        <v>Em andamento</v>
      </c>
      <c r="M86" s="312">
        <f t="shared" si="7"/>
        <v>0</v>
      </c>
      <c r="N86" s="313" t="str">
        <f t="shared" si="8"/>
        <v>Dentro do prazo</v>
      </c>
      <c r="O86" s="389">
        <f t="shared" si="9"/>
        <v>0</v>
      </c>
      <c r="P86" s="389">
        <f t="shared" si="10"/>
        <v>0</v>
      </c>
      <c r="Q86" s="309">
        <f t="shared" si="11"/>
        <v>0</v>
      </c>
    </row>
    <row r="87" spans="1:17" s="279" customFormat="1" ht="32.25" customHeight="1" thickBot="1" x14ac:dyDescent="0.25">
      <c r="A87" s="317"/>
      <c r="B87" s="370"/>
      <c r="C87" s="324"/>
      <c r="D87" s="324"/>
      <c r="E87" s="395"/>
      <c r="F87" s="337"/>
      <c r="G87" s="285"/>
      <c r="H87" s="285"/>
      <c r="I87" s="352"/>
      <c r="J87" s="352"/>
      <c r="K87" s="370"/>
      <c r="L87" s="311" t="str">
        <f t="shared" si="6"/>
        <v>Em andamento</v>
      </c>
      <c r="M87" s="312">
        <f t="shared" si="7"/>
        <v>0</v>
      </c>
      <c r="N87" s="313" t="str">
        <f t="shared" si="8"/>
        <v>Dentro do prazo</v>
      </c>
      <c r="O87" s="389">
        <f t="shared" si="9"/>
        <v>0</v>
      </c>
      <c r="P87" s="389">
        <f t="shared" si="10"/>
        <v>0</v>
      </c>
      <c r="Q87" s="309">
        <f t="shared" si="11"/>
        <v>0</v>
      </c>
    </row>
    <row r="88" spans="1:17" s="279" customFormat="1" ht="32.25" customHeight="1" thickBot="1" x14ac:dyDescent="0.25">
      <c r="A88" s="317"/>
      <c r="B88" s="318"/>
      <c r="C88" s="324"/>
      <c r="D88" s="357"/>
      <c r="E88" s="327"/>
      <c r="F88" s="337"/>
      <c r="G88" s="352"/>
      <c r="H88" s="285"/>
      <c r="I88" s="282"/>
      <c r="J88" s="341"/>
      <c r="K88" s="318"/>
      <c r="L88" s="311" t="str">
        <f t="shared" si="6"/>
        <v>Em andamento</v>
      </c>
      <c r="M88" s="312">
        <f t="shared" si="7"/>
        <v>0</v>
      </c>
      <c r="N88" s="313" t="str">
        <f t="shared" si="8"/>
        <v>Dentro do prazo</v>
      </c>
      <c r="O88" s="389">
        <f t="shared" si="9"/>
        <v>0</v>
      </c>
      <c r="P88" s="389">
        <f t="shared" si="10"/>
        <v>0</v>
      </c>
      <c r="Q88" s="309">
        <f t="shared" si="11"/>
        <v>0</v>
      </c>
    </row>
    <row r="89" spans="1:17" s="279" customFormat="1" ht="32.25" customHeight="1" thickBot="1" x14ac:dyDescent="0.25">
      <c r="A89" s="317"/>
      <c r="B89" s="318"/>
      <c r="C89" s="324"/>
      <c r="D89" s="357"/>
      <c r="E89" s="346"/>
      <c r="F89" s="337"/>
      <c r="G89" s="352"/>
      <c r="H89" s="285"/>
      <c r="I89" s="341"/>
      <c r="J89" s="341"/>
      <c r="K89" s="318"/>
      <c r="L89" s="311" t="str">
        <f t="shared" si="6"/>
        <v>Em andamento</v>
      </c>
      <c r="M89" s="312">
        <f t="shared" si="7"/>
        <v>0</v>
      </c>
      <c r="N89" s="313" t="str">
        <f t="shared" si="8"/>
        <v>Dentro do prazo</v>
      </c>
      <c r="O89" s="389">
        <f t="shared" si="9"/>
        <v>0</v>
      </c>
      <c r="P89" s="389">
        <f t="shared" si="10"/>
        <v>0</v>
      </c>
      <c r="Q89" s="309">
        <f t="shared" si="11"/>
        <v>0</v>
      </c>
    </row>
    <row r="90" spans="1:17" s="279" customFormat="1" ht="32.25" customHeight="1" thickBot="1" x14ac:dyDescent="0.25">
      <c r="A90" s="317"/>
      <c r="B90" s="318"/>
      <c r="C90" s="324"/>
      <c r="D90" s="357"/>
      <c r="E90" s="327"/>
      <c r="F90" s="337"/>
      <c r="G90" s="352"/>
      <c r="H90" s="285"/>
      <c r="I90" s="341"/>
      <c r="J90" s="341"/>
      <c r="K90" s="318"/>
      <c r="L90" s="311" t="str">
        <f t="shared" si="6"/>
        <v>Em andamento</v>
      </c>
      <c r="M90" s="312">
        <f t="shared" si="7"/>
        <v>0</v>
      </c>
      <c r="N90" s="313" t="str">
        <f t="shared" si="8"/>
        <v>Dentro do prazo</v>
      </c>
      <c r="O90" s="389">
        <f t="shared" si="9"/>
        <v>0</v>
      </c>
      <c r="P90" s="389">
        <f t="shared" si="10"/>
        <v>0</v>
      </c>
      <c r="Q90" s="309">
        <f t="shared" si="11"/>
        <v>0</v>
      </c>
    </row>
    <row r="91" spans="1:17" s="279" customFormat="1" ht="32.25" customHeight="1" thickBot="1" x14ac:dyDescent="0.25">
      <c r="A91" s="317"/>
      <c r="B91" s="341"/>
      <c r="C91" s="324"/>
      <c r="D91" s="324"/>
      <c r="E91" s="327"/>
      <c r="F91" s="366"/>
      <c r="G91" s="285"/>
      <c r="H91" s="285"/>
      <c r="I91" s="341"/>
      <c r="J91" s="341"/>
      <c r="K91" s="341"/>
      <c r="L91" s="311" t="str">
        <f t="shared" si="6"/>
        <v>Em andamento</v>
      </c>
      <c r="M91" s="312">
        <f t="shared" si="7"/>
        <v>0</v>
      </c>
      <c r="N91" s="313" t="str">
        <f t="shared" si="8"/>
        <v>Dentro do prazo</v>
      </c>
      <c r="O91" s="389">
        <f t="shared" si="9"/>
        <v>0</v>
      </c>
      <c r="P91" s="389">
        <f t="shared" si="10"/>
        <v>0</v>
      </c>
      <c r="Q91" s="309">
        <f t="shared" si="11"/>
        <v>0</v>
      </c>
    </row>
    <row r="92" spans="1:17" s="279" customFormat="1" ht="32.25" customHeight="1" thickBot="1" x14ac:dyDescent="0.25">
      <c r="A92" s="317"/>
      <c r="B92" s="341"/>
      <c r="C92" s="324"/>
      <c r="D92" s="324"/>
      <c r="E92" s="327"/>
      <c r="F92" s="366"/>
      <c r="G92" s="285"/>
      <c r="H92" s="285"/>
      <c r="I92" s="352"/>
      <c r="J92" s="352"/>
      <c r="K92" s="341"/>
      <c r="L92" s="311" t="str">
        <f t="shared" si="6"/>
        <v>Em andamento</v>
      </c>
      <c r="M92" s="312">
        <f t="shared" si="7"/>
        <v>0</v>
      </c>
      <c r="N92" s="313" t="str">
        <f t="shared" si="8"/>
        <v>Dentro do prazo</v>
      </c>
      <c r="O92" s="389">
        <f t="shared" si="9"/>
        <v>0</v>
      </c>
      <c r="P92" s="389">
        <f t="shared" si="10"/>
        <v>0</v>
      </c>
      <c r="Q92" s="309">
        <f t="shared" si="11"/>
        <v>0</v>
      </c>
    </row>
    <row r="93" spans="1:17" s="279" customFormat="1" ht="32.25" customHeight="1" thickBot="1" x14ac:dyDescent="0.25">
      <c r="A93" s="317"/>
      <c r="B93" s="341"/>
      <c r="C93" s="324"/>
      <c r="D93" s="324"/>
      <c r="E93" s="327"/>
      <c r="F93" s="366"/>
      <c r="G93" s="285"/>
      <c r="H93" s="285"/>
      <c r="I93" s="352"/>
      <c r="J93" s="352"/>
      <c r="K93" s="341"/>
      <c r="L93" s="311" t="str">
        <f t="shared" si="6"/>
        <v>Em andamento</v>
      </c>
      <c r="M93" s="312">
        <f t="shared" si="7"/>
        <v>0</v>
      </c>
      <c r="N93" s="313" t="str">
        <f t="shared" si="8"/>
        <v>Dentro do prazo</v>
      </c>
      <c r="O93" s="389">
        <f t="shared" si="9"/>
        <v>0</v>
      </c>
      <c r="P93" s="389">
        <f t="shared" si="10"/>
        <v>0</v>
      </c>
      <c r="Q93" s="309">
        <f t="shared" si="11"/>
        <v>0</v>
      </c>
    </row>
    <row r="94" spans="1:17" s="279" customFormat="1" ht="32.25" customHeight="1" thickBot="1" x14ac:dyDescent="0.25">
      <c r="A94" s="342"/>
      <c r="B94" s="381"/>
      <c r="C94" s="344"/>
      <c r="D94" s="344"/>
      <c r="E94" s="345"/>
      <c r="F94" s="378"/>
      <c r="G94" s="285"/>
      <c r="H94" s="285"/>
      <c r="I94" s="342"/>
      <c r="J94" s="342"/>
      <c r="K94" s="381"/>
      <c r="L94" s="311" t="str">
        <f t="shared" si="6"/>
        <v>Em andamento</v>
      </c>
      <c r="M94" s="312">
        <f t="shared" si="7"/>
        <v>0</v>
      </c>
      <c r="N94" s="313" t="str">
        <f t="shared" si="8"/>
        <v>Dentro do prazo</v>
      </c>
      <c r="O94" s="389">
        <f t="shared" si="9"/>
        <v>0</v>
      </c>
      <c r="P94" s="389">
        <f t="shared" si="10"/>
        <v>0</v>
      </c>
      <c r="Q94" s="309">
        <f t="shared" si="11"/>
        <v>0</v>
      </c>
    </row>
    <row r="95" spans="1:17" s="279" customFormat="1" ht="32.25" customHeight="1" x14ac:dyDescent="0.2">
      <c r="A95" s="282"/>
      <c r="B95" s="282"/>
      <c r="C95" s="283"/>
      <c r="D95" s="284"/>
      <c r="E95" s="297"/>
      <c r="F95" s="285"/>
      <c r="G95" s="285"/>
      <c r="H95" s="285"/>
      <c r="I95" s="282"/>
      <c r="J95" s="282"/>
      <c r="K95" s="282"/>
      <c r="L95" s="311" t="str">
        <f t="shared" ref="L95" si="12">IF(K95="-","Cancelado",IF(K95&gt;0,"Concluído","Em andamento"))</f>
        <v>Em andamento</v>
      </c>
      <c r="M95" s="312">
        <f t="shared" ref="M95" si="13">K95-A95</f>
        <v>0</v>
      </c>
      <c r="N95" s="313" t="str">
        <f t="shared" ref="N95" si="14">IFERROR(IF(O95&gt;=0,"Dentro do prazo","Fora do prazo"),"-")</f>
        <v>Dentro do prazo</v>
      </c>
      <c r="O95" s="389">
        <f t="shared" ref="O95:O153" si="15">IFERROR(B95-K95,"-")</f>
        <v>0</v>
      </c>
      <c r="P95" s="389">
        <f t="shared" ref="P95:P153" si="16">IFERROR(IF(K95=0,0,MONTH(K95)),"-")</f>
        <v>0</v>
      </c>
      <c r="Q95" s="309">
        <f t="shared" ref="Q95:Q153" si="17">IFERROR(IF(A95=0,0,MONTH(A95)),"-")</f>
        <v>0</v>
      </c>
    </row>
    <row r="96" spans="1:17" s="279" customFormat="1" ht="32.25" customHeight="1" x14ac:dyDescent="0.2">
      <c r="A96" s="282"/>
      <c r="B96" s="282"/>
      <c r="C96" s="283"/>
      <c r="D96" s="284"/>
      <c r="E96" s="297"/>
      <c r="F96" s="285"/>
      <c r="G96" s="285"/>
      <c r="H96" s="285"/>
      <c r="I96" s="282"/>
      <c r="J96" s="282"/>
      <c r="K96" s="282"/>
      <c r="L96" s="278" t="str">
        <f t="shared" ref="L96:L98" si="18">IF(K96="-","Cancelado",IF(K96&gt;0,"Concluído","Em andamento"))</f>
        <v>Em andamento</v>
      </c>
      <c r="M96" s="306">
        <f t="shared" ref="M96:M98" si="19">K96-A96</f>
        <v>0</v>
      </c>
      <c r="N96" s="305" t="str">
        <f t="shared" ref="N96:N98" si="20">IFERROR(IF(O96&gt;=0,"Dentro do prazo","Fora do prazo"),"-")</f>
        <v>Dentro do prazo</v>
      </c>
      <c r="O96" s="389">
        <f t="shared" si="15"/>
        <v>0</v>
      </c>
      <c r="P96" s="389">
        <f t="shared" si="16"/>
        <v>0</v>
      </c>
      <c r="Q96" s="309">
        <f t="shared" si="17"/>
        <v>0</v>
      </c>
    </row>
    <row r="97" spans="1:17" s="279" customFormat="1" ht="32.25" customHeight="1" x14ac:dyDescent="0.2">
      <c r="A97" s="282"/>
      <c r="B97" s="282"/>
      <c r="C97" s="283"/>
      <c r="D97" s="284"/>
      <c r="E97" s="297"/>
      <c r="F97" s="285"/>
      <c r="G97" s="285"/>
      <c r="H97" s="285"/>
      <c r="I97" s="282"/>
      <c r="J97" s="282"/>
      <c r="K97" s="282"/>
      <c r="L97" s="278" t="str">
        <f t="shared" si="18"/>
        <v>Em andamento</v>
      </c>
      <c r="M97" s="306">
        <f t="shared" si="19"/>
        <v>0</v>
      </c>
      <c r="N97" s="305" t="str">
        <f t="shared" si="20"/>
        <v>Dentro do prazo</v>
      </c>
      <c r="O97" s="389">
        <f t="shared" si="15"/>
        <v>0</v>
      </c>
      <c r="P97" s="389">
        <f t="shared" si="16"/>
        <v>0</v>
      </c>
      <c r="Q97" s="309">
        <f t="shared" si="17"/>
        <v>0</v>
      </c>
    </row>
    <row r="98" spans="1:17" s="279" customFormat="1" ht="32.25" customHeight="1" x14ac:dyDescent="0.2">
      <c r="A98" s="282"/>
      <c r="B98" s="282"/>
      <c r="C98" s="283"/>
      <c r="D98" s="284"/>
      <c r="E98" s="297"/>
      <c r="F98" s="285"/>
      <c r="G98" s="285"/>
      <c r="H98" s="285"/>
      <c r="I98" s="282"/>
      <c r="J98" s="282"/>
      <c r="K98" s="282"/>
      <c r="L98" s="278" t="str">
        <f t="shared" si="18"/>
        <v>Em andamento</v>
      </c>
      <c r="M98" s="306">
        <f t="shared" si="19"/>
        <v>0</v>
      </c>
      <c r="N98" s="305" t="str">
        <f t="shared" si="20"/>
        <v>Dentro do prazo</v>
      </c>
      <c r="O98" s="389">
        <f t="shared" si="15"/>
        <v>0</v>
      </c>
      <c r="P98" s="389">
        <f t="shared" si="16"/>
        <v>0</v>
      </c>
      <c r="Q98" s="309">
        <f t="shared" si="17"/>
        <v>0</v>
      </c>
    </row>
    <row r="99" spans="1:17" s="279" customFormat="1" ht="32.25" customHeight="1" x14ac:dyDescent="0.2">
      <c r="A99" s="282"/>
      <c r="B99" s="282"/>
      <c r="C99" s="283"/>
      <c r="D99" s="284"/>
      <c r="E99" s="297"/>
      <c r="F99" s="285"/>
      <c r="G99" s="285"/>
      <c r="H99" s="285"/>
      <c r="I99" s="282"/>
      <c r="J99" s="282"/>
      <c r="K99" s="282"/>
      <c r="L99" s="278" t="str">
        <f t="shared" ref="L99:L162" si="21">IF(K99="-","Cancelado",IF(K99&gt;0,"Concluído","Em andamento"))</f>
        <v>Em andamento</v>
      </c>
      <c r="M99" s="306">
        <f t="shared" ref="M99:M162" si="22">K99-A99</f>
        <v>0</v>
      </c>
      <c r="N99" s="305" t="str">
        <f t="shared" ref="N99:N162" si="23">IFERROR(IF(O99&gt;=0,"Dentro do prazo","Fora do prazo"),"-")</f>
        <v>Dentro do prazo</v>
      </c>
      <c r="O99" s="389">
        <f t="shared" si="15"/>
        <v>0</v>
      </c>
      <c r="P99" s="389">
        <f t="shared" si="16"/>
        <v>0</v>
      </c>
      <c r="Q99" s="309">
        <f t="shared" si="17"/>
        <v>0</v>
      </c>
    </row>
    <row r="100" spans="1:17" s="279" customFormat="1" ht="32.25" customHeight="1" x14ac:dyDescent="0.2">
      <c r="A100" s="282"/>
      <c r="B100" s="282"/>
      <c r="C100" s="283"/>
      <c r="D100" s="284"/>
      <c r="E100" s="297"/>
      <c r="F100" s="285"/>
      <c r="G100" s="285"/>
      <c r="H100" s="285"/>
      <c r="I100" s="285"/>
      <c r="J100" s="285"/>
      <c r="K100" s="282"/>
      <c r="L100" s="278" t="str">
        <f t="shared" si="21"/>
        <v>Em andamento</v>
      </c>
      <c r="M100" s="306">
        <f t="shared" si="22"/>
        <v>0</v>
      </c>
      <c r="N100" s="305" t="str">
        <f t="shared" si="23"/>
        <v>Dentro do prazo</v>
      </c>
      <c r="O100" s="389">
        <f t="shared" si="15"/>
        <v>0</v>
      </c>
      <c r="P100" s="389">
        <f t="shared" si="16"/>
        <v>0</v>
      </c>
      <c r="Q100" s="309">
        <f t="shared" si="17"/>
        <v>0</v>
      </c>
    </row>
    <row r="101" spans="1:17" s="279" customFormat="1" ht="32.25" customHeight="1" x14ac:dyDescent="0.2">
      <c r="A101" s="282"/>
      <c r="B101" s="282"/>
      <c r="C101" s="283"/>
      <c r="D101" s="284"/>
      <c r="E101" s="297"/>
      <c r="F101" s="285"/>
      <c r="G101" s="285"/>
      <c r="H101" s="285"/>
      <c r="I101" s="285"/>
      <c r="J101" s="285"/>
      <c r="K101" s="282"/>
      <c r="L101" s="278" t="str">
        <f t="shared" si="21"/>
        <v>Em andamento</v>
      </c>
      <c r="M101" s="306">
        <f t="shared" si="22"/>
        <v>0</v>
      </c>
      <c r="N101" s="305" t="str">
        <f t="shared" si="23"/>
        <v>Dentro do prazo</v>
      </c>
      <c r="O101" s="389">
        <f t="shared" si="15"/>
        <v>0</v>
      </c>
      <c r="P101" s="389">
        <f t="shared" si="16"/>
        <v>0</v>
      </c>
      <c r="Q101" s="309">
        <f t="shared" si="17"/>
        <v>0</v>
      </c>
    </row>
    <row r="102" spans="1:17" s="279" customFormat="1" ht="32.25" customHeight="1" x14ac:dyDescent="0.2">
      <c r="A102" s="282"/>
      <c r="B102" s="282"/>
      <c r="C102" s="283"/>
      <c r="D102" s="284"/>
      <c r="E102" s="297"/>
      <c r="F102" s="285"/>
      <c r="G102" s="285"/>
      <c r="H102" s="285"/>
      <c r="I102" s="282"/>
      <c r="J102" s="282"/>
      <c r="K102" s="282"/>
      <c r="L102" s="278" t="str">
        <f t="shared" si="21"/>
        <v>Em andamento</v>
      </c>
      <c r="M102" s="306">
        <f t="shared" si="22"/>
        <v>0</v>
      </c>
      <c r="N102" s="305" t="str">
        <f t="shared" si="23"/>
        <v>Dentro do prazo</v>
      </c>
      <c r="O102" s="389">
        <f t="shared" si="15"/>
        <v>0</v>
      </c>
      <c r="P102" s="389">
        <f t="shared" si="16"/>
        <v>0</v>
      </c>
      <c r="Q102" s="309">
        <f t="shared" si="17"/>
        <v>0</v>
      </c>
    </row>
    <row r="103" spans="1:17" s="279" customFormat="1" ht="32.25" customHeight="1" x14ac:dyDescent="0.2">
      <c r="A103" s="282"/>
      <c r="B103" s="282"/>
      <c r="C103" s="283"/>
      <c r="D103" s="284"/>
      <c r="E103" s="297"/>
      <c r="F103" s="285"/>
      <c r="G103" s="285"/>
      <c r="H103" s="285"/>
      <c r="I103" s="282"/>
      <c r="J103" s="282"/>
      <c r="K103" s="282"/>
      <c r="L103" s="278" t="str">
        <f t="shared" si="21"/>
        <v>Em andamento</v>
      </c>
      <c r="M103" s="306">
        <f t="shared" si="22"/>
        <v>0</v>
      </c>
      <c r="N103" s="305" t="str">
        <f t="shared" si="23"/>
        <v>Dentro do prazo</v>
      </c>
      <c r="O103" s="389">
        <f t="shared" si="15"/>
        <v>0</v>
      </c>
      <c r="P103" s="389">
        <f t="shared" si="16"/>
        <v>0</v>
      </c>
      <c r="Q103" s="309">
        <f t="shared" si="17"/>
        <v>0</v>
      </c>
    </row>
    <row r="104" spans="1:17" s="279" customFormat="1" ht="32.25" customHeight="1" x14ac:dyDescent="0.2">
      <c r="A104" s="282"/>
      <c r="B104" s="282"/>
      <c r="C104" s="283"/>
      <c r="D104" s="284"/>
      <c r="E104" s="297"/>
      <c r="F104" s="285"/>
      <c r="G104" s="285"/>
      <c r="H104" s="285"/>
      <c r="I104" s="282"/>
      <c r="J104" s="282"/>
      <c r="K104" s="282"/>
      <c r="L104" s="278" t="str">
        <f t="shared" si="21"/>
        <v>Em andamento</v>
      </c>
      <c r="M104" s="306">
        <f t="shared" si="22"/>
        <v>0</v>
      </c>
      <c r="N104" s="305" t="str">
        <f t="shared" si="23"/>
        <v>Dentro do prazo</v>
      </c>
      <c r="O104" s="389">
        <f t="shared" si="15"/>
        <v>0</v>
      </c>
      <c r="P104" s="389">
        <f t="shared" si="16"/>
        <v>0</v>
      </c>
      <c r="Q104" s="309">
        <f t="shared" si="17"/>
        <v>0</v>
      </c>
    </row>
    <row r="105" spans="1:17" s="279" customFormat="1" ht="32.25" customHeight="1" x14ac:dyDescent="0.2">
      <c r="A105" s="282"/>
      <c r="B105" s="282"/>
      <c r="C105" s="283"/>
      <c r="D105" s="284"/>
      <c r="E105" s="297"/>
      <c r="F105" s="285"/>
      <c r="G105" s="285"/>
      <c r="H105" s="285"/>
      <c r="I105" s="282"/>
      <c r="J105" s="282"/>
      <c r="K105" s="282"/>
      <c r="L105" s="278" t="str">
        <f t="shared" si="21"/>
        <v>Em andamento</v>
      </c>
      <c r="M105" s="306">
        <f t="shared" si="22"/>
        <v>0</v>
      </c>
      <c r="N105" s="305" t="str">
        <f t="shared" si="23"/>
        <v>Dentro do prazo</v>
      </c>
      <c r="O105" s="389">
        <f t="shared" si="15"/>
        <v>0</v>
      </c>
      <c r="P105" s="389">
        <f t="shared" si="16"/>
        <v>0</v>
      </c>
      <c r="Q105" s="309">
        <f t="shared" si="17"/>
        <v>0</v>
      </c>
    </row>
    <row r="106" spans="1:17" s="279" customFormat="1" ht="32.25" customHeight="1" x14ac:dyDescent="0.2">
      <c r="A106" s="282"/>
      <c r="B106" s="282"/>
      <c r="C106" s="283"/>
      <c r="D106" s="284"/>
      <c r="E106" s="297"/>
      <c r="F106" s="285"/>
      <c r="G106" s="285"/>
      <c r="H106" s="285"/>
      <c r="I106" s="282"/>
      <c r="J106" s="282"/>
      <c r="K106" s="282"/>
      <c r="L106" s="278" t="str">
        <f t="shared" si="21"/>
        <v>Em andamento</v>
      </c>
      <c r="M106" s="306">
        <f t="shared" si="22"/>
        <v>0</v>
      </c>
      <c r="N106" s="305" t="str">
        <f t="shared" si="23"/>
        <v>Dentro do prazo</v>
      </c>
      <c r="O106" s="389">
        <f t="shared" si="15"/>
        <v>0</v>
      </c>
      <c r="P106" s="389">
        <f t="shared" si="16"/>
        <v>0</v>
      </c>
      <c r="Q106" s="309">
        <f t="shared" si="17"/>
        <v>0</v>
      </c>
    </row>
    <row r="107" spans="1:17" s="279" customFormat="1" ht="32.25" customHeight="1" x14ac:dyDescent="0.2">
      <c r="A107" s="282"/>
      <c r="B107" s="282"/>
      <c r="C107" s="283"/>
      <c r="D107" s="284"/>
      <c r="E107" s="297"/>
      <c r="F107" s="285"/>
      <c r="G107" s="285"/>
      <c r="H107" s="285"/>
      <c r="I107" s="282"/>
      <c r="J107" s="282"/>
      <c r="K107" s="282"/>
      <c r="L107" s="278" t="str">
        <f t="shared" si="21"/>
        <v>Em andamento</v>
      </c>
      <c r="M107" s="306">
        <f t="shared" si="22"/>
        <v>0</v>
      </c>
      <c r="N107" s="305" t="str">
        <f t="shared" si="23"/>
        <v>Dentro do prazo</v>
      </c>
      <c r="O107" s="389">
        <f t="shared" si="15"/>
        <v>0</v>
      </c>
      <c r="P107" s="389">
        <f t="shared" si="16"/>
        <v>0</v>
      </c>
      <c r="Q107" s="309">
        <f t="shared" si="17"/>
        <v>0</v>
      </c>
    </row>
    <row r="108" spans="1:17" s="279" customFormat="1" ht="32.25" customHeight="1" x14ac:dyDescent="0.2">
      <c r="A108" s="282"/>
      <c r="B108" s="282"/>
      <c r="C108" s="283"/>
      <c r="D108" s="284"/>
      <c r="E108" s="297"/>
      <c r="F108" s="285"/>
      <c r="G108" s="285"/>
      <c r="H108" s="285"/>
      <c r="I108" s="282"/>
      <c r="J108" s="282"/>
      <c r="K108" s="282"/>
      <c r="L108" s="278" t="str">
        <f t="shared" si="21"/>
        <v>Em andamento</v>
      </c>
      <c r="M108" s="306">
        <f t="shared" si="22"/>
        <v>0</v>
      </c>
      <c r="N108" s="305" t="str">
        <f t="shared" si="23"/>
        <v>Dentro do prazo</v>
      </c>
      <c r="O108" s="389">
        <f t="shared" si="15"/>
        <v>0</v>
      </c>
      <c r="P108" s="389">
        <f t="shared" si="16"/>
        <v>0</v>
      </c>
      <c r="Q108" s="309">
        <f t="shared" si="17"/>
        <v>0</v>
      </c>
    </row>
    <row r="109" spans="1:17" s="279" customFormat="1" ht="32.25" customHeight="1" x14ac:dyDescent="0.2">
      <c r="A109" s="282"/>
      <c r="B109" s="282"/>
      <c r="C109" s="283"/>
      <c r="D109" s="284"/>
      <c r="E109" s="297"/>
      <c r="F109" s="285"/>
      <c r="G109" s="285"/>
      <c r="H109" s="285"/>
      <c r="I109" s="282"/>
      <c r="J109" s="282"/>
      <c r="K109" s="282"/>
      <c r="L109" s="278" t="str">
        <f t="shared" si="21"/>
        <v>Em andamento</v>
      </c>
      <c r="M109" s="306">
        <f t="shared" si="22"/>
        <v>0</v>
      </c>
      <c r="N109" s="305" t="str">
        <f t="shared" si="23"/>
        <v>Dentro do prazo</v>
      </c>
      <c r="O109" s="389">
        <f t="shared" si="15"/>
        <v>0</v>
      </c>
      <c r="P109" s="389">
        <f t="shared" si="16"/>
        <v>0</v>
      </c>
      <c r="Q109" s="309">
        <f t="shared" si="17"/>
        <v>0</v>
      </c>
    </row>
    <row r="110" spans="1:17" s="279" customFormat="1" ht="32.25" customHeight="1" x14ac:dyDescent="0.2">
      <c r="A110" s="282"/>
      <c r="B110" s="282"/>
      <c r="C110" s="283"/>
      <c r="D110" s="284"/>
      <c r="E110" s="297"/>
      <c r="F110" s="285"/>
      <c r="G110" s="285"/>
      <c r="H110" s="285"/>
      <c r="I110" s="282"/>
      <c r="J110" s="282"/>
      <c r="K110" s="282"/>
      <c r="L110" s="278" t="str">
        <f t="shared" si="21"/>
        <v>Em andamento</v>
      </c>
      <c r="M110" s="306">
        <f t="shared" si="22"/>
        <v>0</v>
      </c>
      <c r="N110" s="305" t="str">
        <f t="shared" si="23"/>
        <v>Dentro do prazo</v>
      </c>
      <c r="O110" s="389">
        <f t="shared" si="15"/>
        <v>0</v>
      </c>
      <c r="P110" s="389">
        <f t="shared" si="16"/>
        <v>0</v>
      </c>
      <c r="Q110" s="309">
        <f t="shared" si="17"/>
        <v>0</v>
      </c>
    </row>
    <row r="111" spans="1:17" s="279" customFormat="1" ht="32.25" customHeight="1" x14ac:dyDescent="0.2">
      <c r="A111" s="282"/>
      <c r="B111" s="282"/>
      <c r="C111" s="283"/>
      <c r="D111" s="284"/>
      <c r="E111" s="297"/>
      <c r="F111" s="285"/>
      <c r="G111" s="285"/>
      <c r="H111" s="285"/>
      <c r="I111" s="282"/>
      <c r="J111" s="282"/>
      <c r="K111" s="282"/>
      <c r="L111" s="278" t="str">
        <f t="shared" si="21"/>
        <v>Em andamento</v>
      </c>
      <c r="M111" s="306">
        <f t="shared" si="22"/>
        <v>0</v>
      </c>
      <c r="N111" s="305" t="str">
        <f t="shared" si="23"/>
        <v>Dentro do prazo</v>
      </c>
      <c r="O111" s="389">
        <f t="shared" si="15"/>
        <v>0</v>
      </c>
      <c r="P111" s="389">
        <f t="shared" si="16"/>
        <v>0</v>
      </c>
      <c r="Q111" s="309">
        <f t="shared" si="17"/>
        <v>0</v>
      </c>
    </row>
    <row r="112" spans="1:17" s="279" customFormat="1" ht="32.25" customHeight="1" x14ac:dyDescent="0.2">
      <c r="A112" s="282"/>
      <c r="B112" s="282"/>
      <c r="C112" s="283"/>
      <c r="D112" s="284"/>
      <c r="E112" s="297"/>
      <c r="F112" s="285"/>
      <c r="G112" s="285"/>
      <c r="H112" s="285"/>
      <c r="I112" s="282"/>
      <c r="J112" s="282"/>
      <c r="K112" s="282"/>
      <c r="L112" s="278" t="str">
        <f t="shared" si="21"/>
        <v>Em andamento</v>
      </c>
      <c r="M112" s="306">
        <f t="shared" si="22"/>
        <v>0</v>
      </c>
      <c r="N112" s="305" t="str">
        <f t="shared" si="23"/>
        <v>Dentro do prazo</v>
      </c>
      <c r="O112" s="389">
        <f t="shared" si="15"/>
        <v>0</v>
      </c>
      <c r="P112" s="389">
        <f t="shared" si="16"/>
        <v>0</v>
      </c>
      <c r="Q112" s="309">
        <f t="shared" si="17"/>
        <v>0</v>
      </c>
    </row>
    <row r="113" spans="1:17" s="279" customFormat="1" ht="32.25" customHeight="1" x14ac:dyDescent="0.2">
      <c r="A113" s="282"/>
      <c r="B113" s="282"/>
      <c r="C113" s="283"/>
      <c r="D113" s="284"/>
      <c r="E113" s="297"/>
      <c r="F113" s="285"/>
      <c r="G113" s="285"/>
      <c r="H113" s="285"/>
      <c r="I113" s="282"/>
      <c r="J113" s="282"/>
      <c r="K113" s="282"/>
      <c r="L113" s="278" t="str">
        <f t="shared" si="21"/>
        <v>Em andamento</v>
      </c>
      <c r="M113" s="306">
        <f t="shared" si="22"/>
        <v>0</v>
      </c>
      <c r="N113" s="305" t="str">
        <f t="shared" si="23"/>
        <v>Dentro do prazo</v>
      </c>
      <c r="O113" s="389">
        <f t="shared" si="15"/>
        <v>0</v>
      </c>
      <c r="P113" s="389">
        <f t="shared" si="16"/>
        <v>0</v>
      </c>
      <c r="Q113" s="309">
        <f t="shared" si="17"/>
        <v>0</v>
      </c>
    </row>
    <row r="114" spans="1:17" s="279" customFormat="1" ht="32.25" customHeight="1" x14ac:dyDescent="0.2">
      <c r="A114" s="282"/>
      <c r="B114" s="282"/>
      <c r="C114" s="283"/>
      <c r="D114" s="284"/>
      <c r="E114" s="297"/>
      <c r="F114" s="285"/>
      <c r="G114" s="285"/>
      <c r="H114" s="285"/>
      <c r="I114" s="282"/>
      <c r="J114" s="282"/>
      <c r="K114" s="282"/>
      <c r="L114" s="278" t="str">
        <f t="shared" si="21"/>
        <v>Em andamento</v>
      </c>
      <c r="M114" s="306">
        <f t="shared" si="22"/>
        <v>0</v>
      </c>
      <c r="N114" s="305" t="str">
        <f t="shared" si="23"/>
        <v>Dentro do prazo</v>
      </c>
      <c r="O114" s="389">
        <f t="shared" si="15"/>
        <v>0</v>
      </c>
      <c r="P114" s="389">
        <f t="shared" si="16"/>
        <v>0</v>
      </c>
      <c r="Q114" s="309">
        <f t="shared" si="17"/>
        <v>0</v>
      </c>
    </row>
    <row r="115" spans="1:17" s="279" customFormat="1" ht="32.25" customHeight="1" x14ac:dyDescent="0.2">
      <c r="A115" s="282"/>
      <c r="B115" s="282"/>
      <c r="C115" s="283"/>
      <c r="D115" s="284"/>
      <c r="E115" s="297"/>
      <c r="F115" s="285"/>
      <c r="G115" s="285"/>
      <c r="H115" s="285"/>
      <c r="I115" s="282"/>
      <c r="J115" s="282"/>
      <c r="K115" s="282"/>
      <c r="L115" s="278" t="str">
        <f t="shared" si="21"/>
        <v>Em andamento</v>
      </c>
      <c r="M115" s="306">
        <f t="shared" si="22"/>
        <v>0</v>
      </c>
      <c r="N115" s="305" t="str">
        <f t="shared" si="23"/>
        <v>Dentro do prazo</v>
      </c>
      <c r="O115" s="389">
        <f t="shared" si="15"/>
        <v>0</v>
      </c>
      <c r="P115" s="389">
        <f t="shared" si="16"/>
        <v>0</v>
      </c>
      <c r="Q115" s="309">
        <f t="shared" si="17"/>
        <v>0</v>
      </c>
    </row>
    <row r="116" spans="1:17" s="279" customFormat="1" ht="32.25" customHeight="1" x14ac:dyDescent="0.2">
      <c r="A116" s="282"/>
      <c r="B116" s="282"/>
      <c r="C116" s="283"/>
      <c r="D116" s="284"/>
      <c r="E116" s="297"/>
      <c r="F116" s="285"/>
      <c r="G116" s="285"/>
      <c r="H116" s="285"/>
      <c r="I116" s="282"/>
      <c r="J116" s="282"/>
      <c r="K116" s="282"/>
      <c r="L116" s="278" t="str">
        <f t="shared" si="21"/>
        <v>Em andamento</v>
      </c>
      <c r="M116" s="306">
        <f t="shared" si="22"/>
        <v>0</v>
      </c>
      <c r="N116" s="305" t="str">
        <f t="shared" si="23"/>
        <v>Dentro do prazo</v>
      </c>
      <c r="O116" s="389">
        <f t="shared" si="15"/>
        <v>0</v>
      </c>
      <c r="P116" s="389">
        <f t="shared" si="16"/>
        <v>0</v>
      </c>
      <c r="Q116" s="309">
        <f t="shared" si="17"/>
        <v>0</v>
      </c>
    </row>
    <row r="117" spans="1:17" s="279" customFormat="1" ht="32.25" customHeight="1" x14ac:dyDescent="0.2">
      <c r="A117" s="282"/>
      <c r="B117" s="282"/>
      <c r="C117" s="283"/>
      <c r="D117" s="284"/>
      <c r="E117" s="297"/>
      <c r="F117" s="285"/>
      <c r="G117" s="285"/>
      <c r="H117" s="285"/>
      <c r="I117" s="282"/>
      <c r="J117" s="282"/>
      <c r="K117" s="282"/>
      <c r="L117" s="278" t="str">
        <f t="shared" si="21"/>
        <v>Em andamento</v>
      </c>
      <c r="M117" s="306">
        <f t="shared" si="22"/>
        <v>0</v>
      </c>
      <c r="N117" s="305" t="str">
        <f t="shared" si="23"/>
        <v>Dentro do prazo</v>
      </c>
      <c r="O117" s="389">
        <f t="shared" si="15"/>
        <v>0</v>
      </c>
      <c r="P117" s="389">
        <f t="shared" si="16"/>
        <v>0</v>
      </c>
      <c r="Q117" s="309">
        <f t="shared" si="17"/>
        <v>0</v>
      </c>
    </row>
    <row r="118" spans="1:17" s="279" customFormat="1" ht="32.25" customHeight="1" x14ac:dyDescent="0.2">
      <c r="A118" s="282"/>
      <c r="B118" s="282"/>
      <c r="C118" s="283"/>
      <c r="D118" s="284"/>
      <c r="E118" s="297"/>
      <c r="F118" s="285"/>
      <c r="G118" s="285"/>
      <c r="H118" s="285"/>
      <c r="I118" s="282"/>
      <c r="J118" s="282"/>
      <c r="K118" s="282"/>
      <c r="L118" s="278" t="str">
        <f t="shared" si="21"/>
        <v>Em andamento</v>
      </c>
      <c r="M118" s="306">
        <f t="shared" si="22"/>
        <v>0</v>
      </c>
      <c r="N118" s="305" t="str">
        <f t="shared" si="23"/>
        <v>Dentro do prazo</v>
      </c>
      <c r="O118" s="389">
        <f t="shared" si="15"/>
        <v>0</v>
      </c>
      <c r="P118" s="389">
        <f t="shared" si="16"/>
        <v>0</v>
      </c>
      <c r="Q118" s="309">
        <f t="shared" si="17"/>
        <v>0</v>
      </c>
    </row>
    <row r="119" spans="1:17" s="279" customFormat="1" ht="32.25" customHeight="1" x14ac:dyDescent="0.2">
      <c r="A119" s="282"/>
      <c r="B119" s="282"/>
      <c r="C119" s="283"/>
      <c r="D119" s="284"/>
      <c r="E119" s="297"/>
      <c r="F119" s="285"/>
      <c r="G119" s="285"/>
      <c r="H119" s="285"/>
      <c r="I119" s="282"/>
      <c r="J119" s="282"/>
      <c r="K119" s="282"/>
      <c r="L119" s="278" t="str">
        <f t="shared" si="21"/>
        <v>Em andamento</v>
      </c>
      <c r="M119" s="306">
        <f t="shared" si="22"/>
        <v>0</v>
      </c>
      <c r="N119" s="305" t="str">
        <f t="shared" si="23"/>
        <v>Dentro do prazo</v>
      </c>
      <c r="O119" s="389">
        <f t="shared" si="15"/>
        <v>0</v>
      </c>
      <c r="P119" s="389">
        <f t="shared" si="16"/>
        <v>0</v>
      </c>
      <c r="Q119" s="309">
        <f t="shared" si="17"/>
        <v>0</v>
      </c>
    </row>
    <row r="120" spans="1:17" s="279" customFormat="1" ht="32.25" customHeight="1" x14ac:dyDescent="0.2">
      <c r="A120" s="282"/>
      <c r="B120" s="282"/>
      <c r="C120" s="283"/>
      <c r="D120" s="284"/>
      <c r="E120" s="297"/>
      <c r="F120" s="285"/>
      <c r="G120" s="285"/>
      <c r="H120" s="285"/>
      <c r="I120" s="282"/>
      <c r="J120" s="282"/>
      <c r="K120" s="282"/>
      <c r="L120" s="278" t="str">
        <f t="shared" si="21"/>
        <v>Em andamento</v>
      </c>
      <c r="M120" s="306">
        <f t="shared" si="22"/>
        <v>0</v>
      </c>
      <c r="N120" s="305" t="str">
        <f t="shared" si="23"/>
        <v>Dentro do prazo</v>
      </c>
      <c r="O120" s="389">
        <f t="shared" si="15"/>
        <v>0</v>
      </c>
      <c r="P120" s="389">
        <f t="shared" si="16"/>
        <v>0</v>
      </c>
      <c r="Q120" s="309">
        <f t="shared" si="17"/>
        <v>0</v>
      </c>
    </row>
    <row r="121" spans="1:17" s="279" customFormat="1" ht="32.25" customHeight="1" x14ac:dyDescent="0.2">
      <c r="A121" s="282"/>
      <c r="B121" s="282"/>
      <c r="C121" s="283"/>
      <c r="D121" s="284"/>
      <c r="E121" s="297"/>
      <c r="F121" s="285"/>
      <c r="G121" s="285"/>
      <c r="H121" s="285"/>
      <c r="I121" s="282"/>
      <c r="J121" s="285"/>
      <c r="K121" s="282"/>
      <c r="L121" s="278" t="str">
        <f t="shared" si="21"/>
        <v>Em andamento</v>
      </c>
      <c r="M121" s="306">
        <f t="shared" si="22"/>
        <v>0</v>
      </c>
      <c r="N121" s="305" t="str">
        <f t="shared" si="23"/>
        <v>Dentro do prazo</v>
      </c>
      <c r="O121" s="389">
        <f t="shared" si="15"/>
        <v>0</v>
      </c>
      <c r="P121" s="389">
        <f t="shared" si="16"/>
        <v>0</v>
      </c>
      <c r="Q121" s="309">
        <f t="shared" si="17"/>
        <v>0</v>
      </c>
    </row>
    <row r="122" spans="1:17" s="279" customFormat="1" ht="32.25" customHeight="1" x14ac:dyDescent="0.2">
      <c r="A122" s="282"/>
      <c r="B122" s="282"/>
      <c r="C122" s="283"/>
      <c r="D122" s="284"/>
      <c r="E122" s="297"/>
      <c r="F122" s="285"/>
      <c r="G122" s="285"/>
      <c r="H122" s="285"/>
      <c r="I122" s="282"/>
      <c r="J122" s="285"/>
      <c r="K122" s="282"/>
      <c r="L122" s="278" t="str">
        <f t="shared" si="21"/>
        <v>Em andamento</v>
      </c>
      <c r="M122" s="306">
        <f t="shared" si="22"/>
        <v>0</v>
      </c>
      <c r="N122" s="305" t="str">
        <f t="shared" si="23"/>
        <v>Dentro do prazo</v>
      </c>
      <c r="O122" s="389">
        <f t="shared" si="15"/>
        <v>0</v>
      </c>
      <c r="P122" s="389">
        <f t="shared" si="16"/>
        <v>0</v>
      </c>
      <c r="Q122" s="309">
        <f t="shared" si="17"/>
        <v>0</v>
      </c>
    </row>
    <row r="123" spans="1:17" s="279" customFormat="1" ht="32.25" customHeight="1" x14ac:dyDescent="0.2">
      <c r="A123" s="282"/>
      <c r="B123" s="282"/>
      <c r="C123" s="283"/>
      <c r="D123" s="284"/>
      <c r="E123" s="297"/>
      <c r="F123" s="285"/>
      <c r="G123" s="285"/>
      <c r="H123" s="285"/>
      <c r="I123" s="282"/>
      <c r="J123" s="282"/>
      <c r="K123" s="282"/>
      <c r="L123" s="278" t="str">
        <f t="shared" si="21"/>
        <v>Em andamento</v>
      </c>
      <c r="M123" s="306">
        <f t="shared" si="22"/>
        <v>0</v>
      </c>
      <c r="N123" s="305" t="str">
        <f t="shared" si="23"/>
        <v>Dentro do prazo</v>
      </c>
      <c r="O123" s="389">
        <f t="shared" si="15"/>
        <v>0</v>
      </c>
      <c r="P123" s="389">
        <f t="shared" si="16"/>
        <v>0</v>
      </c>
      <c r="Q123" s="309">
        <f t="shared" si="17"/>
        <v>0</v>
      </c>
    </row>
    <row r="124" spans="1:17" s="279" customFormat="1" ht="32.25" customHeight="1" x14ac:dyDescent="0.2">
      <c r="A124" s="282"/>
      <c r="B124" s="282"/>
      <c r="C124" s="283"/>
      <c r="D124" s="284"/>
      <c r="E124" s="297"/>
      <c r="F124" s="285"/>
      <c r="G124" s="285"/>
      <c r="H124" s="285"/>
      <c r="I124" s="282"/>
      <c r="J124" s="282"/>
      <c r="K124" s="282"/>
      <c r="L124" s="278" t="str">
        <f t="shared" si="21"/>
        <v>Em andamento</v>
      </c>
      <c r="M124" s="306">
        <f t="shared" si="22"/>
        <v>0</v>
      </c>
      <c r="N124" s="305" t="str">
        <f t="shared" si="23"/>
        <v>Dentro do prazo</v>
      </c>
      <c r="O124" s="389">
        <f t="shared" si="15"/>
        <v>0</v>
      </c>
      <c r="P124" s="389">
        <f t="shared" si="16"/>
        <v>0</v>
      </c>
      <c r="Q124" s="309">
        <f t="shared" si="17"/>
        <v>0</v>
      </c>
    </row>
    <row r="125" spans="1:17" s="279" customFormat="1" ht="32.25" customHeight="1" x14ac:dyDescent="0.2">
      <c r="A125" s="282"/>
      <c r="B125" s="282"/>
      <c r="C125" s="283"/>
      <c r="D125" s="284"/>
      <c r="E125" s="297"/>
      <c r="F125" s="285"/>
      <c r="G125" s="285"/>
      <c r="H125" s="285"/>
      <c r="I125" s="282"/>
      <c r="J125" s="282"/>
      <c r="K125" s="282"/>
      <c r="L125" s="278" t="str">
        <f t="shared" si="21"/>
        <v>Em andamento</v>
      </c>
      <c r="M125" s="306">
        <f t="shared" si="22"/>
        <v>0</v>
      </c>
      <c r="N125" s="305" t="str">
        <f t="shared" si="23"/>
        <v>Dentro do prazo</v>
      </c>
      <c r="O125" s="389">
        <f t="shared" si="15"/>
        <v>0</v>
      </c>
      <c r="P125" s="389">
        <f t="shared" si="16"/>
        <v>0</v>
      </c>
      <c r="Q125" s="309">
        <f t="shared" si="17"/>
        <v>0</v>
      </c>
    </row>
    <row r="126" spans="1:17" s="279" customFormat="1" ht="32.25" customHeight="1" x14ac:dyDescent="0.2">
      <c r="A126" s="282"/>
      <c r="B126" s="282"/>
      <c r="C126" s="283"/>
      <c r="D126" s="284"/>
      <c r="E126" s="297"/>
      <c r="F126" s="285"/>
      <c r="G126" s="285"/>
      <c r="H126" s="285"/>
      <c r="I126" s="282"/>
      <c r="J126" s="282"/>
      <c r="K126" s="282"/>
      <c r="L126" s="278" t="str">
        <f t="shared" si="21"/>
        <v>Em andamento</v>
      </c>
      <c r="M126" s="306">
        <f t="shared" si="22"/>
        <v>0</v>
      </c>
      <c r="N126" s="305" t="str">
        <f t="shared" si="23"/>
        <v>Dentro do prazo</v>
      </c>
      <c r="O126" s="389">
        <f t="shared" si="15"/>
        <v>0</v>
      </c>
      <c r="P126" s="389">
        <f t="shared" si="16"/>
        <v>0</v>
      </c>
      <c r="Q126" s="309">
        <f t="shared" si="17"/>
        <v>0</v>
      </c>
    </row>
    <row r="127" spans="1:17" s="279" customFormat="1" ht="32.25" customHeight="1" x14ac:dyDescent="0.2">
      <c r="A127" s="282"/>
      <c r="B127" s="282"/>
      <c r="C127" s="283"/>
      <c r="D127" s="284"/>
      <c r="E127" s="297"/>
      <c r="F127" s="285"/>
      <c r="G127" s="285"/>
      <c r="H127" s="285"/>
      <c r="I127" s="282"/>
      <c r="J127" s="282"/>
      <c r="K127" s="282"/>
      <c r="L127" s="278" t="str">
        <f t="shared" si="21"/>
        <v>Em andamento</v>
      </c>
      <c r="M127" s="306">
        <f t="shared" si="22"/>
        <v>0</v>
      </c>
      <c r="N127" s="305" t="str">
        <f t="shared" si="23"/>
        <v>Dentro do prazo</v>
      </c>
      <c r="O127" s="389">
        <f t="shared" si="15"/>
        <v>0</v>
      </c>
      <c r="P127" s="389">
        <f t="shared" si="16"/>
        <v>0</v>
      </c>
      <c r="Q127" s="309">
        <f t="shared" si="17"/>
        <v>0</v>
      </c>
    </row>
    <row r="128" spans="1:17" s="279" customFormat="1" ht="32.25" customHeight="1" x14ac:dyDescent="0.2">
      <c r="A128" s="282"/>
      <c r="B128" s="282"/>
      <c r="C128" s="283"/>
      <c r="D128" s="284"/>
      <c r="E128" s="297"/>
      <c r="F128" s="285"/>
      <c r="G128" s="285"/>
      <c r="H128" s="285"/>
      <c r="I128" s="282"/>
      <c r="J128" s="282"/>
      <c r="K128" s="282"/>
      <c r="L128" s="278" t="str">
        <f t="shared" si="21"/>
        <v>Em andamento</v>
      </c>
      <c r="M128" s="306">
        <f t="shared" si="22"/>
        <v>0</v>
      </c>
      <c r="N128" s="305" t="str">
        <f t="shared" si="23"/>
        <v>Dentro do prazo</v>
      </c>
      <c r="O128" s="389">
        <f t="shared" si="15"/>
        <v>0</v>
      </c>
      <c r="P128" s="389">
        <f t="shared" si="16"/>
        <v>0</v>
      </c>
      <c r="Q128" s="309">
        <f t="shared" si="17"/>
        <v>0</v>
      </c>
    </row>
    <row r="129" spans="1:17" s="279" customFormat="1" ht="32.25" customHeight="1" x14ac:dyDescent="0.2">
      <c r="A129" s="282"/>
      <c r="B129" s="282"/>
      <c r="C129" s="283"/>
      <c r="D129" s="284"/>
      <c r="E129" s="297"/>
      <c r="F129" s="285"/>
      <c r="G129" s="285"/>
      <c r="H129" s="285"/>
      <c r="I129" s="282"/>
      <c r="J129" s="282"/>
      <c r="K129" s="282"/>
      <c r="L129" s="278" t="str">
        <f t="shared" si="21"/>
        <v>Em andamento</v>
      </c>
      <c r="M129" s="306">
        <f t="shared" si="22"/>
        <v>0</v>
      </c>
      <c r="N129" s="305" t="str">
        <f t="shared" si="23"/>
        <v>Dentro do prazo</v>
      </c>
      <c r="O129" s="389">
        <f t="shared" si="15"/>
        <v>0</v>
      </c>
      <c r="P129" s="389">
        <f t="shared" si="16"/>
        <v>0</v>
      </c>
      <c r="Q129" s="309">
        <f t="shared" si="17"/>
        <v>0</v>
      </c>
    </row>
    <row r="130" spans="1:17" s="279" customFormat="1" ht="32.25" customHeight="1" x14ac:dyDescent="0.2">
      <c r="A130" s="282"/>
      <c r="B130" s="282"/>
      <c r="C130" s="283"/>
      <c r="D130" s="284"/>
      <c r="E130" s="297"/>
      <c r="F130" s="285"/>
      <c r="G130" s="285"/>
      <c r="H130" s="285"/>
      <c r="I130" s="282"/>
      <c r="J130" s="282"/>
      <c r="K130" s="282"/>
      <c r="L130" s="278" t="str">
        <f t="shared" si="21"/>
        <v>Em andamento</v>
      </c>
      <c r="M130" s="306">
        <f t="shared" si="22"/>
        <v>0</v>
      </c>
      <c r="N130" s="305" t="str">
        <f t="shared" si="23"/>
        <v>Dentro do prazo</v>
      </c>
      <c r="O130" s="389">
        <f t="shared" si="15"/>
        <v>0</v>
      </c>
      <c r="P130" s="389">
        <f t="shared" si="16"/>
        <v>0</v>
      </c>
      <c r="Q130" s="309">
        <f t="shared" si="17"/>
        <v>0</v>
      </c>
    </row>
    <row r="131" spans="1:17" s="279" customFormat="1" ht="32.25" customHeight="1" x14ac:dyDescent="0.2">
      <c r="A131" s="282"/>
      <c r="B131" s="282"/>
      <c r="C131" s="283"/>
      <c r="D131" s="284"/>
      <c r="E131" s="297"/>
      <c r="F131" s="285"/>
      <c r="G131" s="285"/>
      <c r="H131" s="285"/>
      <c r="I131" s="282"/>
      <c r="J131" s="282"/>
      <c r="K131" s="282"/>
      <c r="L131" s="278" t="str">
        <f t="shared" si="21"/>
        <v>Em andamento</v>
      </c>
      <c r="M131" s="306">
        <f t="shared" si="22"/>
        <v>0</v>
      </c>
      <c r="N131" s="305" t="str">
        <f t="shared" si="23"/>
        <v>Dentro do prazo</v>
      </c>
      <c r="O131" s="389">
        <f t="shared" si="15"/>
        <v>0</v>
      </c>
      <c r="P131" s="389">
        <f t="shared" si="16"/>
        <v>0</v>
      </c>
      <c r="Q131" s="309">
        <f t="shared" si="17"/>
        <v>0</v>
      </c>
    </row>
    <row r="132" spans="1:17" s="279" customFormat="1" ht="32.25" customHeight="1" x14ac:dyDescent="0.2">
      <c r="A132" s="282"/>
      <c r="B132" s="282"/>
      <c r="C132" s="283"/>
      <c r="D132" s="284"/>
      <c r="E132" s="297"/>
      <c r="F132" s="285"/>
      <c r="G132" s="285"/>
      <c r="H132" s="285"/>
      <c r="I132" s="282"/>
      <c r="J132" s="282"/>
      <c r="K132" s="282"/>
      <c r="L132" s="278" t="str">
        <f t="shared" si="21"/>
        <v>Em andamento</v>
      </c>
      <c r="M132" s="306">
        <f t="shared" si="22"/>
        <v>0</v>
      </c>
      <c r="N132" s="305" t="str">
        <f t="shared" si="23"/>
        <v>Dentro do prazo</v>
      </c>
      <c r="O132" s="389">
        <f t="shared" si="15"/>
        <v>0</v>
      </c>
      <c r="P132" s="389">
        <f t="shared" si="16"/>
        <v>0</v>
      </c>
      <c r="Q132" s="309">
        <f t="shared" si="17"/>
        <v>0</v>
      </c>
    </row>
    <row r="133" spans="1:17" s="279" customFormat="1" ht="32.25" customHeight="1" x14ac:dyDescent="0.2">
      <c r="A133" s="282"/>
      <c r="B133" s="282"/>
      <c r="C133" s="283"/>
      <c r="D133" s="284"/>
      <c r="E133" s="297"/>
      <c r="F133" s="285"/>
      <c r="G133" s="285"/>
      <c r="H133" s="285"/>
      <c r="I133" s="282"/>
      <c r="J133" s="282"/>
      <c r="K133" s="282"/>
      <c r="L133" s="278" t="str">
        <f t="shared" si="21"/>
        <v>Em andamento</v>
      </c>
      <c r="M133" s="306">
        <f t="shared" si="22"/>
        <v>0</v>
      </c>
      <c r="N133" s="305" t="str">
        <f t="shared" si="23"/>
        <v>Dentro do prazo</v>
      </c>
      <c r="O133" s="389">
        <f t="shared" si="15"/>
        <v>0</v>
      </c>
      <c r="P133" s="389">
        <f t="shared" si="16"/>
        <v>0</v>
      </c>
      <c r="Q133" s="309">
        <f t="shared" si="17"/>
        <v>0</v>
      </c>
    </row>
    <row r="134" spans="1:17" s="279" customFormat="1" ht="32.25" customHeight="1" x14ac:dyDescent="0.2">
      <c r="A134" s="282"/>
      <c r="B134" s="282"/>
      <c r="C134" s="283"/>
      <c r="D134" s="284"/>
      <c r="E134" s="297"/>
      <c r="F134" s="285"/>
      <c r="G134" s="285"/>
      <c r="H134" s="285"/>
      <c r="I134" s="282"/>
      <c r="J134" s="282"/>
      <c r="K134" s="282"/>
      <c r="L134" s="278" t="str">
        <f t="shared" si="21"/>
        <v>Em andamento</v>
      </c>
      <c r="M134" s="306">
        <f t="shared" si="22"/>
        <v>0</v>
      </c>
      <c r="N134" s="305" t="str">
        <f t="shared" si="23"/>
        <v>Dentro do prazo</v>
      </c>
      <c r="O134" s="389">
        <f t="shared" si="15"/>
        <v>0</v>
      </c>
      <c r="P134" s="389">
        <f t="shared" si="16"/>
        <v>0</v>
      </c>
      <c r="Q134" s="309">
        <f t="shared" si="17"/>
        <v>0</v>
      </c>
    </row>
    <row r="135" spans="1:17" s="279" customFormat="1" ht="32.25" customHeight="1" x14ac:dyDescent="0.2">
      <c r="A135" s="282"/>
      <c r="B135" s="282"/>
      <c r="C135" s="283"/>
      <c r="D135" s="284"/>
      <c r="E135" s="297"/>
      <c r="F135" s="285"/>
      <c r="G135" s="285"/>
      <c r="H135" s="285"/>
      <c r="I135" s="282"/>
      <c r="J135" s="282"/>
      <c r="K135" s="282"/>
      <c r="L135" s="278" t="str">
        <f t="shared" si="21"/>
        <v>Em andamento</v>
      </c>
      <c r="M135" s="306">
        <f t="shared" si="22"/>
        <v>0</v>
      </c>
      <c r="N135" s="305" t="str">
        <f t="shared" si="23"/>
        <v>Dentro do prazo</v>
      </c>
      <c r="O135" s="389">
        <f t="shared" si="15"/>
        <v>0</v>
      </c>
      <c r="P135" s="389">
        <f t="shared" si="16"/>
        <v>0</v>
      </c>
      <c r="Q135" s="309">
        <f t="shared" si="17"/>
        <v>0</v>
      </c>
    </row>
    <row r="136" spans="1:17" s="279" customFormat="1" ht="32.25" customHeight="1" x14ac:dyDescent="0.2">
      <c r="A136" s="282"/>
      <c r="B136" s="282"/>
      <c r="C136" s="283"/>
      <c r="D136" s="284"/>
      <c r="E136" s="297"/>
      <c r="F136" s="285"/>
      <c r="G136" s="285"/>
      <c r="H136" s="285"/>
      <c r="I136" s="282"/>
      <c r="J136" s="282"/>
      <c r="K136" s="282"/>
      <c r="L136" s="278" t="str">
        <f t="shared" si="21"/>
        <v>Em andamento</v>
      </c>
      <c r="M136" s="306">
        <f t="shared" si="22"/>
        <v>0</v>
      </c>
      <c r="N136" s="305" t="str">
        <f t="shared" si="23"/>
        <v>Dentro do prazo</v>
      </c>
      <c r="O136" s="389">
        <f t="shared" si="15"/>
        <v>0</v>
      </c>
      <c r="P136" s="389">
        <f t="shared" si="16"/>
        <v>0</v>
      </c>
      <c r="Q136" s="309">
        <f t="shared" si="17"/>
        <v>0</v>
      </c>
    </row>
    <row r="137" spans="1:17" s="279" customFormat="1" ht="32.25" customHeight="1" x14ac:dyDescent="0.2">
      <c r="A137" s="282"/>
      <c r="B137" s="282"/>
      <c r="C137" s="283"/>
      <c r="D137" s="284"/>
      <c r="E137" s="297"/>
      <c r="F137" s="285"/>
      <c r="G137" s="285"/>
      <c r="H137" s="285"/>
      <c r="I137" s="282"/>
      <c r="J137" s="282"/>
      <c r="K137" s="282"/>
      <c r="L137" s="278" t="str">
        <f t="shared" si="21"/>
        <v>Em andamento</v>
      </c>
      <c r="M137" s="306">
        <f t="shared" si="22"/>
        <v>0</v>
      </c>
      <c r="N137" s="305" t="str">
        <f t="shared" si="23"/>
        <v>Dentro do prazo</v>
      </c>
      <c r="O137" s="389">
        <f t="shared" si="15"/>
        <v>0</v>
      </c>
      <c r="P137" s="389">
        <f t="shared" si="16"/>
        <v>0</v>
      </c>
      <c r="Q137" s="309">
        <f t="shared" si="17"/>
        <v>0</v>
      </c>
    </row>
    <row r="138" spans="1:17" s="279" customFormat="1" ht="32.25" customHeight="1" x14ac:dyDescent="0.2">
      <c r="A138" s="282"/>
      <c r="B138" s="282"/>
      <c r="C138" s="283"/>
      <c r="D138" s="284"/>
      <c r="E138" s="297"/>
      <c r="F138" s="285"/>
      <c r="G138" s="285"/>
      <c r="H138" s="285"/>
      <c r="I138" s="282"/>
      <c r="J138" s="282"/>
      <c r="K138" s="282"/>
      <c r="L138" s="278" t="str">
        <f t="shared" si="21"/>
        <v>Em andamento</v>
      </c>
      <c r="M138" s="306">
        <f t="shared" si="22"/>
        <v>0</v>
      </c>
      <c r="N138" s="305" t="str">
        <f t="shared" si="23"/>
        <v>Dentro do prazo</v>
      </c>
      <c r="O138" s="389">
        <f t="shared" si="15"/>
        <v>0</v>
      </c>
      <c r="P138" s="389">
        <f t="shared" si="16"/>
        <v>0</v>
      </c>
      <c r="Q138" s="309">
        <f t="shared" si="17"/>
        <v>0</v>
      </c>
    </row>
    <row r="139" spans="1:17" s="279" customFormat="1" ht="32.25" customHeight="1" x14ac:dyDescent="0.2">
      <c r="A139" s="282"/>
      <c r="B139" s="282"/>
      <c r="C139" s="283"/>
      <c r="D139" s="284"/>
      <c r="E139" s="297"/>
      <c r="F139" s="285"/>
      <c r="G139" s="285"/>
      <c r="H139" s="285"/>
      <c r="I139" s="282"/>
      <c r="J139" s="282"/>
      <c r="K139" s="282"/>
      <c r="L139" s="278" t="str">
        <f t="shared" si="21"/>
        <v>Em andamento</v>
      </c>
      <c r="M139" s="306">
        <f t="shared" si="22"/>
        <v>0</v>
      </c>
      <c r="N139" s="305" t="str">
        <f t="shared" si="23"/>
        <v>Dentro do prazo</v>
      </c>
      <c r="O139" s="389">
        <f t="shared" si="15"/>
        <v>0</v>
      </c>
      <c r="P139" s="389">
        <f t="shared" si="16"/>
        <v>0</v>
      </c>
      <c r="Q139" s="309">
        <f t="shared" si="17"/>
        <v>0</v>
      </c>
    </row>
    <row r="140" spans="1:17" s="279" customFormat="1" ht="32.25" customHeight="1" x14ac:dyDescent="0.2">
      <c r="A140" s="282"/>
      <c r="B140" s="282"/>
      <c r="C140" s="283"/>
      <c r="D140" s="284"/>
      <c r="E140" s="297"/>
      <c r="F140" s="285"/>
      <c r="G140" s="285"/>
      <c r="H140" s="285"/>
      <c r="I140" s="282"/>
      <c r="J140" s="282"/>
      <c r="K140" s="282"/>
      <c r="L140" s="278" t="str">
        <f t="shared" si="21"/>
        <v>Em andamento</v>
      </c>
      <c r="M140" s="306">
        <f t="shared" si="22"/>
        <v>0</v>
      </c>
      <c r="N140" s="305" t="str">
        <f t="shared" si="23"/>
        <v>Dentro do prazo</v>
      </c>
      <c r="O140" s="389">
        <f t="shared" si="15"/>
        <v>0</v>
      </c>
      <c r="P140" s="389">
        <f t="shared" si="16"/>
        <v>0</v>
      </c>
      <c r="Q140" s="309">
        <f t="shared" si="17"/>
        <v>0</v>
      </c>
    </row>
    <row r="141" spans="1:17" s="279" customFormat="1" ht="32.25" customHeight="1" x14ac:dyDescent="0.2">
      <c r="A141" s="282"/>
      <c r="B141" s="282"/>
      <c r="C141" s="283"/>
      <c r="D141" s="284"/>
      <c r="E141" s="297"/>
      <c r="F141" s="285"/>
      <c r="G141" s="285"/>
      <c r="H141" s="285"/>
      <c r="I141" s="282"/>
      <c r="J141" s="282"/>
      <c r="K141" s="282"/>
      <c r="L141" s="278" t="str">
        <f t="shared" si="21"/>
        <v>Em andamento</v>
      </c>
      <c r="M141" s="306">
        <f t="shared" si="22"/>
        <v>0</v>
      </c>
      <c r="N141" s="305" t="str">
        <f t="shared" si="23"/>
        <v>Dentro do prazo</v>
      </c>
      <c r="O141" s="389">
        <f t="shared" si="15"/>
        <v>0</v>
      </c>
      <c r="P141" s="389">
        <f t="shared" si="16"/>
        <v>0</v>
      </c>
      <c r="Q141" s="309">
        <f t="shared" si="17"/>
        <v>0</v>
      </c>
    </row>
    <row r="142" spans="1:17" s="279" customFormat="1" ht="32.25" customHeight="1" x14ac:dyDescent="0.2">
      <c r="A142" s="282"/>
      <c r="B142" s="282"/>
      <c r="C142" s="283"/>
      <c r="D142" s="284"/>
      <c r="E142" s="297"/>
      <c r="F142" s="285"/>
      <c r="G142" s="285"/>
      <c r="H142" s="285"/>
      <c r="I142" s="282"/>
      <c r="J142" s="282"/>
      <c r="K142" s="282"/>
      <c r="L142" s="278" t="str">
        <f t="shared" si="21"/>
        <v>Em andamento</v>
      </c>
      <c r="M142" s="306">
        <f t="shared" si="22"/>
        <v>0</v>
      </c>
      <c r="N142" s="305" t="str">
        <f t="shared" si="23"/>
        <v>Dentro do prazo</v>
      </c>
      <c r="O142" s="389">
        <f t="shared" si="15"/>
        <v>0</v>
      </c>
      <c r="P142" s="389">
        <f t="shared" si="16"/>
        <v>0</v>
      </c>
      <c r="Q142" s="309">
        <f t="shared" si="17"/>
        <v>0</v>
      </c>
    </row>
    <row r="143" spans="1:17" s="279" customFormat="1" ht="32.25" customHeight="1" x14ac:dyDescent="0.2">
      <c r="A143" s="282"/>
      <c r="B143" s="282"/>
      <c r="C143" s="283"/>
      <c r="D143" s="284"/>
      <c r="E143" s="297"/>
      <c r="F143" s="285"/>
      <c r="G143" s="285"/>
      <c r="H143" s="285"/>
      <c r="I143" s="282"/>
      <c r="J143" s="282"/>
      <c r="K143" s="282"/>
      <c r="L143" s="278" t="str">
        <f t="shared" si="21"/>
        <v>Em andamento</v>
      </c>
      <c r="M143" s="306">
        <f t="shared" si="22"/>
        <v>0</v>
      </c>
      <c r="N143" s="305" t="str">
        <f t="shared" si="23"/>
        <v>Dentro do prazo</v>
      </c>
      <c r="O143" s="389">
        <f t="shared" si="15"/>
        <v>0</v>
      </c>
      <c r="P143" s="389">
        <f t="shared" si="16"/>
        <v>0</v>
      </c>
      <c r="Q143" s="309">
        <f t="shared" si="17"/>
        <v>0</v>
      </c>
    </row>
    <row r="144" spans="1:17" s="279" customFormat="1" ht="32.25" customHeight="1" x14ac:dyDescent="0.2">
      <c r="A144" s="282"/>
      <c r="B144" s="282"/>
      <c r="C144" s="283"/>
      <c r="D144" s="284"/>
      <c r="E144" s="297"/>
      <c r="F144" s="285"/>
      <c r="G144" s="285"/>
      <c r="H144" s="285"/>
      <c r="I144" s="282"/>
      <c r="J144" s="282"/>
      <c r="K144" s="282"/>
      <c r="L144" s="278" t="str">
        <f t="shared" si="21"/>
        <v>Em andamento</v>
      </c>
      <c r="M144" s="306">
        <f t="shared" si="22"/>
        <v>0</v>
      </c>
      <c r="N144" s="305" t="str">
        <f t="shared" si="23"/>
        <v>Dentro do prazo</v>
      </c>
      <c r="O144" s="389">
        <f t="shared" si="15"/>
        <v>0</v>
      </c>
      <c r="P144" s="389">
        <f t="shared" si="16"/>
        <v>0</v>
      </c>
      <c r="Q144" s="309">
        <f t="shared" si="17"/>
        <v>0</v>
      </c>
    </row>
    <row r="145" spans="1:17" s="279" customFormat="1" ht="32.25" customHeight="1" x14ac:dyDescent="0.2">
      <c r="A145" s="282"/>
      <c r="B145" s="282"/>
      <c r="C145" s="283"/>
      <c r="D145" s="284"/>
      <c r="E145" s="297"/>
      <c r="F145" s="285"/>
      <c r="G145" s="285"/>
      <c r="H145" s="285"/>
      <c r="I145" s="282"/>
      <c r="J145" s="282"/>
      <c r="K145" s="282"/>
      <c r="L145" s="278" t="str">
        <f t="shared" si="21"/>
        <v>Em andamento</v>
      </c>
      <c r="M145" s="306">
        <f t="shared" si="22"/>
        <v>0</v>
      </c>
      <c r="N145" s="305" t="str">
        <f t="shared" si="23"/>
        <v>Dentro do prazo</v>
      </c>
      <c r="O145" s="389">
        <f t="shared" si="15"/>
        <v>0</v>
      </c>
      <c r="P145" s="389">
        <f t="shared" si="16"/>
        <v>0</v>
      </c>
      <c r="Q145" s="309">
        <f t="shared" si="17"/>
        <v>0</v>
      </c>
    </row>
    <row r="146" spans="1:17" s="279" customFormat="1" ht="32.25" customHeight="1" x14ac:dyDescent="0.2">
      <c r="A146" s="282"/>
      <c r="B146" s="282"/>
      <c r="C146" s="283"/>
      <c r="D146" s="284"/>
      <c r="E146" s="297"/>
      <c r="F146" s="285"/>
      <c r="G146" s="285"/>
      <c r="H146" s="285"/>
      <c r="I146" s="282"/>
      <c r="J146" s="282"/>
      <c r="K146" s="282"/>
      <c r="L146" s="278" t="str">
        <f t="shared" si="21"/>
        <v>Em andamento</v>
      </c>
      <c r="M146" s="306">
        <f t="shared" si="22"/>
        <v>0</v>
      </c>
      <c r="N146" s="305" t="str">
        <f t="shared" si="23"/>
        <v>Dentro do prazo</v>
      </c>
      <c r="O146" s="389">
        <f t="shared" si="15"/>
        <v>0</v>
      </c>
      <c r="P146" s="389">
        <f t="shared" si="16"/>
        <v>0</v>
      </c>
      <c r="Q146" s="309">
        <f t="shared" si="17"/>
        <v>0</v>
      </c>
    </row>
    <row r="147" spans="1:17" s="279" customFormat="1" ht="32.25" customHeight="1" x14ac:dyDescent="0.2">
      <c r="A147" s="282"/>
      <c r="B147" s="282"/>
      <c r="C147" s="283"/>
      <c r="D147" s="284"/>
      <c r="E147" s="297"/>
      <c r="F147" s="285"/>
      <c r="G147" s="285"/>
      <c r="H147" s="285"/>
      <c r="I147" s="282"/>
      <c r="J147" s="282"/>
      <c r="K147" s="282"/>
      <c r="L147" s="278" t="str">
        <f t="shared" si="21"/>
        <v>Em andamento</v>
      </c>
      <c r="M147" s="306">
        <f t="shared" si="22"/>
        <v>0</v>
      </c>
      <c r="N147" s="305" t="str">
        <f t="shared" si="23"/>
        <v>Dentro do prazo</v>
      </c>
      <c r="O147" s="389">
        <f t="shared" si="15"/>
        <v>0</v>
      </c>
      <c r="P147" s="389">
        <f t="shared" si="16"/>
        <v>0</v>
      </c>
      <c r="Q147" s="309">
        <f t="shared" si="17"/>
        <v>0</v>
      </c>
    </row>
    <row r="148" spans="1:17" s="279" customFormat="1" ht="32.25" customHeight="1" x14ac:dyDescent="0.2">
      <c r="A148" s="282"/>
      <c r="B148" s="282"/>
      <c r="C148" s="283"/>
      <c r="D148" s="284"/>
      <c r="E148" s="297"/>
      <c r="F148" s="285"/>
      <c r="G148" s="285"/>
      <c r="H148" s="285"/>
      <c r="I148" s="282"/>
      <c r="J148" s="282"/>
      <c r="K148" s="282"/>
      <c r="L148" s="278" t="str">
        <f t="shared" si="21"/>
        <v>Em andamento</v>
      </c>
      <c r="M148" s="306">
        <f t="shared" si="22"/>
        <v>0</v>
      </c>
      <c r="N148" s="305" t="str">
        <f t="shared" si="23"/>
        <v>Dentro do prazo</v>
      </c>
      <c r="O148" s="389">
        <f t="shared" si="15"/>
        <v>0</v>
      </c>
      <c r="P148" s="389">
        <f t="shared" si="16"/>
        <v>0</v>
      </c>
      <c r="Q148" s="309">
        <f t="shared" si="17"/>
        <v>0</v>
      </c>
    </row>
    <row r="149" spans="1:17" s="279" customFormat="1" ht="32.25" customHeight="1" x14ac:dyDescent="0.2">
      <c r="A149" s="282"/>
      <c r="B149" s="282"/>
      <c r="C149" s="283"/>
      <c r="D149" s="284"/>
      <c r="E149" s="297"/>
      <c r="F149" s="285"/>
      <c r="G149" s="285"/>
      <c r="H149" s="285"/>
      <c r="I149" s="282"/>
      <c r="J149" s="282"/>
      <c r="K149" s="282"/>
      <c r="L149" s="278" t="str">
        <f t="shared" si="21"/>
        <v>Em andamento</v>
      </c>
      <c r="M149" s="306">
        <f t="shared" si="22"/>
        <v>0</v>
      </c>
      <c r="N149" s="305" t="str">
        <f t="shared" si="23"/>
        <v>Dentro do prazo</v>
      </c>
      <c r="O149" s="389">
        <f t="shared" si="15"/>
        <v>0</v>
      </c>
      <c r="P149" s="389">
        <f t="shared" si="16"/>
        <v>0</v>
      </c>
      <c r="Q149" s="309">
        <f t="shared" si="17"/>
        <v>0</v>
      </c>
    </row>
    <row r="150" spans="1:17" s="279" customFormat="1" ht="32.25" customHeight="1" x14ac:dyDescent="0.2">
      <c r="A150" s="282"/>
      <c r="B150" s="282"/>
      <c r="C150" s="283"/>
      <c r="D150" s="284"/>
      <c r="E150" s="297"/>
      <c r="F150" s="285"/>
      <c r="G150" s="285"/>
      <c r="H150" s="285"/>
      <c r="I150" s="282"/>
      <c r="J150" s="282"/>
      <c r="K150" s="282"/>
      <c r="L150" s="278" t="str">
        <f t="shared" si="21"/>
        <v>Em andamento</v>
      </c>
      <c r="M150" s="306">
        <f t="shared" si="22"/>
        <v>0</v>
      </c>
      <c r="N150" s="305" t="str">
        <f t="shared" si="23"/>
        <v>Dentro do prazo</v>
      </c>
      <c r="O150" s="389">
        <f t="shared" si="15"/>
        <v>0</v>
      </c>
      <c r="P150" s="389">
        <f t="shared" si="16"/>
        <v>0</v>
      </c>
      <c r="Q150" s="309">
        <f t="shared" si="17"/>
        <v>0</v>
      </c>
    </row>
    <row r="151" spans="1:17" s="279" customFormat="1" ht="32.25" customHeight="1" x14ac:dyDescent="0.2">
      <c r="A151" s="282"/>
      <c r="B151" s="282"/>
      <c r="C151" s="283"/>
      <c r="D151" s="284"/>
      <c r="E151" s="297"/>
      <c r="F151" s="285"/>
      <c r="G151" s="285"/>
      <c r="H151" s="285"/>
      <c r="I151" s="282"/>
      <c r="J151" s="282"/>
      <c r="K151" s="282"/>
      <c r="L151" s="278" t="str">
        <f t="shared" si="21"/>
        <v>Em andamento</v>
      </c>
      <c r="M151" s="306">
        <f t="shared" si="22"/>
        <v>0</v>
      </c>
      <c r="N151" s="305" t="str">
        <f t="shared" si="23"/>
        <v>Dentro do prazo</v>
      </c>
      <c r="O151" s="389">
        <f t="shared" si="15"/>
        <v>0</v>
      </c>
      <c r="P151" s="389">
        <f t="shared" si="16"/>
        <v>0</v>
      </c>
      <c r="Q151" s="309">
        <f t="shared" si="17"/>
        <v>0</v>
      </c>
    </row>
    <row r="152" spans="1:17" s="279" customFormat="1" ht="32.25" customHeight="1" x14ac:dyDescent="0.2">
      <c r="A152" s="282"/>
      <c r="B152" s="282"/>
      <c r="C152" s="283"/>
      <c r="D152" s="284"/>
      <c r="E152" s="297"/>
      <c r="F152" s="285"/>
      <c r="G152" s="285"/>
      <c r="H152" s="285"/>
      <c r="I152" s="282"/>
      <c r="J152" s="282"/>
      <c r="K152" s="282"/>
      <c r="L152" s="278" t="str">
        <f t="shared" si="21"/>
        <v>Em andamento</v>
      </c>
      <c r="M152" s="306">
        <f t="shared" si="22"/>
        <v>0</v>
      </c>
      <c r="N152" s="305" t="str">
        <f t="shared" si="23"/>
        <v>Dentro do prazo</v>
      </c>
      <c r="O152" s="389">
        <f t="shared" si="15"/>
        <v>0</v>
      </c>
      <c r="P152" s="389">
        <f t="shared" si="16"/>
        <v>0</v>
      </c>
      <c r="Q152" s="309">
        <f t="shared" si="17"/>
        <v>0</v>
      </c>
    </row>
    <row r="153" spans="1:17" s="279" customFormat="1" ht="32.25" customHeight="1" x14ac:dyDescent="0.2">
      <c r="A153" s="282"/>
      <c r="B153" s="282"/>
      <c r="C153" s="283"/>
      <c r="D153" s="284"/>
      <c r="E153" s="297"/>
      <c r="F153" s="285"/>
      <c r="G153" s="285"/>
      <c r="H153" s="285"/>
      <c r="I153" s="282"/>
      <c r="J153" s="282"/>
      <c r="K153" s="282"/>
      <c r="L153" s="278" t="str">
        <f t="shared" si="21"/>
        <v>Em andamento</v>
      </c>
      <c r="M153" s="306">
        <f t="shared" si="22"/>
        <v>0</v>
      </c>
      <c r="N153" s="305" t="str">
        <f t="shared" si="23"/>
        <v>Dentro do prazo</v>
      </c>
      <c r="O153" s="389">
        <f t="shared" si="15"/>
        <v>0</v>
      </c>
      <c r="P153" s="389">
        <f t="shared" si="16"/>
        <v>0</v>
      </c>
      <c r="Q153" s="309">
        <f t="shared" si="17"/>
        <v>0</v>
      </c>
    </row>
    <row r="154" spans="1:17" s="279" customFormat="1" ht="32.25" customHeight="1" x14ac:dyDescent="0.2">
      <c r="A154" s="282"/>
      <c r="B154" s="282"/>
      <c r="C154" s="283"/>
      <c r="D154" s="284"/>
      <c r="E154" s="297"/>
      <c r="F154" s="285"/>
      <c r="G154" s="285"/>
      <c r="H154" s="285"/>
      <c r="I154" s="282"/>
      <c r="J154" s="282"/>
      <c r="K154" s="282"/>
      <c r="L154" s="278" t="str">
        <f t="shared" si="21"/>
        <v>Em andamento</v>
      </c>
      <c r="M154" s="306">
        <f t="shared" si="22"/>
        <v>0</v>
      </c>
      <c r="N154" s="305" t="str">
        <f t="shared" si="23"/>
        <v>Dentro do prazo</v>
      </c>
      <c r="O154" s="389">
        <f t="shared" ref="O154:O217" si="24">IFERROR(B154-K154,"-")</f>
        <v>0</v>
      </c>
      <c r="P154" s="389">
        <f t="shared" ref="P154:P217" si="25">IFERROR(IF(K154=0,0,MONTH(K154)),"-")</f>
        <v>0</v>
      </c>
      <c r="Q154" s="309">
        <f t="shared" ref="Q154:Q217" si="26">IFERROR(IF(A154=0,0,MONTH(A154)),"-")</f>
        <v>0</v>
      </c>
    </row>
    <row r="155" spans="1:17" s="279" customFormat="1" ht="32.25" customHeight="1" x14ac:dyDescent="0.2">
      <c r="A155" s="282"/>
      <c r="B155" s="282"/>
      <c r="C155" s="283"/>
      <c r="D155" s="284"/>
      <c r="E155" s="297"/>
      <c r="F155" s="285"/>
      <c r="G155" s="285"/>
      <c r="H155" s="285"/>
      <c r="I155" s="282"/>
      <c r="J155" s="282"/>
      <c r="K155" s="282"/>
      <c r="L155" s="278" t="str">
        <f t="shared" si="21"/>
        <v>Em andamento</v>
      </c>
      <c r="M155" s="306">
        <f t="shared" si="22"/>
        <v>0</v>
      </c>
      <c r="N155" s="305" t="str">
        <f t="shared" si="23"/>
        <v>Dentro do prazo</v>
      </c>
      <c r="O155" s="389">
        <f t="shared" si="24"/>
        <v>0</v>
      </c>
      <c r="P155" s="389">
        <f t="shared" si="25"/>
        <v>0</v>
      </c>
      <c r="Q155" s="309">
        <f t="shared" si="26"/>
        <v>0</v>
      </c>
    </row>
    <row r="156" spans="1:17" s="279" customFormat="1" ht="32.25" customHeight="1" x14ac:dyDescent="0.2">
      <c r="A156" s="282"/>
      <c r="B156" s="282"/>
      <c r="C156" s="283"/>
      <c r="D156" s="284"/>
      <c r="E156" s="297"/>
      <c r="F156" s="285"/>
      <c r="G156" s="285"/>
      <c r="H156" s="285"/>
      <c r="I156" s="282"/>
      <c r="J156" s="282"/>
      <c r="K156" s="282"/>
      <c r="L156" s="278" t="str">
        <f t="shared" si="21"/>
        <v>Em andamento</v>
      </c>
      <c r="M156" s="306">
        <f t="shared" si="22"/>
        <v>0</v>
      </c>
      <c r="N156" s="305" t="str">
        <f t="shared" si="23"/>
        <v>Dentro do prazo</v>
      </c>
      <c r="O156" s="389">
        <f t="shared" si="24"/>
        <v>0</v>
      </c>
      <c r="P156" s="389">
        <f t="shared" si="25"/>
        <v>0</v>
      </c>
      <c r="Q156" s="309">
        <f t="shared" si="26"/>
        <v>0</v>
      </c>
    </row>
    <row r="157" spans="1:17" s="279" customFormat="1" ht="32.25" customHeight="1" x14ac:dyDescent="0.2">
      <c r="A157" s="282"/>
      <c r="B157" s="282"/>
      <c r="C157" s="283"/>
      <c r="D157" s="284"/>
      <c r="E157" s="297"/>
      <c r="F157" s="285"/>
      <c r="G157" s="285"/>
      <c r="H157" s="285"/>
      <c r="I157" s="282"/>
      <c r="J157" s="282"/>
      <c r="K157" s="282"/>
      <c r="L157" s="278" t="str">
        <f t="shared" si="21"/>
        <v>Em andamento</v>
      </c>
      <c r="M157" s="306">
        <f t="shared" si="22"/>
        <v>0</v>
      </c>
      <c r="N157" s="305" t="str">
        <f t="shared" si="23"/>
        <v>Dentro do prazo</v>
      </c>
      <c r="O157" s="389">
        <f t="shared" si="24"/>
        <v>0</v>
      </c>
      <c r="P157" s="389">
        <f t="shared" si="25"/>
        <v>0</v>
      </c>
      <c r="Q157" s="309">
        <f t="shared" si="26"/>
        <v>0</v>
      </c>
    </row>
    <row r="158" spans="1:17" s="279" customFormat="1" ht="32.25" customHeight="1" x14ac:dyDescent="0.2">
      <c r="A158" s="282"/>
      <c r="B158" s="282"/>
      <c r="C158" s="283"/>
      <c r="D158" s="284"/>
      <c r="E158" s="297"/>
      <c r="F158" s="285"/>
      <c r="G158" s="285"/>
      <c r="H158" s="285"/>
      <c r="I158" s="282"/>
      <c r="J158" s="282"/>
      <c r="K158" s="282"/>
      <c r="L158" s="278" t="str">
        <f t="shared" si="21"/>
        <v>Em andamento</v>
      </c>
      <c r="M158" s="306">
        <f t="shared" si="22"/>
        <v>0</v>
      </c>
      <c r="N158" s="305" t="str">
        <f t="shared" si="23"/>
        <v>Dentro do prazo</v>
      </c>
      <c r="O158" s="389">
        <f t="shared" si="24"/>
        <v>0</v>
      </c>
      <c r="P158" s="389">
        <f t="shared" si="25"/>
        <v>0</v>
      </c>
      <c r="Q158" s="309">
        <f t="shared" si="26"/>
        <v>0</v>
      </c>
    </row>
    <row r="159" spans="1:17" s="279" customFormat="1" ht="32.25" customHeight="1" x14ac:dyDescent="0.2">
      <c r="A159" s="282"/>
      <c r="B159" s="282"/>
      <c r="C159" s="283"/>
      <c r="D159" s="284"/>
      <c r="E159" s="297"/>
      <c r="F159" s="285"/>
      <c r="G159" s="285"/>
      <c r="H159" s="285"/>
      <c r="I159" s="282"/>
      <c r="J159" s="282"/>
      <c r="K159" s="282"/>
      <c r="L159" s="278" t="str">
        <f t="shared" si="21"/>
        <v>Em andamento</v>
      </c>
      <c r="M159" s="306">
        <f t="shared" si="22"/>
        <v>0</v>
      </c>
      <c r="N159" s="305" t="str">
        <f t="shared" si="23"/>
        <v>Dentro do prazo</v>
      </c>
      <c r="O159" s="389">
        <f t="shared" si="24"/>
        <v>0</v>
      </c>
      <c r="P159" s="389">
        <f t="shared" si="25"/>
        <v>0</v>
      </c>
      <c r="Q159" s="309">
        <f t="shared" si="26"/>
        <v>0</v>
      </c>
    </row>
    <row r="160" spans="1:17" s="279" customFormat="1" ht="32.25" customHeight="1" x14ac:dyDescent="0.2">
      <c r="A160" s="282"/>
      <c r="B160" s="282"/>
      <c r="C160" s="283"/>
      <c r="D160" s="284"/>
      <c r="E160" s="297"/>
      <c r="F160" s="285"/>
      <c r="G160" s="285"/>
      <c r="H160" s="285"/>
      <c r="I160" s="282"/>
      <c r="J160" s="282"/>
      <c r="K160" s="282"/>
      <c r="L160" s="278" t="str">
        <f t="shared" si="21"/>
        <v>Em andamento</v>
      </c>
      <c r="M160" s="306">
        <f t="shared" si="22"/>
        <v>0</v>
      </c>
      <c r="N160" s="305" t="str">
        <f t="shared" si="23"/>
        <v>Dentro do prazo</v>
      </c>
      <c r="O160" s="389">
        <f t="shared" si="24"/>
        <v>0</v>
      </c>
      <c r="P160" s="389">
        <f t="shared" si="25"/>
        <v>0</v>
      </c>
      <c r="Q160" s="309">
        <f t="shared" si="26"/>
        <v>0</v>
      </c>
    </row>
    <row r="161" spans="1:17" s="279" customFormat="1" ht="32.25" customHeight="1" x14ac:dyDescent="0.2">
      <c r="A161" s="282"/>
      <c r="B161" s="282"/>
      <c r="C161" s="283"/>
      <c r="D161" s="284"/>
      <c r="E161" s="297"/>
      <c r="F161" s="285"/>
      <c r="G161" s="285"/>
      <c r="H161" s="285"/>
      <c r="I161" s="282"/>
      <c r="J161" s="282"/>
      <c r="K161" s="282"/>
      <c r="L161" s="278" t="str">
        <f t="shared" si="21"/>
        <v>Em andamento</v>
      </c>
      <c r="M161" s="306">
        <f t="shared" si="22"/>
        <v>0</v>
      </c>
      <c r="N161" s="305" t="str">
        <f t="shared" si="23"/>
        <v>Dentro do prazo</v>
      </c>
      <c r="O161" s="389">
        <f t="shared" si="24"/>
        <v>0</v>
      </c>
      <c r="P161" s="389">
        <f t="shared" si="25"/>
        <v>0</v>
      </c>
      <c r="Q161" s="309">
        <f t="shared" si="26"/>
        <v>0</v>
      </c>
    </row>
    <row r="162" spans="1:17" s="279" customFormat="1" ht="32.25" customHeight="1" x14ac:dyDescent="0.2">
      <c r="A162" s="282"/>
      <c r="B162" s="282"/>
      <c r="C162" s="283"/>
      <c r="D162" s="284"/>
      <c r="E162" s="297"/>
      <c r="F162" s="285"/>
      <c r="G162" s="285"/>
      <c r="H162" s="285"/>
      <c r="I162" s="282"/>
      <c r="J162" s="282"/>
      <c r="K162" s="282"/>
      <c r="L162" s="278" t="str">
        <f t="shared" si="21"/>
        <v>Em andamento</v>
      </c>
      <c r="M162" s="306">
        <f t="shared" si="22"/>
        <v>0</v>
      </c>
      <c r="N162" s="305" t="str">
        <f t="shared" si="23"/>
        <v>Dentro do prazo</v>
      </c>
      <c r="O162" s="389">
        <f t="shared" si="24"/>
        <v>0</v>
      </c>
      <c r="P162" s="389">
        <f t="shared" si="25"/>
        <v>0</v>
      </c>
      <c r="Q162" s="309">
        <f t="shared" si="26"/>
        <v>0</v>
      </c>
    </row>
    <row r="163" spans="1:17" s="279" customFormat="1" ht="32.25" customHeight="1" x14ac:dyDescent="0.2">
      <c r="A163" s="282"/>
      <c r="B163" s="282"/>
      <c r="C163" s="283"/>
      <c r="D163" s="284"/>
      <c r="E163" s="297"/>
      <c r="F163" s="285"/>
      <c r="G163" s="285"/>
      <c r="H163" s="285"/>
      <c r="I163" s="282"/>
      <c r="J163" s="282"/>
      <c r="K163" s="282"/>
      <c r="L163" s="278" t="str">
        <f t="shared" ref="L163:L226" si="27">IF(K163="-","Cancelado",IF(K163&gt;0,"Concluído","Em andamento"))</f>
        <v>Em andamento</v>
      </c>
      <c r="M163" s="306">
        <f t="shared" ref="M163:M226" si="28">K163-A163</f>
        <v>0</v>
      </c>
      <c r="N163" s="305" t="str">
        <f t="shared" ref="N163:N226" si="29">IFERROR(IF(O163&gt;=0,"Dentro do prazo","Fora do prazo"),"-")</f>
        <v>Dentro do prazo</v>
      </c>
      <c r="O163" s="389">
        <f t="shared" si="24"/>
        <v>0</v>
      </c>
      <c r="P163" s="389">
        <f t="shared" si="25"/>
        <v>0</v>
      </c>
      <c r="Q163" s="309">
        <f t="shared" si="26"/>
        <v>0</v>
      </c>
    </row>
    <row r="164" spans="1:17" s="279" customFormat="1" ht="32.25" customHeight="1" x14ac:dyDescent="0.2">
      <c r="A164" s="282"/>
      <c r="B164" s="282"/>
      <c r="C164" s="283"/>
      <c r="D164" s="284"/>
      <c r="E164" s="297"/>
      <c r="F164" s="285"/>
      <c r="G164" s="285"/>
      <c r="H164" s="285"/>
      <c r="I164" s="282"/>
      <c r="J164" s="282"/>
      <c r="K164" s="282"/>
      <c r="L164" s="278" t="str">
        <f t="shared" si="27"/>
        <v>Em andamento</v>
      </c>
      <c r="M164" s="306">
        <f t="shared" si="28"/>
        <v>0</v>
      </c>
      <c r="N164" s="305" t="str">
        <f t="shared" si="29"/>
        <v>Dentro do prazo</v>
      </c>
      <c r="O164" s="389">
        <f t="shared" si="24"/>
        <v>0</v>
      </c>
      <c r="P164" s="389">
        <f t="shared" si="25"/>
        <v>0</v>
      </c>
      <c r="Q164" s="309">
        <f t="shared" si="26"/>
        <v>0</v>
      </c>
    </row>
    <row r="165" spans="1:17" s="279" customFormat="1" ht="32.25" customHeight="1" x14ac:dyDescent="0.2">
      <c r="A165" s="282"/>
      <c r="B165" s="282"/>
      <c r="C165" s="283"/>
      <c r="D165" s="284"/>
      <c r="E165" s="297"/>
      <c r="F165" s="285"/>
      <c r="G165" s="285"/>
      <c r="H165" s="285"/>
      <c r="I165" s="282"/>
      <c r="J165" s="282"/>
      <c r="K165" s="282"/>
      <c r="L165" s="278" t="str">
        <f t="shared" si="27"/>
        <v>Em andamento</v>
      </c>
      <c r="M165" s="306">
        <f t="shared" si="28"/>
        <v>0</v>
      </c>
      <c r="N165" s="305" t="str">
        <f t="shared" si="29"/>
        <v>Dentro do prazo</v>
      </c>
      <c r="O165" s="389">
        <f t="shared" si="24"/>
        <v>0</v>
      </c>
      <c r="P165" s="389">
        <f t="shared" si="25"/>
        <v>0</v>
      </c>
      <c r="Q165" s="309">
        <f t="shared" si="26"/>
        <v>0</v>
      </c>
    </row>
    <row r="166" spans="1:17" s="279" customFormat="1" ht="32.25" customHeight="1" x14ac:dyDescent="0.2">
      <c r="A166" s="282"/>
      <c r="B166" s="282"/>
      <c r="C166" s="283"/>
      <c r="D166" s="284"/>
      <c r="E166" s="297"/>
      <c r="F166" s="285"/>
      <c r="G166" s="285"/>
      <c r="H166" s="285"/>
      <c r="I166" s="282"/>
      <c r="J166" s="282"/>
      <c r="K166" s="282"/>
      <c r="L166" s="278" t="str">
        <f t="shared" si="27"/>
        <v>Em andamento</v>
      </c>
      <c r="M166" s="306">
        <f t="shared" si="28"/>
        <v>0</v>
      </c>
      <c r="N166" s="305" t="str">
        <f t="shared" si="29"/>
        <v>Dentro do prazo</v>
      </c>
      <c r="O166" s="389">
        <f t="shared" si="24"/>
        <v>0</v>
      </c>
      <c r="P166" s="389">
        <f t="shared" si="25"/>
        <v>0</v>
      </c>
      <c r="Q166" s="309">
        <f t="shared" si="26"/>
        <v>0</v>
      </c>
    </row>
    <row r="167" spans="1:17" s="279" customFormat="1" ht="32.25" customHeight="1" x14ac:dyDescent="0.2">
      <c r="A167" s="282"/>
      <c r="B167" s="282"/>
      <c r="C167" s="283"/>
      <c r="D167" s="284"/>
      <c r="E167" s="297"/>
      <c r="F167" s="285"/>
      <c r="G167" s="285"/>
      <c r="H167" s="285"/>
      <c r="I167" s="282"/>
      <c r="J167" s="282"/>
      <c r="K167" s="282"/>
      <c r="L167" s="278" t="str">
        <f t="shared" si="27"/>
        <v>Em andamento</v>
      </c>
      <c r="M167" s="306">
        <f t="shared" si="28"/>
        <v>0</v>
      </c>
      <c r="N167" s="305" t="str">
        <f t="shared" si="29"/>
        <v>Dentro do prazo</v>
      </c>
      <c r="O167" s="389">
        <f t="shared" si="24"/>
        <v>0</v>
      </c>
      <c r="P167" s="389">
        <f t="shared" si="25"/>
        <v>0</v>
      </c>
      <c r="Q167" s="309">
        <f t="shared" si="26"/>
        <v>0</v>
      </c>
    </row>
    <row r="168" spans="1:17" s="279" customFormat="1" ht="32.25" customHeight="1" x14ac:dyDescent="0.2">
      <c r="A168" s="282"/>
      <c r="B168" s="282"/>
      <c r="C168" s="283"/>
      <c r="D168" s="284"/>
      <c r="E168" s="297"/>
      <c r="F168" s="285"/>
      <c r="G168" s="285"/>
      <c r="H168" s="285"/>
      <c r="I168" s="282"/>
      <c r="J168" s="282"/>
      <c r="K168" s="282"/>
      <c r="L168" s="278" t="str">
        <f t="shared" si="27"/>
        <v>Em andamento</v>
      </c>
      <c r="M168" s="306">
        <f t="shared" si="28"/>
        <v>0</v>
      </c>
      <c r="N168" s="305" t="str">
        <f t="shared" si="29"/>
        <v>Dentro do prazo</v>
      </c>
      <c r="O168" s="389">
        <f t="shared" si="24"/>
        <v>0</v>
      </c>
      <c r="P168" s="389">
        <f t="shared" si="25"/>
        <v>0</v>
      </c>
      <c r="Q168" s="309">
        <f t="shared" si="26"/>
        <v>0</v>
      </c>
    </row>
    <row r="169" spans="1:17" s="279" customFormat="1" ht="32.25" customHeight="1" x14ac:dyDescent="0.2">
      <c r="A169" s="282"/>
      <c r="B169" s="282"/>
      <c r="C169" s="283"/>
      <c r="D169" s="284"/>
      <c r="E169" s="297"/>
      <c r="F169" s="285"/>
      <c r="G169" s="285"/>
      <c r="H169" s="285"/>
      <c r="I169" s="282"/>
      <c r="J169" s="282"/>
      <c r="K169" s="282"/>
      <c r="L169" s="278" t="str">
        <f t="shared" si="27"/>
        <v>Em andamento</v>
      </c>
      <c r="M169" s="306">
        <f t="shared" si="28"/>
        <v>0</v>
      </c>
      <c r="N169" s="305" t="str">
        <f t="shared" si="29"/>
        <v>Dentro do prazo</v>
      </c>
      <c r="O169" s="389">
        <f t="shared" si="24"/>
        <v>0</v>
      </c>
      <c r="P169" s="389">
        <f t="shared" si="25"/>
        <v>0</v>
      </c>
      <c r="Q169" s="309">
        <f t="shared" si="26"/>
        <v>0</v>
      </c>
    </row>
    <row r="170" spans="1:17" s="279" customFormat="1" ht="32.25" customHeight="1" x14ac:dyDescent="0.2">
      <c r="A170" s="282"/>
      <c r="B170" s="282"/>
      <c r="C170" s="283"/>
      <c r="D170" s="284"/>
      <c r="E170" s="297"/>
      <c r="F170" s="285"/>
      <c r="G170" s="285"/>
      <c r="H170" s="285"/>
      <c r="I170" s="282"/>
      <c r="J170" s="282"/>
      <c r="K170" s="282"/>
      <c r="L170" s="278" t="str">
        <f t="shared" si="27"/>
        <v>Em andamento</v>
      </c>
      <c r="M170" s="306">
        <f t="shared" si="28"/>
        <v>0</v>
      </c>
      <c r="N170" s="305" t="str">
        <f t="shared" si="29"/>
        <v>Dentro do prazo</v>
      </c>
      <c r="O170" s="389">
        <f t="shared" si="24"/>
        <v>0</v>
      </c>
      <c r="P170" s="389">
        <f t="shared" si="25"/>
        <v>0</v>
      </c>
      <c r="Q170" s="309">
        <f t="shared" si="26"/>
        <v>0</v>
      </c>
    </row>
    <row r="171" spans="1:17" s="279" customFormat="1" ht="32.25" customHeight="1" x14ac:dyDescent="0.2">
      <c r="A171" s="282"/>
      <c r="B171" s="282"/>
      <c r="C171" s="283"/>
      <c r="D171" s="284"/>
      <c r="E171" s="297"/>
      <c r="F171" s="285"/>
      <c r="G171" s="285"/>
      <c r="H171" s="285"/>
      <c r="I171" s="282"/>
      <c r="J171" s="282"/>
      <c r="K171" s="282"/>
      <c r="L171" s="278" t="str">
        <f t="shared" si="27"/>
        <v>Em andamento</v>
      </c>
      <c r="M171" s="306">
        <f t="shared" si="28"/>
        <v>0</v>
      </c>
      <c r="N171" s="305" t="str">
        <f t="shared" si="29"/>
        <v>Dentro do prazo</v>
      </c>
      <c r="O171" s="389">
        <f t="shared" si="24"/>
        <v>0</v>
      </c>
      <c r="P171" s="389">
        <f t="shared" si="25"/>
        <v>0</v>
      </c>
      <c r="Q171" s="309">
        <f t="shared" si="26"/>
        <v>0</v>
      </c>
    </row>
    <row r="172" spans="1:17" s="279" customFormat="1" ht="32.25" customHeight="1" x14ac:dyDescent="0.2">
      <c r="A172" s="282"/>
      <c r="B172" s="282"/>
      <c r="C172" s="283"/>
      <c r="D172" s="284"/>
      <c r="E172" s="297"/>
      <c r="F172" s="285"/>
      <c r="G172" s="285"/>
      <c r="H172" s="285"/>
      <c r="I172" s="282"/>
      <c r="J172" s="282"/>
      <c r="K172" s="282"/>
      <c r="L172" s="278" t="str">
        <f t="shared" si="27"/>
        <v>Em andamento</v>
      </c>
      <c r="M172" s="306">
        <f t="shared" si="28"/>
        <v>0</v>
      </c>
      <c r="N172" s="305" t="str">
        <f t="shared" si="29"/>
        <v>Dentro do prazo</v>
      </c>
      <c r="O172" s="389">
        <f t="shared" si="24"/>
        <v>0</v>
      </c>
      <c r="P172" s="389">
        <f t="shared" si="25"/>
        <v>0</v>
      </c>
      <c r="Q172" s="309">
        <f t="shared" si="26"/>
        <v>0</v>
      </c>
    </row>
    <row r="173" spans="1:17" s="279" customFormat="1" ht="32.25" customHeight="1" x14ac:dyDescent="0.2">
      <c r="A173" s="282"/>
      <c r="B173" s="282"/>
      <c r="C173" s="283"/>
      <c r="D173" s="284"/>
      <c r="E173" s="297"/>
      <c r="F173" s="285"/>
      <c r="G173" s="285"/>
      <c r="H173" s="285"/>
      <c r="I173" s="282"/>
      <c r="J173" s="282"/>
      <c r="K173" s="282"/>
      <c r="L173" s="278" t="str">
        <f t="shared" si="27"/>
        <v>Em andamento</v>
      </c>
      <c r="M173" s="306">
        <f t="shared" si="28"/>
        <v>0</v>
      </c>
      <c r="N173" s="305" t="str">
        <f t="shared" si="29"/>
        <v>Dentro do prazo</v>
      </c>
      <c r="O173" s="389">
        <f t="shared" si="24"/>
        <v>0</v>
      </c>
      <c r="P173" s="389">
        <f t="shared" si="25"/>
        <v>0</v>
      </c>
      <c r="Q173" s="309">
        <f t="shared" si="26"/>
        <v>0</v>
      </c>
    </row>
    <row r="174" spans="1:17" s="279" customFormat="1" ht="32.25" customHeight="1" x14ac:dyDescent="0.2">
      <c r="A174" s="282"/>
      <c r="B174" s="282"/>
      <c r="C174" s="283"/>
      <c r="D174" s="284"/>
      <c r="E174" s="297"/>
      <c r="F174" s="285"/>
      <c r="G174" s="285"/>
      <c r="H174" s="285"/>
      <c r="I174" s="282"/>
      <c r="J174" s="282"/>
      <c r="K174" s="282"/>
      <c r="L174" s="278" t="str">
        <f t="shared" si="27"/>
        <v>Em andamento</v>
      </c>
      <c r="M174" s="306">
        <f t="shared" si="28"/>
        <v>0</v>
      </c>
      <c r="N174" s="305" t="str">
        <f t="shared" si="29"/>
        <v>Dentro do prazo</v>
      </c>
      <c r="O174" s="389">
        <f t="shared" si="24"/>
        <v>0</v>
      </c>
      <c r="P174" s="389">
        <f t="shared" si="25"/>
        <v>0</v>
      </c>
      <c r="Q174" s="309">
        <f t="shared" si="26"/>
        <v>0</v>
      </c>
    </row>
    <row r="175" spans="1:17" s="279" customFormat="1" ht="32.25" customHeight="1" x14ac:dyDescent="0.2">
      <c r="A175" s="282"/>
      <c r="B175" s="282"/>
      <c r="C175" s="283"/>
      <c r="D175" s="284"/>
      <c r="E175" s="297"/>
      <c r="F175" s="285"/>
      <c r="G175" s="285"/>
      <c r="H175" s="285"/>
      <c r="I175" s="282"/>
      <c r="J175" s="282"/>
      <c r="K175" s="282"/>
      <c r="L175" s="278" t="str">
        <f t="shared" si="27"/>
        <v>Em andamento</v>
      </c>
      <c r="M175" s="306">
        <f t="shared" si="28"/>
        <v>0</v>
      </c>
      <c r="N175" s="305" t="str">
        <f t="shared" si="29"/>
        <v>Dentro do prazo</v>
      </c>
      <c r="O175" s="389">
        <f t="shared" si="24"/>
        <v>0</v>
      </c>
      <c r="P175" s="389">
        <f t="shared" si="25"/>
        <v>0</v>
      </c>
      <c r="Q175" s="309">
        <f t="shared" si="26"/>
        <v>0</v>
      </c>
    </row>
    <row r="176" spans="1:17" s="279" customFormat="1" ht="32.25" customHeight="1" x14ac:dyDescent="0.2">
      <c r="A176" s="282"/>
      <c r="B176" s="282"/>
      <c r="C176" s="283"/>
      <c r="D176" s="284"/>
      <c r="E176" s="297"/>
      <c r="F176" s="285"/>
      <c r="G176" s="285"/>
      <c r="H176" s="285"/>
      <c r="I176" s="282"/>
      <c r="J176" s="282"/>
      <c r="K176" s="282"/>
      <c r="L176" s="278" t="str">
        <f t="shared" si="27"/>
        <v>Em andamento</v>
      </c>
      <c r="M176" s="306">
        <f t="shared" si="28"/>
        <v>0</v>
      </c>
      <c r="N176" s="305" t="str">
        <f t="shared" si="29"/>
        <v>Dentro do prazo</v>
      </c>
      <c r="O176" s="389">
        <f t="shared" si="24"/>
        <v>0</v>
      </c>
      <c r="P176" s="389">
        <f t="shared" si="25"/>
        <v>0</v>
      </c>
      <c r="Q176" s="309">
        <f t="shared" si="26"/>
        <v>0</v>
      </c>
    </row>
    <row r="177" spans="1:17" s="279" customFormat="1" ht="32.25" customHeight="1" x14ac:dyDescent="0.2">
      <c r="A177" s="282"/>
      <c r="B177" s="282"/>
      <c r="C177" s="283"/>
      <c r="D177" s="284"/>
      <c r="E177" s="297"/>
      <c r="F177" s="285"/>
      <c r="G177" s="285"/>
      <c r="H177" s="285"/>
      <c r="I177" s="282"/>
      <c r="J177" s="282"/>
      <c r="K177" s="282"/>
      <c r="L177" s="278" t="str">
        <f t="shared" si="27"/>
        <v>Em andamento</v>
      </c>
      <c r="M177" s="306">
        <f t="shared" si="28"/>
        <v>0</v>
      </c>
      <c r="N177" s="305" t="str">
        <f t="shared" si="29"/>
        <v>Dentro do prazo</v>
      </c>
      <c r="O177" s="389">
        <f t="shared" si="24"/>
        <v>0</v>
      </c>
      <c r="P177" s="389">
        <f t="shared" si="25"/>
        <v>0</v>
      </c>
      <c r="Q177" s="309">
        <f t="shared" si="26"/>
        <v>0</v>
      </c>
    </row>
    <row r="178" spans="1:17" s="279" customFormat="1" ht="32.25" customHeight="1" x14ac:dyDescent="0.2">
      <c r="A178" s="282"/>
      <c r="B178" s="282"/>
      <c r="C178" s="283"/>
      <c r="D178" s="284"/>
      <c r="E178" s="297"/>
      <c r="F178" s="285"/>
      <c r="G178" s="285"/>
      <c r="H178" s="285"/>
      <c r="I178" s="282"/>
      <c r="J178" s="282"/>
      <c r="K178" s="282"/>
      <c r="L178" s="278" t="str">
        <f t="shared" si="27"/>
        <v>Em andamento</v>
      </c>
      <c r="M178" s="306">
        <f t="shared" si="28"/>
        <v>0</v>
      </c>
      <c r="N178" s="305" t="str">
        <f t="shared" si="29"/>
        <v>Dentro do prazo</v>
      </c>
      <c r="O178" s="389">
        <f t="shared" si="24"/>
        <v>0</v>
      </c>
      <c r="P178" s="389">
        <f t="shared" si="25"/>
        <v>0</v>
      </c>
      <c r="Q178" s="309">
        <f t="shared" si="26"/>
        <v>0</v>
      </c>
    </row>
    <row r="179" spans="1:17" s="279" customFormat="1" ht="32.25" customHeight="1" x14ac:dyDescent="0.2">
      <c r="A179" s="282"/>
      <c r="B179" s="282"/>
      <c r="C179" s="283"/>
      <c r="D179" s="284"/>
      <c r="E179" s="297"/>
      <c r="F179" s="285"/>
      <c r="G179" s="285"/>
      <c r="H179" s="285"/>
      <c r="I179" s="282"/>
      <c r="J179" s="282"/>
      <c r="K179" s="282"/>
      <c r="L179" s="278" t="str">
        <f t="shared" si="27"/>
        <v>Em andamento</v>
      </c>
      <c r="M179" s="306">
        <f t="shared" si="28"/>
        <v>0</v>
      </c>
      <c r="N179" s="305" t="str">
        <f t="shared" si="29"/>
        <v>Dentro do prazo</v>
      </c>
      <c r="O179" s="389">
        <f t="shared" si="24"/>
        <v>0</v>
      </c>
      <c r="P179" s="389">
        <f t="shared" si="25"/>
        <v>0</v>
      </c>
      <c r="Q179" s="309">
        <f t="shared" si="26"/>
        <v>0</v>
      </c>
    </row>
    <row r="180" spans="1:17" s="279" customFormat="1" ht="32.25" customHeight="1" x14ac:dyDescent="0.2">
      <c r="A180" s="282"/>
      <c r="B180" s="282"/>
      <c r="C180" s="283"/>
      <c r="D180" s="284"/>
      <c r="E180" s="297"/>
      <c r="F180" s="285"/>
      <c r="G180" s="285"/>
      <c r="H180" s="285"/>
      <c r="I180" s="282"/>
      <c r="J180" s="282"/>
      <c r="K180" s="282"/>
      <c r="L180" s="278" t="str">
        <f t="shared" si="27"/>
        <v>Em andamento</v>
      </c>
      <c r="M180" s="306">
        <f t="shared" si="28"/>
        <v>0</v>
      </c>
      <c r="N180" s="305" t="str">
        <f t="shared" si="29"/>
        <v>Dentro do prazo</v>
      </c>
      <c r="O180" s="389">
        <f t="shared" si="24"/>
        <v>0</v>
      </c>
      <c r="P180" s="389">
        <f t="shared" si="25"/>
        <v>0</v>
      </c>
      <c r="Q180" s="309">
        <f t="shared" si="26"/>
        <v>0</v>
      </c>
    </row>
    <row r="181" spans="1:17" s="279" customFormat="1" ht="32.25" customHeight="1" x14ac:dyDescent="0.2">
      <c r="A181" s="282"/>
      <c r="B181" s="282"/>
      <c r="C181" s="283"/>
      <c r="D181" s="284"/>
      <c r="E181" s="297"/>
      <c r="F181" s="285"/>
      <c r="G181" s="285"/>
      <c r="H181" s="285"/>
      <c r="I181" s="282"/>
      <c r="J181" s="282"/>
      <c r="K181" s="282"/>
      <c r="L181" s="278" t="str">
        <f t="shared" si="27"/>
        <v>Em andamento</v>
      </c>
      <c r="M181" s="306">
        <f t="shared" si="28"/>
        <v>0</v>
      </c>
      <c r="N181" s="305" t="str">
        <f t="shared" si="29"/>
        <v>Dentro do prazo</v>
      </c>
      <c r="O181" s="389">
        <f t="shared" si="24"/>
        <v>0</v>
      </c>
      <c r="P181" s="389">
        <f t="shared" si="25"/>
        <v>0</v>
      </c>
      <c r="Q181" s="309">
        <f t="shared" si="26"/>
        <v>0</v>
      </c>
    </row>
    <row r="182" spans="1:17" s="279" customFormat="1" ht="32.25" customHeight="1" x14ac:dyDescent="0.2">
      <c r="A182" s="282"/>
      <c r="B182" s="282"/>
      <c r="C182" s="283"/>
      <c r="D182" s="284"/>
      <c r="E182" s="297"/>
      <c r="F182" s="285"/>
      <c r="G182" s="285"/>
      <c r="H182" s="285"/>
      <c r="I182" s="282"/>
      <c r="J182" s="282"/>
      <c r="K182" s="282"/>
      <c r="L182" s="278" t="str">
        <f t="shared" si="27"/>
        <v>Em andamento</v>
      </c>
      <c r="M182" s="306">
        <f t="shared" si="28"/>
        <v>0</v>
      </c>
      <c r="N182" s="305" t="str">
        <f t="shared" si="29"/>
        <v>Dentro do prazo</v>
      </c>
      <c r="O182" s="389">
        <f t="shared" si="24"/>
        <v>0</v>
      </c>
      <c r="P182" s="389">
        <f t="shared" si="25"/>
        <v>0</v>
      </c>
      <c r="Q182" s="309">
        <f t="shared" si="26"/>
        <v>0</v>
      </c>
    </row>
    <row r="183" spans="1:17" s="279" customFormat="1" ht="32.25" customHeight="1" x14ac:dyDescent="0.2">
      <c r="A183" s="282"/>
      <c r="B183" s="282"/>
      <c r="C183" s="283"/>
      <c r="D183" s="284"/>
      <c r="E183" s="297"/>
      <c r="F183" s="285"/>
      <c r="G183" s="285"/>
      <c r="H183" s="285"/>
      <c r="I183" s="282"/>
      <c r="J183" s="282"/>
      <c r="K183" s="282"/>
      <c r="L183" s="278" t="str">
        <f t="shared" si="27"/>
        <v>Em andamento</v>
      </c>
      <c r="M183" s="306">
        <f t="shared" si="28"/>
        <v>0</v>
      </c>
      <c r="N183" s="305" t="str">
        <f t="shared" si="29"/>
        <v>Dentro do prazo</v>
      </c>
      <c r="O183" s="389">
        <f t="shared" si="24"/>
        <v>0</v>
      </c>
      <c r="P183" s="389">
        <f t="shared" si="25"/>
        <v>0</v>
      </c>
      <c r="Q183" s="309">
        <f t="shared" si="26"/>
        <v>0</v>
      </c>
    </row>
    <row r="184" spans="1:17" s="279" customFormat="1" ht="32.25" customHeight="1" x14ac:dyDescent="0.2">
      <c r="A184" s="282"/>
      <c r="B184" s="282"/>
      <c r="C184" s="283"/>
      <c r="D184" s="284"/>
      <c r="E184" s="297"/>
      <c r="F184" s="285"/>
      <c r="G184" s="285"/>
      <c r="H184" s="285"/>
      <c r="I184" s="282"/>
      <c r="J184" s="282"/>
      <c r="K184" s="282"/>
      <c r="L184" s="278" t="str">
        <f t="shared" si="27"/>
        <v>Em andamento</v>
      </c>
      <c r="M184" s="306">
        <f t="shared" si="28"/>
        <v>0</v>
      </c>
      <c r="N184" s="305" t="str">
        <f t="shared" si="29"/>
        <v>Dentro do prazo</v>
      </c>
      <c r="O184" s="389">
        <f t="shared" si="24"/>
        <v>0</v>
      </c>
      <c r="P184" s="389">
        <f t="shared" si="25"/>
        <v>0</v>
      </c>
      <c r="Q184" s="309">
        <f t="shared" si="26"/>
        <v>0</v>
      </c>
    </row>
    <row r="185" spans="1:17" s="279" customFormat="1" ht="32.25" customHeight="1" x14ac:dyDescent="0.2">
      <c r="A185" s="282"/>
      <c r="B185" s="282"/>
      <c r="C185" s="283"/>
      <c r="D185" s="284"/>
      <c r="E185" s="297"/>
      <c r="F185" s="285"/>
      <c r="G185" s="285"/>
      <c r="H185" s="285"/>
      <c r="I185" s="282"/>
      <c r="J185" s="282"/>
      <c r="K185" s="282"/>
      <c r="L185" s="278" t="str">
        <f t="shared" si="27"/>
        <v>Em andamento</v>
      </c>
      <c r="M185" s="306">
        <f t="shared" si="28"/>
        <v>0</v>
      </c>
      <c r="N185" s="305" t="str">
        <f t="shared" si="29"/>
        <v>Dentro do prazo</v>
      </c>
      <c r="O185" s="389">
        <f t="shared" si="24"/>
        <v>0</v>
      </c>
      <c r="P185" s="389">
        <f t="shared" si="25"/>
        <v>0</v>
      </c>
      <c r="Q185" s="309">
        <f t="shared" si="26"/>
        <v>0</v>
      </c>
    </row>
    <row r="186" spans="1:17" s="279" customFormat="1" ht="32.25" customHeight="1" x14ac:dyDescent="0.2">
      <c r="A186" s="282"/>
      <c r="B186" s="282"/>
      <c r="C186" s="283"/>
      <c r="D186" s="284"/>
      <c r="E186" s="297"/>
      <c r="F186" s="285"/>
      <c r="G186" s="285"/>
      <c r="H186" s="285"/>
      <c r="I186" s="282"/>
      <c r="J186" s="282"/>
      <c r="K186" s="282"/>
      <c r="L186" s="278" t="str">
        <f t="shared" si="27"/>
        <v>Em andamento</v>
      </c>
      <c r="M186" s="306">
        <f t="shared" si="28"/>
        <v>0</v>
      </c>
      <c r="N186" s="305" t="str">
        <f t="shared" si="29"/>
        <v>Dentro do prazo</v>
      </c>
      <c r="O186" s="389">
        <f t="shared" si="24"/>
        <v>0</v>
      </c>
      <c r="P186" s="389">
        <f t="shared" si="25"/>
        <v>0</v>
      </c>
      <c r="Q186" s="309">
        <f t="shared" si="26"/>
        <v>0</v>
      </c>
    </row>
    <row r="187" spans="1:17" s="279" customFormat="1" ht="32.25" customHeight="1" x14ac:dyDescent="0.2">
      <c r="A187" s="282"/>
      <c r="B187" s="282"/>
      <c r="C187" s="283"/>
      <c r="D187" s="284"/>
      <c r="E187" s="297"/>
      <c r="F187" s="285"/>
      <c r="G187" s="285"/>
      <c r="H187" s="285"/>
      <c r="I187" s="282"/>
      <c r="J187" s="282"/>
      <c r="K187" s="282"/>
      <c r="L187" s="278" t="str">
        <f t="shared" si="27"/>
        <v>Em andamento</v>
      </c>
      <c r="M187" s="306">
        <f t="shared" si="28"/>
        <v>0</v>
      </c>
      <c r="N187" s="305" t="str">
        <f t="shared" si="29"/>
        <v>Dentro do prazo</v>
      </c>
      <c r="O187" s="389">
        <f t="shared" si="24"/>
        <v>0</v>
      </c>
      <c r="P187" s="389">
        <f t="shared" si="25"/>
        <v>0</v>
      </c>
      <c r="Q187" s="309">
        <f t="shared" si="26"/>
        <v>0</v>
      </c>
    </row>
    <row r="188" spans="1:17" s="279" customFormat="1" ht="32.25" customHeight="1" x14ac:dyDescent="0.2">
      <c r="A188" s="282"/>
      <c r="B188" s="282"/>
      <c r="C188" s="283"/>
      <c r="D188" s="284"/>
      <c r="E188" s="297"/>
      <c r="F188" s="285"/>
      <c r="G188" s="285"/>
      <c r="H188" s="285"/>
      <c r="I188" s="282"/>
      <c r="J188" s="282"/>
      <c r="K188" s="282"/>
      <c r="L188" s="278" t="str">
        <f t="shared" si="27"/>
        <v>Em andamento</v>
      </c>
      <c r="M188" s="306">
        <f t="shared" si="28"/>
        <v>0</v>
      </c>
      <c r="N188" s="305" t="str">
        <f t="shared" si="29"/>
        <v>Dentro do prazo</v>
      </c>
      <c r="O188" s="389">
        <f t="shared" si="24"/>
        <v>0</v>
      </c>
      <c r="P188" s="389">
        <f t="shared" si="25"/>
        <v>0</v>
      </c>
      <c r="Q188" s="309">
        <f t="shared" si="26"/>
        <v>0</v>
      </c>
    </row>
    <row r="189" spans="1:17" s="279" customFormat="1" ht="32.25" customHeight="1" x14ac:dyDescent="0.2">
      <c r="A189" s="282"/>
      <c r="B189" s="282"/>
      <c r="C189" s="283"/>
      <c r="D189" s="284"/>
      <c r="E189" s="297"/>
      <c r="F189" s="285"/>
      <c r="G189" s="285"/>
      <c r="H189" s="285"/>
      <c r="I189" s="282"/>
      <c r="J189" s="282"/>
      <c r="K189" s="282"/>
      <c r="L189" s="278" t="str">
        <f t="shared" si="27"/>
        <v>Em andamento</v>
      </c>
      <c r="M189" s="306">
        <f t="shared" si="28"/>
        <v>0</v>
      </c>
      <c r="N189" s="305" t="str">
        <f t="shared" si="29"/>
        <v>Dentro do prazo</v>
      </c>
      <c r="O189" s="389">
        <f t="shared" si="24"/>
        <v>0</v>
      </c>
      <c r="P189" s="389">
        <f t="shared" si="25"/>
        <v>0</v>
      </c>
      <c r="Q189" s="309">
        <f t="shared" si="26"/>
        <v>0</v>
      </c>
    </row>
    <row r="190" spans="1:17" s="279" customFormat="1" ht="32.25" customHeight="1" x14ac:dyDescent="0.2">
      <c r="A190" s="282"/>
      <c r="B190" s="282"/>
      <c r="C190" s="283"/>
      <c r="D190" s="284"/>
      <c r="E190" s="297"/>
      <c r="F190" s="285"/>
      <c r="G190" s="285"/>
      <c r="H190" s="285"/>
      <c r="I190" s="282"/>
      <c r="J190" s="282"/>
      <c r="K190" s="282"/>
      <c r="L190" s="278" t="str">
        <f t="shared" si="27"/>
        <v>Em andamento</v>
      </c>
      <c r="M190" s="306">
        <f t="shared" si="28"/>
        <v>0</v>
      </c>
      <c r="N190" s="305" t="str">
        <f t="shared" si="29"/>
        <v>Dentro do prazo</v>
      </c>
      <c r="O190" s="389">
        <f t="shared" si="24"/>
        <v>0</v>
      </c>
      <c r="P190" s="389">
        <f t="shared" si="25"/>
        <v>0</v>
      </c>
      <c r="Q190" s="309">
        <f t="shared" si="26"/>
        <v>0</v>
      </c>
    </row>
    <row r="191" spans="1:17" s="279" customFormat="1" ht="32.25" customHeight="1" x14ac:dyDescent="0.2">
      <c r="A191" s="282"/>
      <c r="B191" s="282"/>
      <c r="C191" s="283"/>
      <c r="D191" s="284"/>
      <c r="E191" s="297"/>
      <c r="F191" s="285"/>
      <c r="G191" s="285"/>
      <c r="H191" s="285"/>
      <c r="I191" s="282"/>
      <c r="J191" s="282"/>
      <c r="K191" s="282"/>
      <c r="L191" s="278" t="str">
        <f t="shared" si="27"/>
        <v>Em andamento</v>
      </c>
      <c r="M191" s="306">
        <f t="shared" si="28"/>
        <v>0</v>
      </c>
      <c r="N191" s="305" t="str">
        <f t="shared" si="29"/>
        <v>Dentro do prazo</v>
      </c>
      <c r="O191" s="389">
        <f t="shared" si="24"/>
        <v>0</v>
      </c>
      <c r="P191" s="389">
        <f t="shared" si="25"/>
        <v>0</v>
      </c>
      <c r="Q191" s="309">
        <f t="shared" si="26"/>
        <v>0</v>
      </c>
    </row>
    <row r="192" spans="1:17" s="279" customFormat="1" ht="32.25" customHeight="1" x14ac:dyDescent="0.2">
      <c r="A192" s="282"/>
      <c r="B192" s="282"/>
      <c r="C192" s="283"/>
      <c r="D192" s="284"/>
      <c r="E192" s="297"/>
      <c r="F192" s="285"/>
      <c r="G192" s="285"/>
      <c r="H192" s="285"/>
      <c r="I192" s="282"/>
      <c r="J192" s="282"/>
      <c r="K192" s="282"/>
      <c r="L192" s="278" t="str">
        <f t="shared" si="27"/>
        <v>Em andamento</v>
      </c>
      <c r="M192" s="306">
        <f t="shared" si="28"/>
        <v>0</v>
      </c>
      <c r="N192" s="305" t="str">
        <f t="shared" si="29"/>
        <v>Dentro do prazo</v>
      </c>
      <c r="O192" s="389">
        <f t="shared" si="24"/>
        <v>0</v>
      </c>
      <c r="P192" s="389">
        <f t="shared" si="25"/>
        <v>0</v>
      </c>
      <c r="Q192" s="309">
        <f t="shared" si="26"/>
        <v>0</v>
      </c>
    </row>
    <row r="193" spans="1:17" s="279" customFormat="1" ht="32.25" customHeight="1" x14ac:dyDescent="0.2">
      <c r="A193" s="282"/>
      <c r="B193" s="282"/>
      <c r="C193" s="283"/>
      <c r="D193" s="284"/>
      <c r="E193" s="297"/>
      <c r="F193" s="285"/>
      <c r="G193" s="285"/>
      <c r="H193" s="285"/>
      <c r="I193" s="282"/>
      <c r="J193" s="282"/>
      <c r="K193" s="282"/>
      <c r="L193" s="278" t="str">
        <f t="shared" si="27"/>
        <v>Em andamento</v>
      </c>
      <c r="M193" s="306">
        <f t="shared" si="28"/>
        <v>0</v>
      </c>
      <c r="N193" s="305" t="str">
        <f t="shared" si="29"/>
        <v>Dentro do prazo</v>
      </c>
      <c r="O193" s="389">
        <f t="shared" si="24"/>
        <v>0</v>
      </c>
      <c r="P193" s="389">
        <f t="shared" si="25"/>
        <v>0</v>
      </c>
      <c r="Q193" s="309">
        <f t="shared" si="26"/>
        <v>0</v>
      </c>
    </row>
    <row r="194" spans="1:17" s="279" customFormat="1" ht="32.25" customHeight="1" x14ac:dyDescent="0.2">
      <c r="A194" s="282"/>
      <c r="B194" s="282"/>
      <c r="C194" s="283"/>
      <c r="D194" s="284"/>
      <c r="E194" s="297"/>
      <c r="F194" s="285"/>
      <c r="G194" s="285"/>
      <c r="H194" s="285"/>
      <c r="I194" s="282"/>
      <c r="J194" s="282"/>
      <c r="K194" s="282"/>
      <c r="L194" s="278" t="str">
        <f t="shared" si="27"/>
        <v>Em andamento</v>
      </c>
      <c r="M194" s="306">
        <f t="shared" si="28"/>
        <v>0</v>
      </c>
      <c r="N194" s="305" t="str">
        <f t="shared" si="29"/>
        <v>Dentro do prazo</v>
      </c>
      <c r="O194" s="389">
        <f t="shared" si="24"/>
        <v>0</v>
      </c>
      <c r="P194" s="389">
        <f t="shared" si="25"/>
        <v>0</v>
      </c>
      <c r="Q194" s="309">
        <f t="shared" si="26"/>
        <v>0</v>
      </c>
    </row>
    <row r="195" spans="1:17" s="279" customFormat="1" ht="32.25" customHeight="1" x14ac:dyDescent="0.2">
      <c r="A195" s="282"/>
      <c r="B195" s="282"/>
      <c r="C195" s="283"/>
      <c r="D195" s="284"/>
      <c r="E195" s="297"/>
      <c r="F195" s="285"/>
      <c r="G195" s="285"/>
      <c r="H195" s="285"/>
      <c r="I195" s="282"/>
      <c r="J195" s="282"/>
      <c r="K195" s="282"/>
      <c r="L195" s="278" t="str">
        <f t="shared" si="27"/>
        <v>Em andamento</v>
      </c>
      <c r="M195" s="306">
        <f t="shared" si="28"/>
        <v>0</v>
      </c>
      <c r="N195" s="305" t="str">
        <f t="shared" si="29"/>
        <v>Dentro do prazo</v>
      </c>
      <c r="O195" s="389">
        <f t="shared" si="24"/>
        <v>0</v>
      </c>
      <c r="P195" s="389">
        <f t="shared" si="25"/>
        <v>0</v>
      </c>
      <c r="Q195" s="309">
        <f t="shared" si="26"/>
        <v>0</v>
      </c>
    </row>
    <row r="196" spans="1:17" s="279" customFormat="1" ht="32.25" customHeight="1" x14ac:dyDescent="0.2">
      <c r="A196" s="282"/>
      <c r="B196" s="282"/>
      <c r="C196" s="283"/>
      <c r="D196" s="284"/>
      <c r="E196" s="297"/>
      <c r="F196" s="285"/>
      <c r="G196" s="285"/>
      <c r="H196" s="285"/>
      <c r="I196" s="282"/>
      <c r="J196" s="282"/>
      <c r="K196" s="282"/>
      <c r="L196" s="278" t="str">
        <f t="shared" si="27"/>
        <v>Em andamento</v>
      </c>
      <c r="M196" s="306">
        <f t="shared" si="28"/>
        <v>0</v>
      </c>
      <c r="N196" s="305" t="str">
        <f t="shared" si="29"/>
        <v>Dentro do prazo</v>
      </c>
      <c r="O196" s="389">
        <f t="shared" si="24"/>
        <v>0</v>
      </c>
      <c r="P196" s="389">
        <f t="shared" si="25"/>
        <v>0</v>
      </c>
      <c r="Q196" s="309">
        <f t="shared" si="26"/>
        <v>0</v>
      </c>
    </row>
    <row r="197" spans="1:17" s="279" customFormat="1" ht="32.25" customHeight="1" x14ac:dyDescent="0.2">
      <c r="A197" s="282"/>
      <c r="B197" s="282"/>
      <c r="C197" s="283"/>
      <c r="D197" s="284"/>
      <c r="E197" s="297"/>
      <c r="F197" s="285"/>
      <c r="G197" s="285"/>
      <c r="H197" s="285"/>
      <c r="I197" s="282"/>
      <c r="J197" s="282"/>
      <c r="K197" s="282"/>
      <c r="L197" s="278" t="str">
        <f t="shared" si="27"/>
        <v>Em andamento</v>
      </c>
      <c r="M197" s="306">
        <f t="shared" si="28"/>
        <v>0</v>
      </c>
      <c r="N197" s="305" t="str">
        <f t="shared" si="29"/>
        <v>Dentro do prazo</v>
      </c>
      <c r="O197" s="389">
        <f t="shared" si="24"/>
        <v>0</v>
      </c>
      <c r="P197" s="389">
        <f t="shared" si="25"/>
        <v>0</v>
      </c>
      <c r="Q197" s="309">
        <f t="shared" si="26"/>
        <v>0</v>
      </c>
    </row>
    <row r="198" spans="1:17" s="279" customFormat="1" ht="32.25" customHeight="1" x14ac:dyDescent="0.2">
      <c r="A198" s="282"/>
      <c r="B198" s="282"/>
      <c r="C198" s="283"/>
      <c r="D198" s="284"/>
      <c r="E198" s="297"/>
      <c r="F198" s="285"/>
      <c r="G198" s="285"/>
      <c r="H198" s="285"/>
      <c r="I198" s="282"/>
      <c r="J198" s="282"/>
      <c r="K198" s="282"/>
      <c r="L198" s="278" t="str">
        <f t="shared" si="27"/>
        <v>Em andamento</v>
      </c>
      <c r="M198" s="306">
        <f t="shared" si="28"/>
        <v>0</v>
      </c>
      <c r="N198" s="305" t="str">
        <f t="shared" si="29"/>
        <v>Dentro do prazo</v>
      </c>
      <c r="O198" s="389">
        <f t="shared" si="24"/>
        <v>0</v>
      </c>
      <c r="P198" s="389">
        <f t="shared" si="25"/>
        <v>0</v>
      </c>
      <c r="Q198" s="309">
        <f t="shared" si="26"/>
        <v>0</v>
      </c>
    </row>
    <row r="199" spans="1:17" s="279" customFormat="1" ht="32.25" customHeight="1" x14ac:dyDescent="0.2">
      <c r="A199" s="282"/>
      <c r="B199" s="282"/>
      <c r="C199" s="283"/>
      <c r="D199" s="284"/>
      <c r="E199" s="297"/>
      <c r="F199" s="285"/>
      <c r="G199" s="285"/>
      <c r="H199" s="285"/>
      <c r="I199" s="282"/>
      <c r="J199" s="282"/>
      <c r="K199" s="282"/>
      <c r="L199" s="278" t="str">
        <f t="shared" si="27"/>
        <v>Em andamento</v>
      </c>
      <c r="M199" s="306">
        <f t="shared" si="28"/>
        <v>0</v>
      </c>
      <c r="N199" s="305" t="str">
        <f t="shared" si="29"/>
        <v>Dentro do prazo</v>
      </c>
      <c r="O199" s="389">
        <f t="shared" si="24"/>
        <v>0</v>
      </c>
      <c r="P199" s="389">
        <f t="shared" si="25"/>
        <v>0</v>
      </c>
      <c r="Q199" s="309">
        <f t="shared" si="26"/>
        <v>0</v>
      </c>
    </row>
    <row r="200" spans="1:17" s="279" customFormat="1" ht="32.25" customHeight="1" x14ac:dyDescent="0.2">
      <c r="A200" s="282"/>
      <c r="B200" s="282"/>
      <c r="C200" s="283"/>
      <c r="D200" s="284"/>
      <c r="E200" s="297"/>
      <c r="F200" s="285"/>
      <c r="G200" s="285"/>
      <c r="H200" s="285"/>
      <c r="I200" s="282"/>
      <c r="J200" s="282"/>
      <c r="K200" s="282"/>
      <c r="L200" s="278" t="str">
        <f t="shared" si="27"/>
        <v>Em andamento</v>
      </c>
      <c r="M200" s="306">
        <f t="shared" si="28"/>
        <v>0</v>
      </c>
      <c r="N200" s="305" t="str">
        <f t="shared" si="29"/>
        <v>Dentro do prazo</v>
      </c>
      <c r="O200" s="389">
        <f t="shared" si="24"/>
        <v>0</v>
      </c>
      <c r="P200" s="389">
        <f t="shared" si="25"/>
        <v>0</v>
      </c>
      <c r="Q200" s="309">
        <f t="shared" si="26"/>
        <v>0</v>
      </c>
    </row>
    <row r="201" spans="1:17" s="279" customFormat="1" ht="32.25" customHeight="1" x14ac:dyDescent="0.2">
      <c r="A201" s="282"/>
      <c r="B201" s="282"/>
      <c r="C201" s="283"/>
      <c r="D201" s="284"/>
      <c r="E201" s="297"/>
      <c r="F201" s="285"/>
      <c r="G201" s="285"/>
      <c r="H201" s="285"/>
      <c r="I201" s="282"/>
      <c r="J201" s="282"/>
      <c r="K201" s="282"/>
      <c r="L201" s="278" t="str">
        <f t="shared" si="27"/>
        <v>Em andamento</v>
      </c>
      <c r="M201" s="306">
        <f t="shared" si="28"/>
        <v>0</v>
      </c>
      <c r="N201" s="305" t="str">
        <f t="shared" si="29"/>
        <v>Dentro do prazo</v>
      </c>
      <c r="O201" s="389">
        <f t="shared" si="24"/>
        <v>0</v>
      </c>
      <c r="P201" s="389">
        <f t="shared" si="25"/>
        <v>0</v>
      </c>
      <c r="Q201" s="309">
        <f t="shared" si="26"/>
        <v>0</v>
      </c>
    </row>
    <row r="202" spans="1:17" s="279" customFormat="1" ht="32.25" customHeight="1" x14ac:dyDescent="0.2">
      <c r="A202" s="282"/>
      <c r="B202" s="282"/>
      <c r="C202" s="283"/>
      <c r="D202" s="284"/>
      <c r="E202" s="297"/>
      <c r="F202" s="285"/>
      <c r="G202" s="285"/>
      <c r="H202" s="285"/>
      <c r="I202" s="282"/>
      <c r="J202" s="282"/>
      <c r="K202" s="282"/>
      <c r="L202" s="278" t="str">
        <f t="shared" si="27"/>
        <v>Em andamento</v>
      </c>
      <c r="M202" s="306">
        <f t="shared" si="28"/>
        <v>0</v>
      </c>
      <c r="N202" s="305" t="str">
        <f t="shared" si="29"/>
        <v>Dentro do prazo</v>
      </c>
      <c r="O202" s="389">
        <f t="shared" si="24"/>
        <v>0</v>
      </c>
      <c r="P202" s="389">
        <f t="shared" si="25"/>
        <v>0</v>
      </c>
      <c r="Q202" s="309">
        <f t="shared" si="26"/>
        <v>0</v>
      </c>
    </row>
    <row r="203" spans="1:17" s="279" customFormat="1" ht="32.25" customHeight="1" x14ac:dyDescent="0.2">
      <c r="A203" s="282"/>
      <c r="B203" s="282"/>
      <c r="C203" s="283"/>
      <c r="D203" s="284"/>
      <c r="E203" s="297"/>
      <c r="F203" s="285"/>
      <c r="G203" s="285"/>
      <c r="H203" s="285"/>
      <c r="I203" s="282"/>
      <c r="J203" s="282"/>
      <c r="K203" s="282"/>
      <c r="L203" s="278" t="str">
        <f t="shared" si="27"/>
        <v>Em andamento</v>
      </c>
      <c r="M203" s="306">
        <f t="shared" si="28"/>
        <v>0</v>
      </c>
      <c r="N203" s="305" t="str">
        <f t="shared" si="29"/>
        <v>Dentro do prazo</v>
      </c>
      <c r="O203" s="389">
        <f t="shared" si="24"/>
        <v>0</v>
      </c>
      <c r="P203" s="389">
        <f t="shared" si="25"/>
        <v>0</v>
      </c>
      <c r="Q203" s="309">
        <f t="shared" si="26"/>
        <v>0</v>
      </c>
    </row>
    <row r="204" spans="1:17" s="279" customFormat="1" ht="32.25" customHeight="1" x14ac:dyDescent="0.2">
      <c r="A204" s="282"/>
      <c r="B204" s="282"/>
      <c r="C204" s="283"/>
      <c r="D204" s="284"/>
      <c r="E204" s="297"/>
      <c r="F204" s="285"/>
      <c r="G204" s="285"/>
      <c r="H204" s="285"/>
      <c r="I204" s="282"/>
      <c r="J204" s="282"/>
      <c r="K204" s="282"/>
      <c r="L204" s="278" t="str">
        <f t="shared" si="27"/>
        <v>Em andamento</v>
      </c>
      <c r="M204" s="306">
        <f t="shared" si="28"/>
        <v>0</v>
      </c>
      <c r="N204" s="305" t="str">
        <f t="shared" si="29"/>
        <v>Dentro do prazo</v>
      </c>
      <c r="O204" s="389">
        <f t="shared" si="24"/>
        <v>0</v>
      </c>
      <c r="P204" s="389">
        <f t="shared" si="25"/>
        <v>0</v>
      </c>
      <c r="Q204" s="309">
        <f t="shared" si="26"/>
        <v>0</v>
      </c>
    </row>
    <row r="205" spans="1:17" s="279" customFormat="1" ht="32.25" customHeight="1" x14ac:dyDescent="0.2">
      <c r="A205" s="282"/>
      <c r="B205" s="282"/>
      <c r="C205" s="283"/>
      <c r="D205" s="284"/>
      <c r="E205" s="297"/>
      <c r="F205" s="285"/>
      <c r="G205" s="285"/>
      <c r="H205" s="285"/>
      <c r="I205" s="282"/>
      <c r="J205" s="282"/>
      <c r="K205" s="282"/>
      <c r="L205" s="278" t="str">
        <f t="shared" si="27"/>
        <v>Em andamento</v>
      </c>
      <c r="M205" s="306">
        <f t="shared" si="28"/>
        <v>0</v>
      </c>
      <c r="N205" s="305" t="str">
        <f t="shared" si="29"/>
        <v>Dentro do prazo</v>
      </c>
      <c r="O205" s="389">
        <f t="shared" si="24"/>
        <v>0</v>
      </c>
      <c r="P205" s="389">
        <f t="shared" si="25"/>
        <v>0</v>
      </c>
      <c r="Q205" s="309">
        <f t="shared" si="26"/>
        <v>0</v>
      </c>
    </row>
    <row r="206" spans="1:17" s="279" customFormat="1" ht="32.25" customHeight="1" x14ac:dyDescent="0.2">
      <c r="A206" s="282"/>
      <c r="B206" s="282"/>
      <c r="C206" s="283"/>
      <c r="D206" s="284"/>
      <c r="E206" s="297"/>
      <c r="F206" s="285"/>
      <c r="G206" s="285"/>
      <c r="H206" s="285"/>
      <c r="I206" s="282"/>
      <c r="J206" s="282"/>
      <c r="K206" s="282"/>
      <c r="L206" s="278" t="str">
        <f t="shared" si="27"/>
        <v>Em andamento</v>
      </c>
      <c r="M206" s="306">
        <f t="shared" si="28"/>
        <v>0</v>
      </c>
      <c r="N206" s="305" t="str">
        <f t="shared" si="29"/>
        <v>Dentro do prazo</v>
      </c>
      <c r="O206" s="389">
        <f t="shared" si="24"/>
        <v>0</v>
      </c>
      <c r="P206" s="389">
        <f t="shared" si="25"/>
        <v>0</v>
      </c>
      <c r="Q206" s="309">
        <f t="shared" si="26"/>
        <v>0</v>
      </c>
    </row>
    <row r="207" spans="1:17" s="279" customFormat="1" ht="32.25" customHeight="1" x14ac:dyDescent="0.2">
      <c r="A207" s="282"/>
      <c r="B207" s="282"/>
      <c r="C207" s="283"/>
      <c r="D207" s="284"/>
      <c r="E207" s="297"/>
      <c r="F207" s="285"/>
      <c r="G207" s="285"/>
      <c r="H207" s="285"/>
      <c r="I207" s="282"/>
      <c r="J207" s="282"/>
      <c r="K207" s="282"/>
      <c r="L207" s="278" t="str">
        <f t="shared" si="27"/>
        <v>Em andamento</v>
      </c>
      <c r="M207" s="306">
        <f t="shared" si="28"/>
        <v>0</v>
      </c>
      <c r="N207" s="305" t="str">
        <f t="shared" si="29"/>
        <v>Dentro do prazo</v>
      </c>
      <c r="O207" s="389">
        <f t="shared" si="24"/>
        <v>0</v>
      </c>
      <c r="P207" s="389">
        <f t="shared" si="25"/>
        <v>0</v>
      </c>
      <c r="Q207" s="309">
        <f t="shared" si="26"/>
        <v>0</v>
      </c>
    </row>
    <row r="208" spans="1:17" s="279" customFormat="1" ht="32.25" customHeight="1" x14ac:dyDescent="0.2">
      <c r="A208" s="282"/>
      <c r="B208" s="282"/>
      <c r="C208" s="283"/>
      <c r="D208" s="284"/>
      <c r="E208" s="297"/>
      <c r="F208" s="285"/>
      <c r="G208" s="285"/>
      <c r="H208" s="285"/>
      <c r="I208" s="282"/>
      <c r="J208" s="282"/>
      <c r="K208" s="282"/>
      <c r="L208" s="278" t="str">
        <f t="shared" si="27"/>
        <v>Em andamento</v>
      </c>
      <c r="M208" s="306">
        <f t="shared" si="28"/>
        <v>0</v>
      </c>
      <c r="N208" s="305" t="str">
        <f t="shared" si="29"/>
        <v>Dentro do prazo</v>
      </c>
      <c r="O208" s="389">
        <f t="shared" si="24"/>
        <v>0</v>
      </c>
      <c r="P208" s="389">
        <f t="shared" si="25"/>
        <v>0</v>
      </c>
      <c r="Q208" s="309">
        <f t="shared" si="26"/>
        <v>0</v>
      </c>
    </row>
    <row r="209" spans="1:17" s="279" customFormat="1" ht="32.25" customHeight="1" x14ac:dyDescent="0.2">
      <c r="A209" s="282"/>
      <c r="B209" s="282"/>
      <c r="C209" s="283"/>
      <c r="D209" s="284"/>
      <c r="E209" s="297"/>
      <c r="F209" s="285"/>
      <c r="G209" s="285"/>
      <c r="H209" s="285"/>
      <c r="I209" s="282"/>
      <c r="J209" s="282"/>
      <c r="K209" s="282"/>
      <c r="L209" s="278" t="str">
        <f t="shared" si="27"/>
        <v>Em andamento</v>
      </c>
      <c r="M209" s="306">
        <f t="shared" si="28"/>
        <v>0</v>
      </c>
      <c r="N209" s="305" t="str">
        <f t="shared" si="29"/>
        <v>Dentro do prazo</v>
      </c>
      <c r="O209" s="389">
        <f t="shared" si="24"/>
        <v>0</v>
      </c>
      <c r="P209" s="389">
        <f t="shared" si="25"/>
        <v>0</v>
      </c>
      <c r="Q209" s="309">
        <f t="shared" si="26"/>
        <v>0</v>
      </c>
    </row>
    <row r="210" spans="1:17" s="279" customFormat="1" ht="32.25" customHeight="1" x14ac:dyDescent="0.2">
      <c r="A210" s="282"/>
      <c r="B210" s="282"/>
      <c r="C210" s="283"/>
      <c r="D210" s="284"/>
      <c r="E210" s="297"/>
      <c r="F210" s="285"/>
      <c r="G210" s="285"/>
      <c r="H210" s="285"/>
      <c r="I210" s="282"/>
      <c r="J210" s="282"/>
      <c r="K210" s="282"/>
      <c r="L210" s="278" t="str">
        <f t="shared" si="27"/>
        <v>Em andamento</v>
      </c>
      <c r="M210" s="306">
        <f t="shared" si="28"/>
        <v>0</v>
      </c>
      <c r="N210" s="305" t="str">
        <f t="shared" si="29"/>
        <v>Dentro do prazo</v>
      </c>
      <c r="O210" s="389">
        <f t="shared" si="24"/>
        <v>0</v>
      </c>
      <c r="P210" s="389">
        <f t="shared" si="25"/>
        <v>0</v>
      </c>
      <c r="Q210" s="309">
        <f t="shared" si="26"/>
        <v>0</v>
      </c>
    </row>
    <row r="211" spans="1:17" s="279" customFormat="1" ht="32.25" customHeight="1" x14ac:dyDescent="0.2">
      <c r="A211" s="282"/>
      <c r="B211" s="282"/>
      <c r="C211" s="283"/>
      <c r="D211" s="284"/>
      <c r="E211" s="297"/>
      <c r="F211" s="285"/>
      <c r="G211" s="285"/>
      <c r="H211" s="285"/>
      <c r="I211" s="282"/>
      <c r="J211" s="282"/>
      <c r="K211" s="282"/>
      <c r="L211" s="278" t="str">
        <f t="shared" si="27"/>
        <v>Em andamento</v>
      </c>
      <c r="M211" s="306">
        <f t="shared" si="28"/>
        <v>0</v>
      </c>
      <c r="N211" s="305" t="str">
        <f t="shared" si="29"/>
        <v>Dentro do prazo</v>
      </c>
      <c r="O211" s="389">
        <f t="shared" si="24"/>
        <v>0</v>
      </c>
      <c r="P211" s="389">
        <f t="shared" si="25"/>
        <v>0</v>
      </c>
      <c r="Q211" s="309">
        <f t="shared" si="26"/>
        <v>0</v>
      </c>
    </row>
    <row r="212" spans="1:17" s="279" customFormat="1" ht="32.25" customHeight="1" x14ac:dyDescent="0.2">
      <c r="A212" s="282"/>
      <c r="B212" s="282"/>
      <c r="C212" s="283"/>
      <c r="D212" s="284"/>
      <c r="E212" s="297"/>
      <c r="F212" s="285"/>
      <c r="G212" s="285"/>
      <c r="H212" s="285"/>
      <c r="I212" s="282"/>
      <c r="J212" s="282"/>
      <c r="K212" s="282"/>
      <c r="L212" s="278" t="str">
        <f t="shared" si="27"/>
        <v>Em andamento</v>
      </c>
      <c r="M212" s="306">
        <f t="shared" si="28"/>
        <v>0</v>
      </c>
      <c r="N212" s="305" t="str">
        <f t="shared" si="29"/>
        <v>Dentro do prazo</v>
      </c>
      <c r="O212" s="389">
        <f t="shared" si="24"/>
        <v>0</v>
      </c>
      <c r="P212" s="389">
        <f t="shared" si="25"/>
        <v>0</v>
      </c>
      <c r="Q212" s="309">
        <f t="shared" si="26"/>
        <v>0</v>
      </c>
    </row>
    <row r="213" spans="1:17" s="279" customFormat="1" ht="32.25" customHeight="1" x14ac:dyDescent="0.2">
      <c r="A213" s="282"/>
      <c r="B213" s="282"/>
      <c r="C213" s="283"/>
      <c r="D213" s="284"/>
      <c r="E213" s="297"/>
      <c r="F213" s="285"/>
      <c r="G213" s="285"/>
      <c r="H213" s="285"/>
      <c r="I213" s="282"/>
      <c r="J213" s="282"/>
      <c r="K213" s="282"/>
      <c r="L213" s="278" t="str">
        <f t="shared" si="27"/>
        <v>Em andamento</v>
      </c>
      <c r="M213" s="306">
        <f t="shared" si="28"/>
        <v>0</v>
      </c>
      <c r="N213" s="305" t="str">
        <f t="shared" si="29"/>
        <v>Dentro do prazo</v>
      </c>
      <c r="O213" s="389">
        <f t="shared" si="24"/>
        <v>0</v>
      </c>
      <c r="P213" s="389">
        <f t="shared" si="25"/>
        <v>0</v>
      </c>
      <c r="Q213" s="309">
        <f t="shared" si="26"/>
        <v>0</v>
      </c>
    </row>
    <row r="214" spans="1:17" s="279" customFormat="1" ht="32.25" customHeight="1" x14ac:dyDescent="0.2">
      <c r="A214" s="282"/>
      <c r="B214" s="282"/>
      <c r="C214" s="283"/>
      <c r="D214" s="284"/>
      <c r="E214" s="297"/>
      <c r="F214" s="285"/>
      <c r="G214" s="285"/>
      <c r="H214" s="285"/>
      <c r="I214" s="282"/>
      <c r="J214" s="282"/>
      <c r="K214" s="282"/>
      <c r="L214" s="278" t="str">
        <f t="shared" si="27"/>
        <v>Em andamento</v>
      </c>
      <c r="M214" s="306">
        <f t="shared" si="28"/>
        <v>0</v>
      </c>
      <c r="N214" s="305" t="str">
        <f t="shared" si="29"/>
        <v>Dentro do prazo</v>
      </c>
      <c r="O214" s="389">
        <f t="shared" si="24"/>
        <v>0</v>
      </c>
      <c r="P214" s="389">
        <f t="shared" si="25"/>
        <v>0</v>
      </c>
      <c r="Q214" s="309">
        <f t="shared" si="26"/>
        <v>0</v>
      </c>
    </row>
    <row r="215" spans="1:17" s="279" customFormat="1" ht="32.25" customHeight="1" x14ac:dyDescent="0.2">
      <c r="A215" s="282"/>
      <c r="B215" s="282"/>
      <c r="C215" s="283"/>
      <c r="D215" s="284"/>
      <c r="E215" s="297"/>
      <c r="F215" s="285"/>
      <c r="G215" s="285"/>
      <c r="H215" s="285"/>
      <c r="I215" s="282"/>
      <c r="J215" s="282"/>
      <c r="K215" s="282"/>
      <c r="L215" s="278" t="str">
        <f t="shared" si="27"/>
        <v>Em andamento</v>
      </c>
      <c r="M215" s="306">
        <f t="shared" si="28"/>
        <v>0</v>
      </c>
      <c r="N215" s="305" t="str">
        <f t="shared" si="29"/>
        <v>Dentro do prazo</v>
      </c>
      <c r="O215" s="389">
        <f t="shared" si="24"/>
        <v>0</v>
      </c>
      <c r="P215" s="389">
        <f t="shared" si="25"/>
        <v>0</v>
      </c>
      <c r="Q215" s="309">
        <f t="shared" si="26"/>
        <v>0</v>
      </c>
    </row>
    <row r="216" spans="1:17" s="279" customFormat="1" ht="32.25" customHeight="1" x14ac:dyDescent="0.2">
      <c r="A216" s="282"/>
      <c r="B216" s="282"/>
      <c r="C216" s="283"/>
      <c r="D216" s="284"/>
      <c r="E216" s="297"/>
      <c r="F216" s="285"/>
      <c r="G216" s="285"/>
      <c r="H216" s="285"/>
      <c r="I216" s="282"/>
      <c r="J216" s="282"/>
      <c r="K216" s="282"/>
      <c r="L216" s="278" t="str">
        <f t="shared" si="27"/>
        <v>Em andamento</v>
      </c>
      <c r="M216" s="306">
        <f t="shared" si="28"/>
        <v>0</v>
      </c>
      <c r="N216" s="305" t="str">
        <f t="shared" si="29"/>
        <v>Dentro do prazo</v>
      </c>
      <c r="O216" s="389">
        <f t="shared" si="24"/>
        <v>0</v>
      </c>
      <c r="P216" s="389">
        <f t="shared" si="25"/>
        <v>0</v>
      </c>
      <c r="Q216" s="309">
        <f t="shared" si="26"/>
        <v>0</v>
      </c>
    </row>
    <row r="217" spans="1:17" s="279" customFormat="1" ht="32.25" customHeight="1" x14ac:dyDescent="0.2">
      <c r="A217" s="282"/>
      <c r="B217" s="282"/>
      <c r="C217" s="283"/>
      <c r="D217" s="284"/>
      <c r="E217" s="297"/>
      <c r="F217" s="285"/>
      <c r="G217" s="285"/>
      <c r="H217" s="285"/>
      <c r="I217" s="282"/>
      <c r="J217" s="282"/>
      <c r="K217" s="282"/>
      <c r="L217" s="278" t="str">
        <f t="shared" si="27"/>
        <v>Em andamento</v>
      </c>
      <c r="M217" s="306">
        <f t="shared" si="28"/>
        <v>0</v>
      </c>
      <c r="N217" s="305" t="str">
        <f t="shared" si="29"/>
        <v>Dentro do prazo</v>
      </c>
      <c r="O217" s="389">
        <f t="shared" si="24"/>
        <v>0</v>
      </c>
      <c r="P217" s="389">
        <f t="shared" si="25"/>
        <v>0</v>
      </c>
      <c r="Q217" s="309">
        <f t="shared" si="26"/>
        <v>0</v>
      </c>
    </row>
    <row r="218" spans="1:17" s="279" customFormat="1" ht="32.25" customHeight="1" x14ac:dyDescent="0.2">
      <c r="A218" s="282"/>
      <c r="B218" s="282"/>
      <c r="C218" s="283"/>
      <c r="D218" s="284"/>
      <c r="E218" s="297"/>
      <c r="F218" s="285"/>
      <c r="G218" s="285"/>
      <c r="H218" s="285"/>
      <c r="I218" s="282"/>
      <c r="J218" s="282"/>
      <c r="K218" s="282"/>
      <c r="L218" s="278" t="str">
        <f t="shared" si="27"/>
        <v>Em andamento</v>
      </c>
      <c r="M218" s="306">
        <f t="shared" si="28"/>
        <v>0</v>
      </c>
      <c r="N218" s="305" t="str">
        <f t="shared" si="29"/>
        <v>Dentro do prazo</v>
      </c>
      <c r="O218" s="389">
        <f t="shared" ref="O218:O281" si="30">IFERROR(B218-K218,"-")</f>
        <v>0</v>
      </c>
      <c r="P218" s="389">
        <f t="shared" ref="P218:P281" si="31">IFERROR(IF(K218=0,0,MONTH(K218)),"-")</f>
        <v>0</v>
      </c>
      <c r="Q218" s="309">
        <f t="shared" ref="Q218:Q281" si="32">IFERROR(IF(A218=0,0,MONTH(A218)),"-")</f>
        <v>0</v>
      </c>
    </row>
    <row r="219" spans="1:17" s="279" customFormat="1" ht="32.25" customHeight="1" x14ac:dyDescent="0.2">
      <c r="A219" s="282"/>
      <c r="B219" s="282"/>
      <c r="C219" s="283"/>
      <c r="D219" s="284"/>
      <c r="E219" s="297"/>
      <c r="F219" s="285"/>
      <c r="G219" s="285"/>
      <c r="H219" s="285"/>
      <c r="I219" s="282"/>
      <c r="J219" s="282"/>
      <c r="K219" s="282"/>
      <c r="L219" s="278" t="str">
        <f t="shared" si="27"/>
        <v>Em andamento</v>
      </c>
      <c r="M219" s="306">
        <f t="shared" si="28"/>
        <v>0</v>
      </c>
      <c r="N219" s="305" t="str">
        <f t="shared" si="29"/>
        <v>Dentro do prazo</v>
      </c>
      <c r="O219" s="389">
        <f t="shared" si="30"/>
        <v>0</v>
      </c>
      <c r="P219" s="389">
        <f t="shared" si="31"/>
        <v>0</v>
      </c>
      <c r="Q219" s="309">
        <f t="shared" si="32"/>
        <v>0</v>
      </c>
    </row>
    <row r="220" spans="1:17" s="279" customFormat="1" ht="32.25" customHeight="1" x14ac:dyDescent="0.2">
      <c r="A220" s="282"/>
      <c r="B220" s="282"/>
      <c r="C220" s="283"/>
      <c r="D220" s="284"/>
      <c r="E220" s="297"/>
      <c r="F220" s="285"/>
      <c r="G220" s="285"/>
      <c r="H220" s="285"/>
      <c r="I220" s="282"/>
      <c r="J220" s="282"/>
      <c r="K220" s="282"/>
      <c r="L220" s="278" t="str">
        <f t="shared" si="27"/>
        <v>Em andamento</v>
      </c>
      <c r="M220" s="306">
        <f t="shared" si="28"/>
        <v>0</v>
      </c>
      <c r="N220" s="305" t="str">
        <f t="shared" si="29"/>
        <v>Dentro do prazo</v>
      </c>
      <c r="O220" s="389">
        <f t="shared" si="30"/>
        <v>0</v>
      </c>
      <c r="P220" s="389">
        <f t="shared" si="31"/>
        <v>0</v>
      </c>
      <c r="Q220" s="309">
        <f t="shared" si="32"/>
        <v>0</v>
      </c>
    </row>
    <row r="221" spans="1:17" s="279" customFormat="1" ht="32.25" customHeight="1" x14ac:dyDescent="0.2">
      <c r="A221" s="282"/>
      <c r="B221" s="282"/>
      <c r="C221" s="283"/>
      <c r="D221" s="284"/>
      <c r="E221" s="297"/>
      <c r="F221" s="285"/>
      <c r="G221" s="285"/>
      <c r="H221" s="285"/>
      <c r="I221" s="282"/>
      <c r="J221" s="282"/>
      <c r="K221" s="282"/>
      <c r="L221" s="278" t="str">
        <f t="shared" si="27"/>
        <v>Em andamento</v>
      </c>
      <c r="M221" s="306">
        <f t="shared" si="28"/>
        <v>0</v>
      </c>
      <c r="N221" s="305" t="str">
        <f t="shared" si="29"/>
        <v>Dentro do prazo</v>
      </c>
      <c r="O221" s="389">
        <f t="shared" si="30"/>
        <v>0</v>
      </c>
      <c r="P221" s="389">
        <f t="shared" si="31"/>
        <v>0</v>
      </c>
      <c r="Q221" s="309">
        <f t="shared" si="32"/>
        <v>0</v>
      </c>
    </row>
    <row r="222" spans="1:17" s="279" customFormat="1" ht="32.25" customHeight="1" x14ac:dyDescent="0.2">
      <c r="A222" s="282"/>
      <c r="B222" s="282"/>
      <c r="C222" s="283"/>
      <c r="D222" s="284"/>
      <c r="E222" s="297"/>
      <c r="F222" s="285"/>
      <c r="G222" s="285"/>
      <c r="H222" s="285"/>
      <c r="I222" s="282"/>
      <c r="J222" s="282"/>
      <c r="K222" s="282"/>
      <c r="L222" s="278" t="str">
        <f t="shared" si="27"/>
        <v>Em andamento</v>
      </c>
      <c r="M222" s="306">
        <f t="shared" si="28"/>
        <v>0</v>
      </c>
      <c r="N222" s="305" t="str">
        <f t="shared" si="29"/>
        <v>Dentro do prazo</v>
      </c>
      <c r="O222" s="389">
        <f t="shared" si="30"/>
        <v>0</v>
      </c>
      <c r="P222" s="389">
        <f t="shared" si="31"/>
        <v>0</v>
      </c>
      <c r="Q222" s="309">
        <f t="shared" si="32"/>
        <v>0</v>
      </c>
    </row>
    <row r="223" spans="1:17" s="279" customFormat="1" ht="32.25" customHeight="1" x14ac:dyDescent="0.2">
      <c r="A223" s="282"/>
      <c r="B223" s="282"/>
      <c r="C223" s="283"/>
      <c r="D223" s="284"/>
      <c r="E223" s="297"/>
      <c r="F223" s="285"/>
      <c r="G223" s="285"/>
      <c r="H223" s="285"/>
      <c r="I223" s="282"/>
      <c r="J223" s="282"/>
      <c r="K223" s="282"/>
      <c r="L223" s="278" t="str">
        <f t="shared" si="27"/>
        <v>Em andamento</v>
      </c>
      <c r="M223" s="306">
        <f t="shared" si="28"/>
        <v>0</v>
      </c>
      <c r="N223" s="305" t="str">
        <f t="shared" si="29"/>
        <v>Dentro do prazo</v>
      </c>
      <c r="O223" s="389">
        <f t="shared" si="30"/>
        <v>0</v>
      </c>
      <c r="P223" s="389">
        <f t="shared" si="31"/>
        <v>0</v>
      </c>
      <c r="Q223" s="309">
        <f t="shared" si="32"/>
        <v>0</v>
      </c>
    </row>
    <row r="224" spans="1:17" s="279" customFormat="1" ht="32.25" customHeight="1" x14ac:dyDescent="0.2">
      <c r="A224" s="282"/>
      <c r="B224" s="282"/>
      <c r="C224" s="283"/>
      <c r="D224" s="284"/>
      <c r="E224" s="297"/>
      <c r="F224" s="285"/>
      <c r="G224" s="285"/>
      <c r="H224" s="285"/>
      <c r="I224" s="282"/>
      <c r="J224" s="282"/>
      <c r="K224" s="282"/>
      <c r="L224" s="278" t="str">
        <f t="shared" si="27"/>
        <v>Em andamento</v>
      </c>
      <c r="M224" s="306">
        <f t="shared" si="28"/>
        <v>0</v>
      </c>
      <c r="N224" s="305" t="str">
        <f t="shared" si="29"/>
        <v>Dentro do prazo</v>
      </c>
      <c r="O224" s="389">
        <f t="shared" si="30"/>
        <v>0</v>
      </c>
      <c r="P224" s="389">
        <f t="shared" si="31"/>
        <v>0</v>
      </c>
      <c r="Q224" s="309">
        <f t="shared" si="32"/>
        <v>0</v>
      </c>
    </row>
    <row r="225" spans="1:17" s="279" customFormat="1" ht="32.25" customHeight="1" x14ac:dyDescent="0.2">
      <c r="A225" s="282"/>
      <c r="B225" s="282"/>
      <c r="C225" s="283"/>
      <c r="D225" s="284"/>
      <c r="E225" s="297"/>
      <c r="F225" s="285"/>
      <c r="G225" s="285"/>
      <c r="H225" s="285"/>
      <c r="I225" s="282"/>
      <c r="J225" s="282"/>
      <c r="K225" s="282"/>
      <c r="L225" s="278" t="str">
        <f t="shared" si="27"/>
        <v>Em andamento</v>
      </c>
      <c r="M225" s="306">
        <f t="shared" si="28"/>
        <v>0</v>
      </c>
      <c r="N225" s="305" t="str">
        <f t="shared" si="29"/>
        <v>Dentro do prazo</v>
      </c>
      <c r="O225" s="389">
        <f t="shared" si="30"/>
        <v>0</v>
      </c>
      <c r="P225" s="389">
        <f t="shared" si="31"/>
        <v>0</v>
      </c>
      <c r="Q225" s="309">
        <f t="shared" si="32"/>
        <v>0</v>
      </c>
    </row>
    <row r="226" spans="1:17" s="279" customFormat="1" ht="32.25" customHeight="1" x14ac:dyDescent="0.2">
      <c r="A226" s="282"/>
      <c r="B226" s="282"/>
      <c r="C226" s="283"/>
      <c r="D226" s="284"/>
      <c r="E226" s="297"/>
      <c r="F226" s="285"/>
      <c r="G226" s="285"/>
      <c r="H226" s="285"/>
      <c r="I226" s="282"/>
      <c r="J226" s="282"/>
      <c r="K226" s="282"/>
      <c r="L226" s="278" t="str">
        <f t="shared" si="27"/>
        <v>Em andamento</v>
      </c>
      <c r="M226" s="306">
        <f t="shared" si="28"/>
        <v>0</v>
      </c>
      <c r="N226" s="305" t="str">
        <f t="shared" si="29"/>
        <v>Dentro do prazo</v>
      </c>
      <c r="O226" s="389">
        <f t="shared" si="30"/>
        <v>0</v>
      </c>
      <c r="P226" s="389">
        <f t="shared" si="31"/>
        <v>0</v>
      </c>
      <c r="Q226" s="309">
        <f t="shared" si="32"/>
        <v>0</v>
      </c>
    </row>
    <row r="227" spans="1:17" s="279" customFormat="1" ht="32.25" customHeight="1" x14ac:dyDescent="0.2">
      <c r="A227" s="282"/>
      <c r="B227" s="282"/>
      <c r="C227" s="283"/>
      <c r="D227" s="284"/>
      <c r="E227" s="297"/>
      <c r="F227" s="285"/>
      <c r="G227" s="285"/>
      <c r="H227" s="285"/>
      <c r="I227" s="282"/>
      <c r="J227" s="282"/>
      <c r="K227" s="282"/>
      <c r="L227" s="278" t="str">
        <f t="shared" ref="L227:L290" si="33">IF(K227="-","Cancelado",IF(K227&gt;0,"Concluído","Em andamento"))</f>
        <v>Em andamento</v>
      </c>
      <c r="M227" s="306">
        <f t="shared" ref="M227:M290" si="34">K227-A227</f>
        <v>0</v>
      </c>
      <c r="N227" s="305" t="str">
        <f t="shared" ref="N227:N290" si="35">IFERROR(IF(O227&gt;=0,"Dentro do prazo","Fora do prazo"),"-")</f>
        <v>Dentro do prazo</v>
      </c>
      <c r="O227" s="389">
        <f t="shared" si="30"/>
        <v>0</v>
      </c>
      <c r="P227" s="389">
        <f t="shared" si="31"/>
        <v>0</v>
      </c>
      <c r="Q227" s="309">
        <f t="shared" si="32"/>
        <v>0</v>
      </c>
    </row>
    <row r="228" spans="1:17" s="279" customFormat="1" ht="32.25" customHeight="1" x14ac:dyDescent="0.2">
      <c r="A228" s="282"/>
      <c r="B228" s="282"/>
      <c r="C228" s="283"/>
      <c r="D228" s="284"/>
      <c r="E228" s="297"/>
      <c r="F228" s="285"/>
      <c r="G228" s="285"/>
      <c r="H228" s="285"/>
      <c r="I228" s="282"/>
      <c r="J228" s="282"/>
      <c r="K228" s="282"/>
      <c r="L228" s="278" t="str">
        <f t="shared" si="33"/>
        <v>Em andamento</v>
      </c>
      <c r="M228" s="306">
        <f t="shared" si="34"/>
        <v>0</v>
      </c>
      <c r="N228" s="305" t="str">
        <f t="shared" si="35"/>
        <v>Dentro do prazo</v>
      </c>
      <c r="O228" s="389">
        <f t="shared" si="30"/>
        <v>0</v>
      </c>
      <c r="P228" s="389">
        <f t="shared" si="31"/>
        <v>0</v>
      </c>
      <c r="Q228" s="309">
        <f t="shared" si="32"/>
        <v>0</v>
      </c>
    </row>
    <row r="229" spans="1:17" s="279" customFormat="1" ht="32.25" customHeight="1" x14ac:dyDescent="0.2">
      <c r="A229" s="282"/>
      <c r="B229" s="282"/>
      <c r="C229" s="283"/>
      <c r="D229" s="284"/>
      <c r="E229" s="297"/>
      <c r="F229" s="285"/>
      <c r="G229" s="285"/>
      <c r="H229" s="285"/>
      <c r="I229" s="282"/>
      <c r="J229" s="282"/>
      <c r="K229" s="282"/>
      <c r="L229" s="278" t="str">
        <f t="shared" si="33"/>
        <v>Em andamento</v>
      </c>
      <c r="M229" s="306">
        <f t="shared" si="34"/>
        <v>0</v>
      </c>
      <c r="N229" s="305" t="str">
        <f t="shared" si="35"/>
        <v>Dentro do prazo</v>
      </c>
      <c r="O229" s="389">
        <f t="shared" si="30"/>
        <v>0</v>
      </c>
      <c r="P229" s="389">
        <f t="shared" si="31"/>
        <v>0</v>
      </c>
      <c r="Q229" s="309">
        <f t="shared" si="32"/>
        <v>0</v>
      </c>
    </row>
    <row r="230" spans="1:17" s="279" customFormat="1" ht="32.25" customHeight="1" x14ac:dyDescent="0.2">
      <c r="A230" s="282"/>
      <c r="B230" s="282"/>
      <c r="C230" s="283"/>
      <c r="D230" s="284"/>
      <c r="E230" s="297"/>
      <c r="F230" s="285"/>
      <c r="G230" s="285"/>
      <c r="H230" s="285"/>
      <c r="I230" s="282"/>
      <c r="J230" s="282"/>
      <c r="K230" s="282"/>
      <c r="L230" s="278" t="str">
        <f t="shared" si="33"/>
        <v>Em andamento</v>
      </c>
      <c r="M230" s="306">
        <f t="shared" si="34"/>
        <v>0</v>
      </c>
      <c r="N230" s="305" t="str">
        <f t="shared" si="35"/>
        <v>Dentro do prazo</v>
      </c>
      <c r="O230" s="389">
        <f t="shared" si="30"/>
        <v>0</v>
      </c>
      <c r="P230" s="389">
        <f t="shared" si="31"/>
        <v>0</v>
      </c>
      <c r="Q230" s="309">
        <f t="shared" si="32"/>
        <v>0</v>
      </c>
    </row>
    <row r="231" spans="1:17" s="279" customFormat="1" ht="32.25" customHeight="1" x14ac:dyDescent="0.2">
      <c r="A231" s="282"/>
      <c r="B231" s="282"/>
      <c r="C231" s="283"/>
      <c r="D231" s="284"/>
      <c r="E231" s="297"/>
      <c r="F231" s="285"/>
      <c r="G231" s="285"/>
      <c r="H231" s="285"/>
      <c r="I231" s="282"/>
      <c r="J231" s="282"/>
      <c r="K231" s="282"/>
      <c r="L231" s="278" t="str">
        <f t="shared" si="33"/>
        <v>Em andamento</v>
      </c>
      <c r="M231" s="306">
        <f t="shared" si="34"/>
        <v>0</v>
      </c>
      <c r="N231" s="305" t="str">
        <f t="shared" si="35"/>
        <v>Dentro do prazo</v>
      </c>
      <c r="O231" s="389">
        <f t="shared" si="30"/>
        <v>0</v>
      </c>
      <c r="P231" s="389">
        <f t="shared" si="31"/>
        <v>0</v>
      </c>
      <c r="Q231" s="309">
        <f t="shared" si="32"/>
        <v>0</v>
      </c>
    </row>
    <row r="232" spans="1:17" s="279" customFormat="1" ht="32.25" customHeight="1" x14ac:dyDescent="0.2">
      <c r="A232" s="282"/>
      <c r="B232" s="282"/>
      <c r="C232" s="283"/>
      <c r="D232" s="284"/>
      <c r="E232" s="297"/>
      <c r="F232" s="285"/>
      <c r="G232" s="285"/>
      <c r="H232" s="285"/>
      <c r="I232" s="282"/>
      <c r="J232" s="282"/>
      <c r="K232" s="282"/>
      <c r="L232" s="278" t="str">
        <f t="shared" si="33"/>
        <v>Em andamento</v>
      </c>
      <c r="M232" s="306">
        <f t="shared" si="34"/>
        <v>0</v>
      </c>
      <c r="N232" s="305" t="str">
        <f t="shared" si="35"/>
        <v>Dentro do prazo</v>
      </c>
      <c r="O232" s="389">
        <f t="shared" si="30"/>
        <v>0</v>
      </c>
      <c r="P232" s="389">
        <f t="shared" si="31"/>
        <v>0</v>
      </c>
      <c r="Q232" s="309">
        <f t="shared" si="32"/>
        <v>0</v>
      </c>
    </row>
    <row r="233" spans="1:17" s="279" customFormat="1" ht="32.25" customHeight="1" x14ac:dyDescent="0.2">
      <c r="A233" s="282"/>
      <c r="B233" s="282"/>
      <c r="C233" s="283"/>
      <c r="D233" s="284"/>
      <c r="E233" s="297"/>
      <c r="F233" s="285"/>
      <c r="G233" s="285"/>
      <c r="H233" s="285"/>
      <c r="I233" s="282"/>
      <c r="J233" s="282"/>
      <c r="K233" s="282"/>
      <c r="L233" s="278" t="str">
        <f t="shared" si="33"/>
        <v>Em andamento</v>
      </c>
      <c r="M233" s="306">
        <f t="shared" si="34"/>
        <v>0</v>
      </c>
      <c r="N233" s="305" t="str">
        <f t="shared" si="35"/>
        <v>Dentro do prazo</v>
      </c>
      <c r="O233" s="389">
        <f t="shared" si="30"/>
        <v>0</v>
      </c>
      <c r="P233" s="389">
        <f t="shared" si="31"/>
        <v>0</v>
      </c>
      <c r="Q233" s="309">
        <f t="shared" si="32"/>
        <v>0</v>
      </c>
    </row>
    <row r="234" spans="1:17" s="279" customFormat="1" ht="32.25" customHeight="1" x14ac:dyDescent="0.2">
      <c r="A234" s="282"/>
      <c r="B234" s="282"/>
      <c r="C234" s="283"/>
      <c r="D234" s="284"/>
      <c r="E234" s="297"/>
      <c r="F234" s="285"/>
      <c r="G234" s="285"/>
      <c r="H234" s="285"/>
      <c r="I234" s="282"/>
      <c r="J234" s="282"/>
      <c r="K234" s="282"/>
      <c r="L234" s="278" t="str">
        <f t="shared" si="33"/>
        <v>Em andamento</v>
      </c>
      <c r="M234" s="306">
        <f t="shared" si="34"/>
        <v>0</v>
      </c>
      <c r="N234" s="305" t="str">
        <f t="shared" si="35"/>
        <v>Dentro do prazo</v>
      </c>
      <c r="O234" s="389">
        <f t="shared" si="30"/>
        <v>0</v>
      </c>
      <c r="P234" s="389">
        <f t="shared" si="31"/>
        <v>0</v>
      </c>
      <c r="Q234" s="309">
        <f t="shared" si="32"/>
        <v>0</v>
      </c>
    </row>
    <row r="235" spans="1:17" s="279" customFormat="1" ht="32.25" customHeight="1" x14ac:dyDescent="0.2">
      <c r="A235" s="282"/>
      <c r="B235" s="282"/>
      <c r="C235" s="283"/>
      <c r="D235" s="284"/>
      <c r="E235" s="297"/>
      <c r="F235" s="285"/>
      <c r="G235" s="285"/>
      <c r="H235" s="285"/>
      <c r="I235" s="282"/>
      <c r="J235" s="282"/>
      <c r="K235" s="282"/>
      <c r="L235" s="278" t="str">
        <f t="shared" si="33"/>
        <v>Em andamento</v>
      </c>
      <c r="M235" s="306">
        <f t="shared" si="34"/>
        <v>0</v>
      </c>
      <c r="N235" s="305" t="str">
        <f t="shared" si="35"/>
        <v>Dentro do prazo</v>
      </c>
      <c r="O235" s="389">
        <f t="shared" si="30"/>
        <v>0</v>
      </c>
      <c r="P235" s="389">
        <f t="shared" si="31"/>
        <v>0</v>
      </c>
      <c r="Q235" s="309">
        <f t="shared" si="32"/>
        <v>0</v>
      </c>
    </row>
    <row r="236" spans="1:17" s="279" customFormat="1" ht="32.25" customHeight="1" x14ac:dyDescent="0.2">
      <c r="A236" s="282"/>
      <c r="B236" s="282"/>
      <c r="C236" s="283"/>
      <c r="D236" s="284"/>
      <c r="E236" s="297"/>
      <c r="F236" s="285"/>
      <c r="G236" s="285"/>
      <c r="H236" s="285"/>
      <c r="I236" s="282"/>
      <c r="J236" s="282"/>
      <c r="K236" s="282"/>
      <c r="L236" s="278" t="str">
        <f t="shared" si="33"/>
        <v>Em andamento</v>
      </c>
      <c r="M236" s="306">
        <f t="shared" si="34"/>
        <v>0</v>
      </c>
      <c r="N236" s="305" t="str">
        <f t="shared" si="35"/>
        <v>Dentro do prazo</v>
      </c>
      <c r="O236" s="389">
        <f t="shared" si="30"/>
        <v>0</v>
      </c>
      <c r="P236" s="389">
        <f t="shared" si="31"/>
        <v>0</v>
      </c>
      <c r="Q236" s="309">
        <f t="shared" si="32"/>
        <v>0</v>
      </c>
    </row>
    <row r="237" spans="1:17" s="279" customFormat="1" ht="32.25" customHeight="1" x14ac:dyDescent="0.2">
      <c r="A237" s="282"/>
      <c r="B237" s="282"/>
      <c r="C237" s="283"/>
      <c r="D237" s="284"/>
      <c r="E237" s="297"/>
      <c r="F237" s="285"/>
      <c r="G237" s="285"/>
      <c r="H237" s="285"/>
      <c r="I237" s="282"/>
      <c r="J237" s="282"/>
      <c r="K237" s="282"/>
      <c r="L237" s="278" t="str">
        <f t="shared" si="33"/>
        <v>Em andamento</v>
      </c>
      <c r="M237" s="306">
        <f t="shared" si="34"/>
        <v>0</v>
      </c>
      <c r="N237" s="305" t="str">
        <f t="shared" si="35"/>
        <v>Dentro do prazo</v>
      </c>
      <c r="O237" s="389">
        <f t="shared" si="30"/>
        <v>0</v>
      </c>
      <c r="P237" s="389">
        <f t="shared" si="31"/>
        <v>0</v>
      </c>
      <c r="Q237" s="309">
        <f t="shared" si="32"/>
        <v>0</v>
      </c>
    </row>
    <row r="238" spans="1:17" s="279" customFormat="1" ht="32.25" customHeight="1" x14ac:dyDescent="0.2">
      <c r="A238" s="282"/>
      <c r="B238" s="282"/>
      <c r="C238" s="283"/>
      <c r="D238" s="284"/>
      <c r="E238" s="297"/>
      <c r="F238" s="285"/>
      <c r="G238" s="285"/>
      <c r="H238" s="285"/>
      <c r="I238" s="282"/>
      <c r="J238" s="282"/>
      <c r="K238" s="282"/>
      <c r="L238" s="278" t="str">
        <f t="shared" si="33"/>
        <v>Em andamento</v>
      </c>
      <c r="M238" s="306">
        <f t="shared" si="34"/>
        <v>0</v>
      </c>
      <c r="N238" s="305" t="str">
        <f t="shared" si="35"/>
        <v>Dentro do prazo</v>
      </c>
      <c r="O238" s="389">
        <f t="shared" si="30"/>
        <v>0</v>
      </c>
      <c r="P238" s="389">
        <f t="shared" si="31"/>
        <v>0</v>
      </c>
      <c r="Q238" s="309">
        <f t="shared" si="32"/>
        <v>0</v>
      </c>
    </row>
    <row r="239" spans="1:17" s="279" customFormat="1" ht="32.25" customHeight="1" x14ac:dyDescent="0.2">
      <c r="A239" s="282"/>
      <c r="B239" s="282"/>
      <c r="C239" s="283"/>
      <c r="D239" s="284"/>
      <c r="E239" s="297"/>
      <c r="F239" s="285"/>
      <c r="G239" s="285"/>
      <c r="H239" s="285"/>
      <c r="I239" s="282"/>
      <c r="J239" s="282"/>
      <c r="K239" s="282"/>
      <c r="L239" s="278" t="str">
        <f t="shared" si="33"/>
        <v>Em andamento</v>
      </c>
      <c r="M239" s="306">
        <f t="shared" si="34"/>
        <v>0</v>
      </c>
      <c r="N239" s="305" t="str">
        <f t="shared" si="35"/>
        <v>Dentro do prazo</v>
      </c>
      <c r="O239" s="389">
        <f t="shared" si="30"/>
        <v>0</v>
      </c>
      <c r="P239" s="389">
        <f t="shared" si="31"/>
        <v>0</v>
      </c>
      <c r="Q239" s="309">
        <f t="shared" si="32"/>
        <v>0</v>
      </c>
    </row>
    <row r="240" spans="1:17" s="279" customFormat="1" ht="32.25" customHeight="1" x14ac:dyDescent="0.2">
      <c r="A240" s="282"/>
      <c r="B240" s="282"/>
      <c r="C240" s="283"/>
      <c r="D240" s="284"/>
      <c r="E240" s="297"/>
      <c r="F240" s="285"/>
      <c r="G240" s="285"/>
      <c r="H240" s="285"/>
      <c r="I240" s="282"/>
      <c r="J240" s="282"/>
      <c r="K240" s="282"/>
      <c r="L240" s="278" t="str">
        <f t="shared" si="33"/>
        <v>Em andamento</v>
      </c>
      <c r="M240" s="306">
        <f t="shared" si="34"/>
        <v>0</v>
      </c>
      <c r="N240" s="305" t="str">
        <f t="shared" si="35"/>
        <v>Dentro do prazo</v>
      </c>
      <c r="O240" s="389">
        <f t="shared" si="30"/>
        <v>0</v>
      </c>
      <c r="P240" s="389">
        <f t="shared" si="31"/>
        <v>0</v>
      </c>
      <c r="Q240" s="309">
        <f t="shared" si="32"/>
        <v>0</v>
      </c>
    </row>
    <row r="241" spans="1:17" s="279" customFormat="1" ht="32.25" customHeight="1" x14ac:dyDescent="0.2">
      <c r="A241" s="282"/>
      <c r="B241" s="282"/>
      <c r="C241" s="283"/>
      <c r="D241" s="284"/>
      <c r="E241" s="297"/>
      <c r="F241" s="285"/>
      <c r="G241" s="285"/>
      <c r="H241" s="285"/>
      <c r="I241" s="282"/>
      <c r="J241" s="282"/>
      <c r="K241" s="282"/>
      <c r="L241" s="278" t="str">
        <f t="shared" si="33"/>
        <v>Em andamento</v>
      </c>
      <c r="M241" s="306">
        <f t="shared" si="34"/>
        <v>0</v>
      </c>
      <c r="N241" s="305" t="str">
        <f t="shared" si="35"/>
        <v>Dentro do prazo</v>
      </c>
      <c r="O241" s="389">
        <f t="shared" si="30"/>
        <v>0</v>
      </c>
      <c r="P241" s="389">
        <f t="shared" si="31"/>
        <v>0</v>
      </c>
      <c r="Q241" s="309">
        <f t="shared" si="32"/>
        <v>0</v>
      </c>
    </row>
    <row r="242" spans="1:17" s="279" customFormat="1" ht="32.25" customHeight="1" x14ac:dyDescent="0.2">
      <c r="A242" s="282"/>
      <c r="B242" s="282"/>
      <c r="C242" s="283"/>
      <c r="D242" s="284"/>
      <c r="E242" s="297"/>
      <c r="F242" s="285"/>
      <c r="G242" s="285"/>
      <c r="H242" s="285"/>
      <c r="I242" s="282"/>
      <c r="J242" s="282"/>
      <c r="K242" s="282"/>
      <c r="L242" s="278" t="str">
        <f t="shared" si="33"/>
        <v>Em andamento</v>
      </c>
      <c r="M242" s="306">
        <f t="shared" si="34"/>
        <v>0</v>
      </c>
      <c r="N242" s="305" t="str">
        <f t="shared" si="35"/>
        <v>Dentro do prazo</v>
      </c>
      <c r="O242" s="389">
        <f t="shared" si="30"/>
        <v>0</v>
      </c>
      <c r="P242" s="389">
        <f t="shared" si="31"/>
        <v>0</v>
      </c>
      <c r="Q242" s="309">
        <f t="shared" si="32"/>
        <v>0</v>
      </c>
    </row>
    <row r="243" spans="1:17" s="279" customFormat="1" ht="32.25" customHeight="1" x14ac:dyDescent="0.2">
      <c r="A243" s="282"/>
      <c r="B243" s="282"/>
      <c r="C243" s="283"/>
      <c r="D243" s="284"/>
      <c r="E243" s="297"/>
      <c r="F243" s="285"/>
      <c r="G243" s="285"/>
      <c r="H243" s="285"/>
      <c r="I243" s="282"/>
      <c r="J243" s="282"/>
      <c r="K243" s="282"/>
      <c r="L243" s="278" t="str">
        <f t="shared" si="33"/>
        <v>Em andamento</v>
      </c>
      <c r="M243" s="306">
        <f t="shared" si="34"/>
        <v>0</v>
      </c>
      <c r="N243" s="305" t="str">
        <f t="shared" si="35"/>
        <v>Dentro do prazo</v>
      </c>
      <c r="O243" s="389">
        <f t="shared" si="30"/>
        <v>0</v>
      </c>
      <c r="P243" s="389">
        <f t="shared" si="31"/>
        <v>0</v>
      </c>
      <c r="Q243" s="309">
        <f t="shared" si="32"/>
        <v>0</v>
      </c>
    </row>
    <row r="244" spans="1:17" s="279" customFormat="1" ht="32.25" customHeight="1" x14ac:dyDescent="0.2">
      <c r="A244" s="282"/>
      <c r="B244" s="282"/>
      <c r="C244" s="283"/>
      <c r="D244" s="284"/>
      <c r="E244" s="297"/>
      <c r="F244" s="285"/>
      <c r="G244" s="285"/>
      <c r="H244" s="285"/>
      <c r="I244" s="282"/>
      <c r="J244" s="282"/>
      <c r="K244" s="282"/>
      <c r="L244" s="278" t="str">
        <f t="shared" si="33"/>
        <v>Em andamento</v>
      </c>
      <c r="M244" s="306">
        <f t="shared" si="34"/>
        <v>0</v>
      </c>
      <c r="N244" s="305" t="str">
        <f t="shared" si="35"/>
        <v>Dentro do prazo</v>
      </c>
      <c r="O244" s="389">
        <f t="shared" si="30"/>
        <v>0</v>
      </c>
      <c r="P244" s="389">
        <f t="shared" si="31"/>
        <v>0</v>
      </c>
      <c r="Q244" s="309">
        <f t="shared" si="32"/>
        <v>0</v>
      </c>
    </row>
    <row r="245" spans="1:17" s="279" customFormat="1" ht="32.25" customHeight="1" x14ac:dyDescent="0.2">
      <c r="A245" s="282"/>
      <c r="B245" s="282"/>
      <c r="C245" s="283"/>
      <c r="D245" s="284"/>
      <c r="E245" s="297"/>
      <c r="F245" s="285"/>
      <c r="G245" s="285"/>
      <c r="H245" s="285"/>
      <c r="I245" s="282"/>
      <c r="J245" s="282"/>
      <c r="K245" s="282"/>
      <c r="L245" s="278" t="str">
        <f t="shared" si="33"/>
        <v>Em andamento</v>
      </c>
      <c r="M245" s="306">
        <f t="shared" si="34"/>
        <v>0</v>
      </c>
      <c r="N245" s="305" t="str">
        <f t="shared" si="35"/>
        <v>Dentro do prazo</v>
      </c>
      <c r="O245" s="389">
        <f t="shared" si="30"/>
        <v>0</v>
      </c>
      <c r="P245" s="389">
        <f t="shared" si="31"/>
        <v>0</v>
      </c>
      <c r="Q245" s="309">
        <f t="shared" si="32"/>
        <v>0</v>
      </c>
    </row>
    <row r="246" spans="1:17" s="279" customFormat="1" ht="32.25" customHeight="1" x14ac:dyDescent="0.2">
      <c r="A246" s="282"/>
      <c r="B246" s="282"/>
      <c r="C246" s="283"/>
      <c r="D246" s="284"/>
      <c r="E246" s="297"/>
      <c r="F246" s="285"/>
      <c r="G246" s="285"/>
      <c r="H246" s="285"/>
      <c r="I246" s="282"/>
      <c r="J246" s="282"/>
      <c r="K246" s="282"/>
      <c r="L246" s="278" t="str">
        <f t="shared" si="33"/>
        <v>Em andamento</v>
      </c>
      <c r="M246" s="306">
        <f t="shared" si="34"/>
        <v>0</v>
      </c>
      <c r="N246" s="305" t="str">
        <f t="shared" si="35"/>
        <v>Dentro do prazo</v>
      </c>
      <c r="O246" s="389">
        <f t="shared" si="30"/>
        <v>0</v>
      </c>
      <c r="P246" s="389">
        <f t="shared" si="31"/>
        <v>0</v>
      </c>
      <c r="Q246" s="309">
        <f t="shared" si="32"/>
        <v>0</v>
      </c>
    </row>
    <row r="247" spans="1:17" s="279" customFormat="1" ht="32.25" customHeight="1" x14ac:dyDescent="0.2">
      <c r="A247" s="282"/>
      <c r="B247" s="282"/>
      <c r="C247" s="283"/>
      <c r="D247" s="284"/>
      <c r="E247" s="297"/>
      <c r="F247" s="285"/>
      <c r="G247" s="285"/>
      <c r="H247" s="285"/>
      <c r="I247" s="282"/>
      <c r="J247" s="282"/>
      <c r="K247" s="282"/>
      <c r="L247" s="278" t="str">
        <f t="shared" si="33"/>
        <v>Em andamento</v>
      </c>
      <c r="M247" s="306">
        <f t="shared" si="34"/>
        <v>0</v>
      </c>
      <c r="N247" s="305" t="str">
        <f t="shared" si="35"/>
        <v>Dentro do prazo</v>
      </c>
      <c r="O247" s="389">
        <f t="shared" si="30"/>
        <v>0</v>
      </c>
      <c r="P247" s="389">
        <f t="shared" si="31"/>
        <v>0</v>
      </c>
      <c r="Q247" s="309">
        <f t="shared" si="32"/>
        <v>0</v>
      </c>
    </row>
    <row r="248" spans="1:17" s="279" customFormat="1" ht="32.25" customHeight="1" x14ac:dyDescent="0.2">
      <c r="A248" s="282"/>
      <c r="B248" s="282"/>
      <c r="C248" s="283"/>
      <c r="D248" s="284"/>
      <c r="E248" s="297"/>
      <c r="F248" s="285"/>
      <c r="G248" s="285"/>
      <c r="H248" s="285"/>
      <c r="I248" s="282"/>
      <c r="J248" s="282"/>
      <c r="K248" s="282"/>
      <c r="L248" s="278" t="str">
        <f t="shared" si="33"/>
        <v>Em andamento</v>
      </c>
      <c r="M248" s="306">
        <f t="shared" si="34"/>
        <v>0</v>
      </c>
      <c r="N248" s="305" t="str">
        <f t="shared" si="35"/>
        <v>Dentro do prazo</v>
      </c>
      <c r="O248" s="389">
        <f t="shared" si="30"/>
        <v>0</v>
      </c>
      <c r="P248" s="389">
        <f t="shared" si="31"/>
        <v>0</v>
      </c>
      <c r="Q248" s="309">
        <f t="shared" si="32"/>
        <v>0</v>
      </c>
    </row>
    <row r="249" spans="1:17" s="279" customFormat="1" ht="32.25" customHeight="1" x14ac:dyDescent="0.2">
      <c r="A249" s="282"/>
      <c r="B249" s="282"/>
      <c r="C249" s="283"/>
      <c r="D249" s="284"/>
      <c r="E249" s="297"/>
      <c r="F249" s="285"/>
      <c r="G249" s="285"/>
      <c r="H249" s="285"/>
      <c r="I249" s="282"/>
      <c r="J249" s="282"/>
      <c r="K249" s="282"/>
      <c r="L249" s="278" t="str">
        <f t="shared" si="33"/>
        <v>Em andamento</v>
      </c>
      <c r="M249" s="306">
        <f t="shared" si="34"/>
        <v>0</v>
      </c>
      <c r="N249" s="305" t="str">
        <f t="shared" si="35"/>
        <v>Dentro do prazo</v>
      </c>
      <c r="O249" s="389">
        <f t="shared" si="30"/>
        <v>0</v>
      </c>
      <c r="P249" s="389">
        <f t="shared" si="31"/>
        <v>0</v>
      </c>
      <c r="Q249" s="309">
        <f t="shared" si="32"/>
        <v>0</v>
      </c>
    </row>
    <row r="250" spans="1:17" s="279" customFormat="1" ht="32.25" customHeight="1" x14ac:dyDescent="0.2">
      <c r="A250" s="282"/>
      <c r="B250" s="282"/>
      <c r="C250" s="283"/>
      <c r="D250" s="284"/>
      <c r="E250" s="297"/>
      <c r="F250" s="285"/>
      <c r="G250" s="285"/>
      <c r="H250" s="285"/>
      <c r="I250" s="282"/>
      <c r="J250" s="282"/>
      <c r="K250" s="282"/>
      <c r="L250" s="278" t="str">
        <f t="shared" si="33"/>
        <v>Em andamento</v>
      </c>
      <c r="M250" s="306">
        <f t="shared" si="34"/>
        <v>0</v>
      </c>
      <c r="N250" s="305" t="str">
        <f t="shared" si="35"/>
        <v>Dentro do prazo</v>
      </c>
      <c r="O250" s="389">
        <f t="shared" si="30"/>
        <v>0</v>
      </c>
      <c r="P250" s="389">
        <f t="shared" si="31"/>
        <v>0</v>
      </c>
      <c r="Q250" s="309">
        <f t="shared" si="32"/>
        <v>0</v>
      </c>
    </row>
    <row r="251" spans="1:17" s="279" customFormat="1" ht="32.25" customHeight="1" x14ac:dyDescent="0.2">
      <c r="A251" s="282"/>
      <c r="B251" s="282"/>
      <c r="C251" s="283"/>
      <c r="D251" s="284"/>
      <c r="E251" s="297"/>
      <c r="F251" s="285"/>
      <c r="G251" s="285"/>
      <c r="H251" s="285"/>
      <c r="I251" s="282"/>
      <c r="J251" s="282"/>
      <c r="K251" s="282"/>
      <c r="L251" s="278" t="str">
        <f t="shared" si="33"/>
        <v>Em andamento</v>
      </c>
      <c r="M251" s="306">
        <f t="shared" si="34"/>
        <v>0</v>
      </c>
      <c r="N251" s="305" t="str">
        <f t="shared" si="35"/>
        <v>Dentro do prazo</v>
      </c>
      <c r="O251" s="389">
        <f t="shared" si="30"/>
        <v>0</v>
      </c>
      <c r="P251" s="389">
        <f t="shared" si="31"/>
        <v>0</v>
      </c>
      <c r="Q251" s="309">
        <f t="shared" si="32"/>
        <v>0</v>
      </c>
    </row>
    <row r="252" spans="1:17" s="279" customFormat="1" ht="32.25" customHeight="1" x14ac:dyDescent="0.2">
      <c r="A252" s="282"/>
      <c r="B252" s="282"/>
      <c r="C252" s="283"/>
      <c r="D252" s="284"/>
      <c r="E252" s="297"/>
      <c r="F252" s="285"/>
      <c r="G252" s="285"/>
      <c r="H252" s="285"/>
      <c r="I252" s="282"/>
      <c r="J252" s="282"/>
      <c r="K252" s="282"/>
      <c r="L252" s="278" t="str">
        <f t="shared" si="33"/>
        <v>Em andamento</v>
      </c>
      <c r="M252" s="306">
        <f t="shared" si="34"/>
        <v>0</v>
      </c>
      <c r="N252" s="305" t="str">
        <f t="shared" si="35"/>
        <v>Dentro do prazo</v>
      </c>
      <c r="O252" s="389">
        <f t="shared" si="30"/>
        <v>0</v>
      </c>
      <c r="P252" s="389">
        <f t="shared" si="31"/>
        <v>0</v>
      </c>
      <c r="Q252" s="309">
        <f t="shared" si="32"/>
        <v>0</v>
      </c>
    </row>
    <row r="253" spans="1:17" s="279" customFormat="1" ht="32.25" customHeight="1" x14ac:dyDescent="0.2">
      <c r="A253" s="282"/>
      <c r="B253" s="282"/>
      <c r="C253" s="283"/>
      <c r="D253" s="284"/>
      <c r="E253" s="297"/>
      <c r="F253" s="285"/>
      <c r="G253" s="285"/>
      <c r="H253" s="285"/>
      <c r="I253" s="282"/>
      <c r="J253" s="282"/>
      <c r="K253" s="282"/>
      <c r="L253" s="278" t="str">
        <f t="shared" si="33"/>
        <v>Em andamento</v>
      </c>
      <c r="M253" s="306">
        <f t="shared" si="34"/>
        <v>0</v>
      </c>
      <c r="N253" s="305" t="str">
        <f t="shared" si="35"/>
        <v>Dentro do prazo</v>
      </c>
      <c r="O253" s="389">
        <f t="shared" si="30"/>
        <v>0</v>
      </c>
      <c r="P253" s="389">
        <f t="shared" si="31"/>
        <v>0</v>
      </c>
      <c r="Q253" s="309">
        <f t="shared" si="32"/>
        <v>0</v>
      </c>
    </row>
    <row r="254" spans="1:17" s="279" customFormat="1" ht="32.25" customHeight="1" x14ac:dyDescent="0.2">
      <c r="A254" s="282"/>
      <c r="B254" s="282"/>
      <c r="C254" s="283"/>
      <c r="D254" s="284"/>
      <c r="E254" s="297"/>
      <c r="F254" s="285"/>
      <c r="G254" s="285"/>
      <c r="H254" s="285"/>
      <c r="I254" s="282"/>
      <c r="J254" s="282"/>
      <c r="K254" s="282"/>
      <c r="L254" s="278" t="str">
        <f t="shared" si="33"/>
        <v>Em andamento</v>
      </c>
      <c r="M254" s="306">
        <f t="shared" si="34"/>
        <v>0</v>
      </c>
      <c r="N254" s="305" t="str">
        <f t="shared" si="35"/>
        <v>Dentro do prazo</v>
      </c>
      <c r="O254" s="389">
        <f t="shared" si="30"/>
        <v>0</v>
      </c>
      <c r="P254" s="389">
        <f t="shared" si="31"/>
        <v>0</v>
      </c>
      <c r="Q254" s="309">
        <f t="shared" si="32"/>
        <v>0</v>
      </c>
    </row>
    <row r="255" spans="1:17" s="279" customFormat="1" ht="32.25" customHeight="1" x14ac:dyDescent="0.2">
      <c r="A255" s="282"/>
      <c r="B255" s="282"/>
      <c r="C255" s="283"/>
      <c r="D255" s="284"/>
      <c r="E255" s="297"/>
      <c r="F255" s="285"/>
      <c r="G255" s="285"/>
      <c r="H255" s="285"/>
      <c r="I255" s="282"/>
      <c r="J255" s="282"/>
      <c r="K255" s="282"/>
      <c r="L255" s="278" t="str">
        <f t="shared" si="33"/>
        <v>Em andamento</v>
      </c>
      <c r="M255" s="306">
        <f t="shared" si="34"/>
        <v>0</v>
      </c>
      <c r="N255" s="305" t="str">
        <f t="shared" si="35"/>
        <v>Dentro do prazo</v>
      </c>
      <c r="O255" s="389">
        <f t="shared" si="30"/>
        <v>0</v>
      </c>
      <c r="P255" s="389">
        <f t="shared" si="31"/>
        <v>0</v>
      </c>
      <c r="Q255" s="309">
        <f t="shared" si="32"/>
        <v>0</v>
      </c>
    </row>
    <row r="256" spans="1:17" s="279" customFormat="1" ht="32.25" customHeight="1" x14ac:dyDescent="0.2">
      <c r="A256" s="282"/>
      <c r="B256" s="282"/>
      <c r="C256" s="283"/>
      <c r="D256" s="284"/>
      <c r="E256" s="297"/>
      <c r="F256" s="285"/>
      <c r="G256" s="285"/>
      <c r="H256" s="285"/>
      <c r="I256" s="282"/>
      <c r="J256" s="282"/>
      <c r="K256" s="282"/>
      <c r="L256" s="278" t="str">
        <f t="shared" si="33"/>
        <v>Em andamento</v>
      </c>
      <c r="M256" s="306">
        <f t="shared" si="34"/>
        <v>0</v>
      </c>
      <c r="N256" s="305" t="str">
        <f t="shared" si="35"/>
        <v>Dentro do prazo</v>
      </c>
      <c r="O256" s="389">
        <f t="shared" si="30"/>
        <v>0</v>
      </c>
      <c r="P256" s="389">
        <f t="shared" si="31"/>
        <v>0</v>
      </c>
      <c r="Q256" s="309">
        <f t="shared" si="32"/>
        <v>0</v>
      </c>
    </row>
    <row r="257" spans="1:17" s="279" customFormat="1" ht="32.25" customHeight="1" x14ac:dyDescent="0.2">
      <c r="A257" s="282"/>
      <c r="B257" s="282"/>
      <c r="C257" s="283"/>
      <c r="D257" s="284"/>
      <c r="E257" s="297"/>
      <c r="F257" s="285"/>
      <c r="G257" s="285"/>
      <c r="H257" s="285"/>
      <c r="I257" s="282"/>
      <c r="J257" s="282"/>
      <c r="K257" s="282"/>
      <c r="L257" s="278" t="str">
        <f t="shared" si="33"/>
        <v>Em andamento</v>
      </c>
      <c r="M257" s="306">
        <f t="shared" si="34"/>
        <v>0</v>
      </c>
      <c r="N257" s="305" t="str">
        <f t="shared" si="35"/>
        <v>Dentro do prazo</v>
      </c>
      <c r="O257" s="389">
        <f t="shared" si="30"/>
        <v>0</v>
      </c>
      <c r="P257" s="389">
        <f t="shared" si="31"/>
        <v>0</v>
      </c>
      <c r="Q257" s="309">
        <f t="shared" si="32"/>
        <v>0</v>
      </c>
    </row>
    <row r="258" spans="1:17" s="279" customFormat="1" ht="32.25" customHeight="1" x14ac:dyDescent="0.2">
      <c r="A258" s="282"/>
      <c r="B258" s="282"/>
      <c r="C258" s="283"/>
      <c r="D258" s="284"/>
      <c r="E258" s="297"/>
      <c r="F258" s="285"/>
      <c r="G258" s="285"/>
      <c r="H258" s="285"/>
      <c r="I258" s="282"/>
      <c r="J258" s="282"/>
      <c r="K258" s="282"/>
      <c r="L258" s="278" t="str">
        <f t="shared" si="33"/>
        <v>Em andamento</v>
      </c>
      <c r="M258" s="306">
        <f t="shared" si="34"/>
        <v>0</v>
      </c>
      <c r="N258" s="305" t="str">
        <f t="shared" si="35"/>
        <v>Dentro do prazo</v>
      </c>
      <c r="O258" s="389">
        <f t="shared" si="30"/>
        <v>0</v>
      </c>
      <c r="P258" s="389">
        <f t="shared" si="31"/>
        <v>0</v>
      </c>
      <c r="Q258" s="309">
        <f t="shared" si="32"/>
        <v>0</v>
      </c>
    </row>
    <row r="259" spans="1:17" s="279" customFormat="1" ht="32.25" customHeight="1" x14ac:dyDescent="0.2">
      <c r="A259" s="282"/>
      <c r="B259" s="282"/>
      <c r="C259" s="283"/>
      <c r="D259" s="284"/>
      <c r="E259" s="297"/>
      <c r="F259" s="285"/>
      <c r="G259" s="285"/>
      <c r="H259" s="285"/>
      <c r="I259" s="282"/>
      <c r="J259" s="282"/>
      <c r="K259" s="282"/>
      <c r="L259" s="278" t="str">
        <f t="shared" si="33"/>
        <v>Em andamento</v>
      </c>
      <c r="M259" s="306">
        <f t="shared" si="34"/>
        <v>0</v>
      </c>
      <c r="N259" s="305" t="str">
        <f t="shared" si="35"/>
        <v>Dentro do prazo</v>
      </c>
      <c r="O259" s="389">
        <f t="shared" si="30"/>
        <v>0</v>
      </c>
      <c r="P259" s="389">
        <f t="shared" si="31"/>
        <v>0</v>
      </c>
      <c r="Q259" s="309">
        <f t="shared" si="32"/>
        <v>0</v>
      </c>
    </row>
    <row r="260" spans="1:17" s="279" customFormat="1" ht="32.25" customHeight="1" x14ac:dyDescent="0.2">
      <c r="A260" s="282"/>
      <c r="B260" s="282"/>
      <c r="C260" s="283"/>
      <c r="D260" s="284"/>
      <c r="E260" s="297"/>
      <c r="F260" s="285"/>
      <c r="G260" s="285"/>
      <c r="H260" s="285"/>
      <c r="I260" s="282"/>
      <c r="J260" s="282"/>
      <c r="K260" s="282"/>
      <c r="L260" s="278" t="str">
        <f t="shared" si="33"/>
        <v>Em andamento</v>
      </c>
      <c r="M260" s="306">
        <f t="shared" si="34"/>
        <v>0</v>
      </c>
      <c r="N260" s="305" t="str">
        <f t="shared" si="35"/>
        <v>Dentro do prazo</v>
      </c>
      <c r="O260" s="389">
        <f t="shared" si="30"/>
        <v>0</v>
      </c>
      <c r="P260" s="389">
        <f t="shared" si="31"/>
        <v>0</v>
      </c>
      <c r="Q260" s="309">
        <f t="shared" si="32"/>
        <v>0</v>
      </c>
    </row>
    <row r="261" spans="1:17" s="279" customFormat="1" ht="32.25" customHeight="1" x14ac:dyDescent="0.2">
      <c r="A261" s="282"/>
      <c r="B261" s="282"/>
      <c r="C261" s="283"/>
      <c r="D261" s="284"/>
      <c r="E261" s="297"/>
      <c r="F261" s="285"/>
      <c r="G261" s="285"/>
      <c r="H261" s="285"/>
      <c r="I261" s="282"/>
      <c r="J261" s="282"/>
      <c r="K261" s="282"/>
      <c r="L261" s="278" t="str">
        <f t="shared" si="33"/>
        <v>Em andamento</v>
      </c>
      <c r="M261" s="306">
        <f t="shared" si="34"/>
        <v>0</v>
      </c>
      <c r="N261" s="305" t="str">
        <f t="shared" si="35"/>
        <v>Dentro do prazo</v>
      </c>
      <c r="O261" s="389">
        <f t="shared" si="30"/>
        <v>0</v>
      </c>
      <c r="P261" s="389">
        <f t="shared" si="31"/>
        <v>0</v>
      </c>
      <c r="Q261" s="309">
        <f t="shared" si="32"/>
        <v>0</v>
      </c>
    </row>
    <row r="262" spans="1:17" s="279" customFormat="1" ht="32.25" customHeight="1" x14ac:dyDescent="0.2">
      <c r="A262" s="282"/>
      <c r="B262" s="282"/>
      <c r="C262" s="283"/>
      <c r="D262" s="284"/>
      <c r="E262" s="297"/>
      <c r="F262" s="285"/>
      <c r="G262" s="285"/>
      <c r="H262" s="285"/>
      <c r="I262" s="282"/>
      <c r="J262" s="282"/>
      <c r="K262" s="282"/>
      <c r="L262" s="278" t="str">
        <f t="shared" si="33"/>
        <v>Em andamento</v>
      </c>
      <c r="M262" s="306">
        <f t="shared" si="34"/>
        <v>0</v>
      </c>
      <c r="N262" s="305" t="str">
        <f t="shared" si="35"/>
        <v>Dentro do prazo</v>
      </c>
      <c r="O262" s="389">
        <f t="shared" si="30"/>
        <v>0</v>
      </c>
      <c r="P262" s="389">
        <f t="shared" si="31"/>
        <v>0</v>
      </c>
      <c r="Q262" s="309">
        <f t="shared" si="32"/>
        <v>0</v>
      </c>
    </row>
    <row r="263" spans="1:17" s="279" customFormat="1" ht="32.25" customHeight="1" x14ac:dyDescent="0.2">
      <c r="A263" s="282"/>
      <c r="B263" s="282"/>
      <c r="C263" s="283"/>
      <c r="D263" s="284"/>
      <c r="E263" s="297"/>
      <c r="F263" s="285"/>
      <c r="G263" s="285"/>
      <c r="H263" s="285"/>
      <c r="I263" s="282"/>
      <c r="J263" s="282"/>
      <c r="K263" s="282"/>
      <c r="L263" s="278" t="str">
        <f t="shared" si="33"/>
        <v>Em andamento</v>
      </c>
      <c r="M263" s="306">
        <f t="shared" si="34"/>
        <v>0</v>
      </c>
      <c r="N263" s="305" t="str">
        <f t="shared" si="35"/>
        <v>Dentro do prazo</v>
      </c>
      <c r="O263" s="389">
        <f t="shared" si="30"/>
        <v>0</v>
      </c>
      <c r="P263" s="389">
        <f t="shared" si="31"/>
        <v>0</v>
      </c>
      <c r="Q263" s="309">
        <f t="shared" si="32"/>
        <v>0</v>
      </c>
    </row>
    <row r="264" spans="1:17" s="279" customFormat="1" ht="32.25" customHeight="1" x14ac:dyDescent="0.2">
      <c r="A264" s="282"/>
      <c r="B264" s="282"/>
      <c r="C264" s="283"/>
      <c r="D264" s="284"/>
      <c r="E264" s="297"/>
      <c r="F264" s="285"/>
      <c r="G264" s="285"/>
      <c r="H264" s="285"/>
      <c r="I264" s="282"/>
      <c r="J264" s="282"/>
      <c r="K264" s="282"/>
      <c r="L264" s="278" t="str">
        <f t="shared" si="33"/>
        <v>Em andamento</v>
      </c>
      <c r="M264" s="306">
        <f t="shared" si="34"/>
        <v>0</v>
      </c>
      <c r="N264" s="305" t="str">
        <f t="shared" si="35"/>
        <v>Dentro do prazo</v>
      </c>
      <c r="O264" s="389">
        <f t="shared" si="30"/>
        <v>0</v>
      </c>
      <c r="P264" s="389">
        <f t="shared" si="31"/>
        <v>0</v>
      </c>
      <c r="Q264" s="309">
        <f t="shared" si="32"/>
        <v>0</v>
      </c>
    </row>
    <row r="265" spans="1:17" s="279" customFormat="1" ht="32.25" customHeight="1" x14ac:dyDescent="0.2">
      <c r="A265" s="282"/>
      <c r="B265" s="282"/>
      <c r="C265" s="283"/>
      <c r="D265" s="284"/>
      <c r="E265" s="297"/>
      <c r="F265" s="285"/>
      <c r="G265" s="285"/>
      <c r="H265" s="285"/>
      <c r="I265" s="282"/>
      <c r="J265" s="282"/>
      <c r="K265" s="282"/>
      <c r="L265" s="278" t="str">
        <f t="shared" si="33"/>
        <v>Em andamento</v>
      </c>
      <c r="M265" s="306">
        <f t="shared" si="34"/>
        <v>0</v>
      </c>
      <c r="N265" s="305" t="str">
        <f t="shared" si="35"/>
        <v>Dentro do prazo</v>
      </c>
      <c r="O265" s="389">
        <f t="shared" si="30"/>
        <v>0</v>
      </c>
      <c r="P265" s="389">
        <f t="shared" si="31"/>
        <v>0</v>
      </c>
      <c r="Q265" s="309">
        <f t="shared" si="32"/>
        <v>0</v>
      </c>
    </row>
    <row r="266" spans="1:17" s="279" customFormat="1" ht="32.25" customHeight="1" x14ac:dyDescent="0.2">
      <c r="A266" s="282"/>
      <c r="B266" s="282"/>
      <c r="C266" s="283"/>
      <c r="D266" s="284"/>
      <c r="E266" s="297"/>
      <c r="F266" s="285"/>
      <c r="G266" s="285"/>
      <c r="H266" s="285"/>
      <c r="I266" s="282"/>
      <c r="J266" s="282"/>
      <c r="K266" s="282"/>
      <c r="L266" s="278" t="str">
        <f t="shared" si="33"/>
        <v>Em andamento</v>
      </c>
      <c r="M266" s="306">
        <f t="shared" si="34"/>
        <v>0</v>
      </c>
      <c r="N266" s="305" t="str">
        <f t="shared" si="35"/>
        <v>Dentro do prazo</v>
      </c>
      <c r="O266" s="389">
        <f t="shared" si="30"/>
        <v>0</v>
      </c>
      <c r="P266" s="389">
        <f t="shared" si="31"/>
        <v>0</v>
      </c>
      <c r="Q266" s="309">
        <f t="shared" si="32"/>
        <v>0</v>
      </c>
    </row>
    <row r="267" spans="1:17" s="279" customFormat="1" ht="32.25" customHeight="1" x14ac:dyDescent="0.2">
      <c r="A267" s="282"/>
      <c r="B267" s="282"/>
      <c r="C267" s="283"/>
      <c r="D267" s="284"/>
      <c r="E267" s="297"/>
      <c r="F267" s="285"/>
      <c r="G267" s="285"/>
      <c r="H267" s="285"/>
      <c r="I267" s="282"/>
      <c r="J267" s="282"/>
      <c r="K267" s="282"/>
      <c r="L267" s="278" t="str">
        <f t="shared" si="33"/>
        <v>Em andamento</v>
      </c>
      <c r="M267" s="306">
        <f t="shared" si="34"/>
        <v>0</v>
      </c>
      <c r="N267" s="305" t="str">
        <f t="shared" si="35"/>
        <v>Dentro do prazo</v>
      </c>
      <c r="O267" s="389">
        <f t="shared" si="30"/>
        <v>0</v>
      </c>
      <c r="P267" s="389">
        <f t="shared" si="31"/>
        <v>0</v>
      </c>
      <c r="Q267" s="309">
        <f t="shared" si="32"/>
        <v>0</v>
      </c>
    </row>
    <row r="268" spans="1:17" s="279" customFormat="1" ht="32.25" customHeight="1" x14ac:dyDescent="0.2">
      <c r="A268" s="282"/>
      <c r="B268" s="282"/>
      <c r="C268" s="283"/>
      <c r="D268" s="284"/>
      <c r="E268" s="297"/>
      <c r="F268" s="285"/>
      <c r="G268" s="285"/>
      <c r="H268" s="285"/>
      <c r="I268" s="282"/>
      <c r="J268" s="282"/>
      <c r="K268" s="282"/>
      <c r="L268" s="278" t="str">
        <f t="shared" si="33"/>
        <v>Em andamento</v>
      </c>
      <c r="M268" s="306">
        <f t="shared" si="34"/>
        <v>0</v>
      </c>
      <c r="N268" s="305" t="str">
        <f t="shared" si="35"/>
        <v>Dentro do prazo</v>
      </c>
      <c r="O268" s="389">
        <f t="shared" si="30"/>
        <v>0</v>
      </c>
      <c r="P268" s="389">
        <f t="shared" si="31"/>
        <v>0</v>
      </c>
      <c r="Q268" s="309">
        <f t="shared" si="32"/>
        <v>0</v>
      </c>
    </row>
    <row r="269" spans="1:17" s="279" customFormat="1" ht="32.25" customHeight="1" x14ac:dyDescent="0.2">
      <c r="A269" s="282"/>
      <c r="B269" s="282"/>
      <c r="C269" s="283"/>
      <c r="D269" s="284"/>
      <c r="E269" s="297"/>
      <c r="F269" s="285"/>
      <c r="G269" s="285"/>
      <c r="H269" s="285"/>
      <c r="I269" s="282"/>
      <c r="J269" s="282"/>
      <c r="K269" s="282"/>
      <c r="L269" s="278" t="str">
        <f t="shared" si="33"/>
        <v>Em andamento</v>
      </c>
      <c r="M269" s="306">
        <f t="shared" si="34"/>
        <v>0</v>
      </c>
      <c r="N269" s="305" t="str">
        <f t="shared" si="35"/>
        <v>Dentro do prazo</v>
      </c>
      <c r="O269" s="389">
        <f t="shared" si="30"/>
        <v>0</v>
      </c>
      <c r="P269" s="389">
        <f t="shared" si="31"/>
        <v>0</v>
      </c>
      <c r="Q269" s="309">
        <f t="shared" si="32"/>
        <v>0</v>
      </c>
    </row>
    <row r="270" spans="1:17" s="279" customFormat="1" ht="32.25" customHeight="1" x14ac:dyDescent="0.2">
      <c r="A270" s="282"/>
      <c r="B270" s="282"/>
      <c r="C270" s="283"/>
      <c r="D270" s="284"/>
      <c r="E270" s="297"/>
      <c r="F270" s="285"/>
      <c r="G270" s="285"/>
      <c r="H270" s="285"/>
      <c r="I270" s="282"/>
      <c r="J270" s="282"/>
      <c r="K270" s="282"/>
      <c r="L270" s="278" t="str">
        <f t="shared" si="33"/>
        <v>Em andamento</v>
      </c>
      <c r="M270" s="306">
        <f t="shared" si="34"/>
        <v>0</v>
      </c>
      <c r="N270" s="305" t="str">
        <f t="shared" si="35"/>
        <v>Dentro do prazo</v>
      </c>
      <c r="O270" s="389">
        <f t="shared" si="30"/>
        <v>0</v>
      </c>
      <c r="P270" s="389">
        <f t="shared" si="31"/>
        <v>0</v>
      </c>
      <c r="Q270" s="309">
        <f t="shared" si="32"/>
        <v>0</v>
      </c>
    </row>
    <row r="271" spans="1:17" s="279" customFormat="1" ht="32.25" customHeight="1" x14ac:dyDescent="0.2">
      <c r="A271" s="282"/>
      <c r="B271" s="282"/>
      <c r="C271" s="283"/>
      <c r="D271" s="284"/>
      <c r="E271" s="297"/>
      <c r="F271" s="285"/>
      <c r="G271" s="285"/>
      <c r="H271" s="285"/>
      <c r="I271" s="282"/>
      <c r="J271" s="282"/>
      <c r="K271" s="282"/>
      <c r="L271" s="278" t="str">
        <f t="shared" si="33"/>
        <v>Em andamento</v>
      </c>
      <c r="M271" s="306">
        <f t="shared" si="34"/>
        <v>0</v>
      </c>
      <c r="N271" s="305" t="str">
        <f t="shared" si="35"/>
        <v>Dentro do prazo</v>
      </c>
      <c r="O271" s="389">
        <f t="shared" si="30"/>
        <v>0</v>
      </c>
      <c r="P271" s="389">
        <f t="shared" si="31"/>
        <v>0</v>
      </c>
      <c r="Q271" s="309">
        <f t="shared" si="32"/>
        <v>0</v>
      </c>
    </row>
    <row r="272" spans="1:17" s="279" customFormat="1" ht="32.25" customHeight="1" x14ac:dyDescent="0.2">
      <c r="A272" s="282"/>
      <c r="B272" s="282"/>
      <c r="C272" s="283"/>
      <c r="D272" s="284"/>
      <c r="E272" s="297"/>
      <c r="F272" s="285"/>
      <c r="G272" s="285"/>
      <c r="H272" s="285"/>
      <c r="I272" s="282"/>
      <c r="J272" s="282"/>
      <c r="K272" s="282"/>
      <c r="L272" s="278" t="str">
        <f t="shared" si="33"/>
        <v>Em andamento</v>
      </c>
      <c r="M272" s="306">
        <f t="shared" si="34"/>
        <v>0</v>
      </c>
      <c r="N272" s="305" t="str">
        <f t="shared" si="35"/>
        <v>Dentro do prazo</v>
      </c>
      <c r="O272" s="389">
        <f t="shared" si="30"/>
        <v>0</v>
      </c>
      <c r="P272" s="389">
        <f t="shared" si="31"/>
        <v>0</v>
      </c>
      <c r="Q272" s="309">
        <f t="shared" si="32"/>
        <v>0</v>
      </c>
    </row>
    <row r="273" spans="1:17" s="279" customFormat="1" ht="32.25" customHeight="1" x14ac:dyDescent="0.2">
      <c r="A273" s="282"/>
      <c r="B273" s="282"/>
      <c r="C273" s="283"/>
      <c r="D273" s="284"/>
      <c r="E273" s="297"/>
      <c r="F273" s="285"/>
      <c r="G273" s="285"/>
      <c r="H273" s="285"/>
      <c r="I273" s="282"/>
      <c r="J273" s="282"/>
      <c r="K273" s="282"/>
      <c r="L273" s="278" t="str">
        <f t="shared" si="33"/>
        <v>Em andamento</v>
      </c>
      <c r="M273" s="306">
        <f t="shared" si="34"/>
        <v>0</v>
      </c>
      <c r="N273" s="305" t="str">
        <f t="shared" si="35"/>
        <v>Dentro do prazo</v>
      </c>
      <c r="O273" s="389">
        <f t="shared" si="30"/>
        <v>0</v>
      </c>
      <c r="P273" s="389">
        <f t="shared" si="31"/>
        <v>0</v>
      </c>
      <c r="Q273" s="309">
        <f t="shared" si="32"/>
        <v>0</v>
      </c>
    </row>
    <row r="274" spans="1:17" s="279" customFormat="1" ht="32.25" customHeight="1" x14ac:dyDescent="0.2">
      <c r="A274" s="282"/>
      <c r="B274" s="282"/>
      <c r="C274" s="283"/>
      <c r="D274" s="284"/>
      <c r="E274" s="297"/>
      <c r="F274" s="285"/>
      <c r="G274" s="285"/>
      <c r="H274" s="285"/>
      <c r="I274" s="282"/>
      <c r="J274" s="282"/>
      <c r="K274" s="282"/>
      <c r="L274" s="278" t="str">
        <f t="shared" si="33"/>
        <v>Em andamento</v>
      </c>
      <c r="M274" s="306">
        <f t="shared" si="34"/>
        <v>0</v>
      </c>
      <c r="N274" s="305" t="str">
        <f t="shared" si="35"/>
        <v>Dentro do prazo</v>
      </c>
      <c r="O274" s="389">
        <f t="shared" si="30"/>
        <v>0</v>
      </c>
      <c r="P274" s="389">
        <f t="shared" si="31"/>
        <v>0</v>
      </c>
      <c r="Q274" s="309">
        <f t="shared" si="32"/>
        <v>0</v>
      </c>
    </row>
    <row r="275" spans="1:17" s="279" customFormat="1" ht="32.25" customHeight="1" x14ac:dyDescent="0.2">
      <c r="A275" s="282"/>
      <c r="B275" s="282"/>
      <c r="C275" s="283"/>
      <c r="D275" s="284"/>
      <c r="E275" s="297"/>
      <c r="F275" s="285"/>
      <c r="G275" s="285"/>
      <c r="H275" s="285"/>
      <c r="I275" s="282"/>
      <c r="J275" s="282"/>
      <c r="K275" s="282"/>
      <c r="L275" s="278" t="str">
        <f t="shared" si="33"/>
        <v>Em andamento</v>
      </c>
      <c r="M275" s="306">
        <f t="shared" si="34"/>
        <v>0</v>
      </c>
      <c r="N275" s="305" t="str">
        <f t="shared" si="35"/>
        <v>Dentro do prazo</v>
      </c>
      <c r="O275" s="389">
        <f t="shared" si="30"/>
        <v>0</v>
      </c>
      <c r="P275" s="389">
        <f t="shared" si="31"/>
        <v>0</v>
      </c>
      <c r="Q275" s="309">
        <f t="shared" si="32"/>
        <v>0</v>
      </c>
    </row>
    <row r="276" spans="1:17" s="279" customFormat="1" ht="32.25" customHeight="1" x14ac:dyDescent="0.2">
      <c r="A276" s="282"/>
      <c r="B276" s="282"/>
      <c r="C276" s="283"/>
      <c r="D276" s="284"/>
      <c r="E276" s="297"/>
      <c r="F276" s="285"/>
      <c r="G276" s="285"/>
      <c r="H276" s="285"/>
      <c r="I276" s="282"/>
      <c r="J276" s="282"/>
      <c r="K276" s="282"/>
      <c r="L276" s="278" t="str">
        <f t="shared" si="33"/>
        <v>Em andamento</v>
      </c>
      <c r="M276" s="306">
        <f t="shared" si="34"/>
        <v>0</v>
      </c>
      <c r="N276" s="305" t="str">
        <f t="shared" si="35"/>
        <v>Dentro do prazo</v>
      </c>
      <c r="O276" s="389">
        <f t="shared" si="30"/>
        <v>0</v>
      </c>
      <c r="P276" s="389">
        <f t="shared" si="31"/>
        <v>0</v>
      </c>
      <c r="Q276" s="309">
        <f t="shared" si="32"/>
        <v>0</v>
      </c>
    </row>
    <row r="277" spans="1:17" s="279" customFormat="1" ht="32.25" customHeight="1" x14ac:dyDescent="0.2">
      <c r="A277" s="282"/>
      <c r="B277" s="282"/>
      <c r="C277" s="283"/>
      <c r="D277" s="284"/>
      <c r="E277" s="297"/>
      <c r="F277" s="285"/>
      <c r="G277" s="285"/>
      <c r="H277" s="285"/>
      <c r="I277" s="282"/>
      <c r="J277" s="282"/>
      <c r="K277" s="282"/>
      <c r="L277" s="278" t="str">
        <f t="shared" si="33"/>
        <v>Em andamento</v>
      </c>
      <c r="M277" s="306">
        <f t="shared" si="34"/>
        <v>0</v>
      </c>
      <c r="N277" s="305" t="str">
        <f t="shared" si="35"/>
        <v>Dentro do prazo</v>
      </c>
      <c r="O277" s="389">
        <f t="shared" si="30"/>
        <v>0</v>
      </c>
      <c r="P277" s="389">
        <f t="shared" si="31"/>
        <v>0</v>
      </c>
      <c r="Q277" s="309">
        <f t="shared" si="32"/>
        <v>0</v>
      </c>
    </row>
    <row r="278" spans="1:17" s="279" customFormat="1" ht="32.25" customHeight="1" x14ac:dyDescent="0.2">
      <c r="A278" s="282"/>
      <c r="B278" s="282"/>
      <c r="C278" s="283"/>
      <c r="D278" s="284"/>
      <c r="E278" s="297"/>
      <c r="F278" s="285"/>
      <c r="G278" s="285"/>
      <c r="H278" s="285"/>
      <c r="I278" s="282"/>
      <c r="J278" s="282"/>
      <c r="K278" s="282"/>
      <c r="L278" s="278" t="str">
        <f t="shared" si="33"/>
        <v>Em andamento</v>
      </c>
      <c r="M278" s="306">
        <f t="shared" si="34"/>
        <v>0</v>
      </c>
      <c r="N278" s="305" t="str">
        <f t="shared" si="35"/>
        <v>Dentro do prazo</v>
      </c>
      <c r="O278" s="389">
        <f t="shared" si="30"/>
        <v>0</v>
      </c>
      <c r="P278" s="389">
        <f t="shared" si="31"/>
        <v>0</v>
      </c>
      <c r="Q278" s="309">
        <f t="shared" si="32"/>
        <v>0</v>
      </c>
    </row>
    <row r="279" spans="1:17" s="279" customFormat="1" ht="32.25" customHeight="1" x14ac:dyDescent="0.2">
      <c r="A279" s="282"/>
      <c r="B279" s="282"/>
      <c r="C279" s="283"/>
      <c r="D279" s="284"/>
      <c r="E279" s="297"/>
      <c r="F279" s="285"/>
      <c r="G279" s="285"/>
      <c r="H279" s="285"/>
      <c r="I279" s="282"/>
      <c r="J279" s="282"/>
      <c r="K279" s="282"/>
      <c r="L279" s="278" t="str">
        <f t="shared" si="33"/>
        <v>Em andamento</v>
      </c>
      <c r="M279" s="306">
        <f t="shared" si="34"/>
        <v>0</v>
      </c>
      <c r="N279" s="305" t="str">
        <f t="shared" si="35"/>
        <v>Dentro do prazo</v>
      </c>
      <c r="O279" s="389">
        <f t="shared" si="30"/>
        <v>0</v>
      </c>
      <c r="P279" s="389">
        <f t="shared" si="31"/>
        <v>0</v>
      </c>
      <c r="Q279" s="309">
        <f t="shared" si="32"/>
        <v>0</v>
      </c>
    </row>
    <row r="280" spans="1:17" s="279" customFormat="1" ht="32.25" customHeight="1" x14ac:dyDescent="0.2">
      <c r="A280" s="282"/>
      <c r="B280" s="282"/>
      <c r="C280" s="283"/>
      <c r="D280" s="284"/>
      <c r="E280" s="297"/>
      <c r="F280" s="285"/>
      <c r="G280" s="285"/>
      <c r="H280" s="285"/>
      <c r="I280" s="282"/>
      <c r="J280" s="282"/>
      <c r="K280" s="282"/>
      <c r="L280" s="278" t="str">
        <f t="shared" si="33"/>
        <v>Em andamento</v>
      </c>
      <c r="M280" s="306">
        <f t="shared" si="34"/>
        <v>0</v>
      </c>
      <c r="N280" s="305" t="str">
        <f t="shared" si="35"/>
        <v>Dentro do prazo</v>
      </c>
      <c r="O280" s="389">
        <f t="shared" si="30"/>
        <v>0</v>
      </c>
      <c r="P280" s="389">
        <f t="shared" si="31"/>
        <v>0</v>
      </c>
      <c r="Q280" s="309">
        <f t="shared" si="32"/>
        <v>0</v>
      </c>
    </row>
    <row r="281" spans="1:17" s="279" customFormat="1" ht="32.25" customHeight="1" x14ac:dyDescent="0.2">
      <c r="A281" s="282"/>
      <c r="B281" s="282"/>
      <c r="C281" s="283"/>
      <c r="D281" s="284"/>
      <c r="E281" s="297"/>
      <c r="F281" s="285"/>
      <c r="G281" s="285"/>
      <c r="H281" s="285"/>
      <c r="I281" s="282"/>
      <c r="J281" s="282"/>
      <c r="K281" s="282"/>
      <c r="L281" s="278" t="str">
        <f t="shared" si="33"/>
        <v>Em andamento</v>
      </c>
      <c r="M281" s="306">
        <f t="shared" si="34"/>
        <v>0</v>
      </c>
      <c r="N281" s="305" t="str">
        <f t="shared" si="35"/>
        <v>Dentro do prazo</v>
      </c>
      <c r="O281" s="389">
        <f t="shared" si="30"/>
        <v>0</v>
      </c>
      <c r="P281" s="389">
        <f t="shared" si="31"/>
        <v>0</v>
      </c>
      <c r="Q281" s="309">
        <f t="shared" si="32"/>
        <v>0</v>
      </c>
    </row>
    <row r="282" spans="1:17" s="279" customFormat="1" ht="32.25" customHeight="1" x14ac:dyDescent="0.2">
      <c r="A282" s="282"/>
      <c r="B282" s="282"/>
      <c r="C282" s="283"/>
      <c r="D282" s="284"/>
      <c r="E282" s="297"/>
      <c r="F282" s="285"/>
      <c r="G282" s="285"/>
      <c r="H282" s="285"/>
      <c r="I282" s="282"/>
      <c r="J282" s="282"/>
      <c r="K282" s="282"/>
      <c r="L282" s="278" t="str">
        <f t="shared" si="33"/>
        <v>Em andamento</v>
      </c>
      <c r="M282" s="306">
        <f t="shared" si="34"/>
        <v>0</v>
      </c>
      <c r="N282" s="305" t="str">
        <f t="shared" si="35"/>
        <v>Dentro do prazo</v>
      </c>
      <c r="O282" s="389">
        <f t="shared" ref="O282:O345" si="36">IFERROR(B282-K282,"-")</f>
        <v>0</v>
      </c>
      <c r="P282" s="389">
        <f t="shared" ref="P282:P345" si="37">IFERROR(IF(K282=0,0,MONTH(K282)),"-")</f>
        <v>0</v>
      </c>
      <c r="Q282" s="309">
        <f t="shared" ref="Q282:Q345" si="38">IFERROR(IF(A282=0,0,MONTH(A282)),"-")</f>
        <v>0</v>
      </c>
    </row>
    <row r="283" spans="1:17" s="279" customFormat="1" ht="32.25" customHeight="1" x14ac:dyDescent="0.2">
      <c r="A283" s="282"/>
      <c r="B283" s="282"/>
      <c r="C283" s="283"/>
      <c r="D283" s="284"/>
      <c r="E283" s="297"/>
      <c r="F283" s="285"/>
      <c r="G283" s="285"/>
      <c r="H283" s="285"/>
      <c r="I283" s="282"/>
      <c r="J283" s="282"/>
      <c r="K283" s="282"/>
      <c r="L283" s="278" t="str">
        <f t="shared" si="33"/>
        <v>Em andamento</v>
      </c>
      <c r="M283" s="306">
        <f t="shared" si="34"/>
        <v>0</v>
      </c>
      <c r="N283" s="305" t="str">
        <f t="shared" si="35"/>
        <v>Dentro do prazo</v>
      </c>
      <c r="O283" s="389">
        <f t="shared" si="36"/>
        <v>0</v>
      </c>
      <c r="P283" s="389">
        <f t="shared" si="37"/>
        <v>0</v>
      </c>
      <c r="Q283" s="309">
        <f t="shared" si="38"/>
        <v>0</v>
      </c>
    </row>
    <row r="284" spans="1:17" s="279" customFormat="1" ht="32.25" customHeight="1" x14ac:dyDescent="0.2">
      <c r="A284" s="282"/>
      <c r="B284" s="282"/>
      <c r="C284" s="283"/>
      <c r="D284" s="284"/>
      <c r="E284" s="297"/>
      <c r="F284" s="285"/>
      <c r="G284" s="285"/>
      <c r="H284" s="285"/>
      <c r="I284" s="282"/>
      <c r="J284" s="282"/>
      <c r="K284" s="282"/>
      <c r="L284" s="278" t="str">
        <f t="shared" si="33"/>
        <v>Em andamento</v>
      </c>
      <c r="M284" s="306">
        <f t="shared" si="34"/>
        <v>0</v>
      </c>
      <c r="N284" s="305" t="str">
        <f t="shared" si="35"/>
        <v>Dentro do prazo</v>
      </c>
      <c r="O284" s="389">
        <f t="shared" si="36"/>
        <v>0</v>
      </c>
      <c r="P284" s="389">
        <f t="shared" si="37"/>
        <v>0</v>
      </c>
      <c r="Q284" s="309">
        <f t="shared" si="38"/>
        <v>0</v>
      </c>
    </row>
    <row r="285" spans="1:17" s="279" customFormat="1" ht="32.25" customHeight="1" x14ac:dyDescent="0.2">
      <c r="A285" s="282"/>
      <c r="B285" s="282"/>
      <c r="C285" s="283"/>
      <c r="D285" s="284"/>
      <c r="E285" s="297"/>
      <c r="F285" s="285"/>
      <c r="G285" s="285"/>
      <c r="H285" s="285"/>
      <c r="I285" s="282"/>
      <c r="J285" s="282"/>
      <c r="K285" s="282"/>
      <c r="L285" s="278" t="str">
        <f t="shared" si="33"/>
        <v>Em andamento</v>
      </c>
      <c r="M285" s="306">
        <f t="shared" si="34"/>
        <v>0</v>
      </c>
      <c r="N285" s="305" t="str">
        <f t="shared" si="35"/>
        <v>Dentro do prazo</v>
      </c>
      <c r="O285" s="389">
        <f t="shared" si="36"/>
        <v>0</v>
      </c>
      <c r="P285" s="389">
        <f t="shared" si="37"/>
        <v>0</v>
      </c>
      <c r="Q285" s="309">
        <f t="shared" si="38"/>
        <v>0</v>
      </c>
    </row>
    <row r="286" spans="1:17" s="279" customFormat="1" ht="32.25" customHeight="1" x14ac:dyDescent="0.2">
      <c r="A286" s="282"/>
      <c r="B286" s="282"/>
      <c r="C286" s="283"/>
      <c r="D286" s="284"/>
      <c r="E286" s="297"/>
      <c r="F286" s="285"/>
      <c r="G286" s="285"/>
      <c r="H286" s="285"/>
      <c r="I286" s="282"/>
      <c r="J286" s="282"/>
      <c r="K286" s="282"/>
      <c r="L286" s="278" t="str">
        <f t="shared" si="33"/>
        <v>Em andamento</v>
      </c>
      <c r="M286" s="306">
        <f t="shared" si="34"/>
        <v>0</v>
      </c>
      <c r="N286" s="305" t="str">
        <f t="shared" si="35"/>
        <v>Dentro do prazo</v>
      </c>
      <c r="O286" s="389">
        <f t="shared" si="36"/>
        <v>0</v>
      </c>
      <c r="P286" s="389">
        <f t="shared" si="37"/>
        <v>0</v>
      </c>
      <c r="Q286" s="309">
        <f t="shared" si="38"/>
        <v>0</v>
      </c>
    </row>
    <row r="287" spans="1:17" s="279" customFormat="1" ht="32.25" customHeight="1" x14ac:dyDescent="0.2">
      <c r="A287" s="282"/>
      <c r="B287" s="282"/>
      <c r="C287" s="283"/>
      <c r="D287" s="284"/>
      <c r="E287" s="297"/>
      <c r="F287" s="285"/>
      <c r="G287" s="285"/>
      <c r="H287" s="285"/>
      <c r="I287" s="282"/>
      <c r="J287" s="282"/>
      <c r="K287" s="282"/>
      <c r="L287" s="278" t="str">
        <f t="shared" si="33"/>
        <v>Em andamento</v>
      </c>
      <c r="M287" s="306">
        <f t="shared" si="34"/>
        <v>0</v>
      </c>
      <c r="N287" s="305" t="str">
        <f t="shared" si="35"/>
        <v>Dentro do prazo</v>
      </c>
      <c r="O287" s="389">
        <f t="shared" si="36"/>
        <v>0</v>
      </c>
      <c r="P287" s="389">
        <f t="shared" si="37"/>
        <v>0</v>
      </c>
      <c r="Q287" s="309">
        <f t="shared" si="38"/>
        <v>0</v>
      </c>
    </row>
    <row r="288" spans="1:17" s="279" customFormat="1" ht="32.25" customHeight="1" x14ac:dyDescent="0.2">
      <c r="A288" s="282"/>
      <c r="B288" s="282"/>
      <c r="C288" s="283"/>
      <c r="D288" s="284"/>
      <c r="E288" s="297"/>
      <c r="F288" s="285"/>
      <c r="G288" s="285"/>
      <c r="H288" s="285"/>
      <c r="I288" s="282"/>
      <c r="J288" s="282"/>
      <c r="K288" s="282"/>
      <c r="L288" s="278" t="str">
        <f t="shared" si="33"/>
        <v>Em andamento</v>
      </c>
      <c r="M288" s="306">
        <f t="shared" si="34"/>
        <v>0</v>
      </c>
      <c r="N288" s="305" t="str">
        <f t="shared" si="35"/>
        <v>Dentro do prazo</v>
      </c>
      <c r="O288" s="389">
        <f t="shared" si="36"/>
        <v>0</v>
      </c>
      <c r="P288" s="389">
        <f t="shared" si="37"/>
        <v>0</v>
      </c>
      <c r="Q288" s="309">
        <f t="shared" si="38"/>
        <v>0</v>
      </c>
    </row>
    <row r="289" spans="1:17" s="279" customFormat="1" ht="32.25" customHeight="1" x14ac:dyDescent="0.2">
      <c r="A289" s="282"/>
      <c r="B289" s="282"/>
      <c r="C289" s="283"/>
      <c r="D289" s="284"/>
      <c r="E289" s="297"/>
      <c r="F289" s="285"/>
      <c r="G289" s="285"/>
      <c r="H289" s="285"/>
      <c r="I289" s="282"/>
      <c r="J289" s="282"/>
      <c r="K289" s="282"/>
      <c r="L289" s="278" t="str">
        <f t="shared" si="33"/>
        <v>Em andamento</v>
      </c>
      <c r="M289" s="306">
        <f t="shared" si="34"/>
        <v>0</v>
      </c>
      <c r="N289" s="305" t="str">
        <f t="shared" si="35"/>
        <v>Dentro do prazo</v>
      </c>
      <c r="O289" s="389">
        <f t="shared" si="36"/>
        <v>0</v>
      </c>
      <c r="P289" s="389">
        <f t="shared" si="37"/>
        <v>0</v>
      </c>
      <c r="Q289" s="309">
        <f t="shared" si="38"/>
        <v>0</v>
      </c>
    </row>
    <row r="290" spans="1:17" s="279" customFormat="1" ht="32.25" customHeight="1" x14ac:dyDescent="0.2">
      <c r="A290" s="282"/>
      <c r="B290" s="282"/>
      <c r="C290" s="283"/>
      <c r="D290" s="284"/>
      <c r="E290" s="297"/>
      <c r="F290" s="285"/>
      <c r="G290" s="285"/>
      <c r="H290" s="285"/>
      <c r="I290" s="282"/>
      <c r="J290" s="282"/>
      <c r="K290" s="282"/>
      <c r="L290" s="278" t="str">
        <f t="shared" si="33"/>
        <v>Em andamento</v>
      </c>
      <c r="M290" s="306">
        <f t="shared" si="34"/>
        <v>0</v>
      </c>
      <c r="N290" s="305" t="str">
        <f t="shared" si="35"/>
        <v>Dentro do prazo</v>
      </c>
      <c r="O290" s="389">
        <f t="shared" si="36"/>
        <v>0</v>
      </c>
      <c r="P290" s="389">
        <f t="shared" si="37"/>
        <v>0</v>
      </c>
      <c r="Q290" s="309">
        <f t="shared" si="38"/>
        <v>0</v>
      </c>
    </row>
    <row r="291" spans="1:17" s="279" customFormat="1" ht="32.25" customHeight="1" x14ac:dyDescent="0.2">
      <c r="A291" s="282"/>
      <c r="B291" s="282"/>
      <c r="C291" s="283"/>
      <c r="D291" s="284"/>
      <c r="E291" s="297"/>
      <c r="F291" s="285"/>
      <c r="G291" s="285"/>
      <c r="H291" s="285"/>
      <c r="I291" s="282"/>
      <c r="J291" s="282"/>
      <c r="K291" s="282"/>
      <c r="L291" s="278" t="str">
        <f t="shared" ref="L291:L354" si="39">IF(K291="-","Cancelado",IF(K291&gt;0,"Concluído","Em andamento"))</f>
        <v>Em andamento</v>
      </c>
      <c r="M291" s="306">
        <f t="shared" ref="M291:M354" si="40">K291-A291</f>
        <v>0</v>
      </c>
      <c r="N291" s="305" t="str">
        <f t="shared" ref="N291:N354" si="41">IFERROR(IF(O291&gt;=0,"Dentro do prazo","Fora do prazo"),"-")</f>
        <v>Dentro do prazo</v>
      </c>
      <c r="O291" s="389">
        <f t="shared" si="36"/>
        <v>0</v>
      </c>
      <c r="P291" s="389">
        <f t="shared" si="37"/>
        <v>0</v>
      </c>
      <c r="Q291" s="309">
        <f t="shared" si="38"/>
        <v>0</v>
      </c>
    </row>
    <row r="292" spans="1:17" s="279" customFormat="1" ht="32.25" customHeight="1" x14ac:dyDescent="0.2">
      <c r="A292" s="282"/>
      <c r="B292" s="282"/>
      <c r="C292" s="283"/>
      <c r="D292" s="284"/>
      <c r="E292" s="297"/>
      <c r="F292" s="285"/>
      <c r="G292" s="285"/>
      <c r="H292" s="285"/>
      <c r="I292" s="282"/>
      <c r="J292" s="282"/>
      <c r="K292" s="282"/>
      <c r="L292" s="278" t="str">
        <f t="shared" si="39"/>
        <v>Em andamento</v>
      </c>
      <c r="M292" s="306">
        <f t="shared" si="40"/>
        <v>0</v>
      </c>
      <c r="N292" s="305" t="str">
        <f t="shared" si="41"/>
        <v>Dentro do prazo</v>
      </c>
      <c r="O292" s="389">
        <f t="shared" si="36"/>
        <v>0</v>
      </c>
      <c r="P292" s="389">
        <f t="shared" si="37"/>
        <v>0</v>
      </c>
      <c r="Q292" s="309">
        <f t="shared" si="38"/>
        <v>0</v>
      </c>
    </row>
    <row r="293" spans="1:17" s="279" customFormat="1" ht="32.25" customHeight="1" x14ac:dyDescent="0.2">
      <c r="A293" s="282"/>
      <c r="B293" s="282"/>
      <c r="C293" s="283"/>
      <c r="D293" s="284"/>
      <c r="E293" s="297"/>
      <c r="F293" s="285"/>
      <c r="G293" s="285"/>
      <c r="H293" s="285"/>
      <c r="I293" s="282"/>
      <c r="J293" s="282"/>
      <c r="K293" s="282"/>
      <c r="L293" s="278" t="str">
        <f t="shared" si="39"/>
        <v>Em andamento</v>
      </c>
      <c r="M293" s="306">
        <f t="shared" si="40"/>
        <v>0</v>
      </c>
      <c r="N293" s="305" t="str">
        <f t="shared" si="41"/>
        <v>Dentro do prazo</v>
      </c>
      <c r="O293" s="389">
        <f t="shared" si="36"/>
        <v>0</v>
      </c>
      <c r="P293" s="389">
        <f t="shared" si="37"/>
        <v>0</v>
      </c>
      <c r="Q293" s="309">
        <f t="shared" si="38"/>
        <v>0</v>
      </c>
    </row>
    <row r="294" spans="1:17" s="279" customFormat="1" ht="32.25" customHeight="1" x14ac:dyDescent="0.2">
      <c r="A294" s="282"/>
      <c r="B294" s="282"/>
      <c r="C294" s="283"/>
      <c r="D294" s="284"/>
      <c r="E294" s="297"/>
      <c r="F294" s="285"/>
      <c r="G294" s="285"/>
      <c r="H294" s="285"/>
      <c r="I294" s="282"/>
      <c r="J294" s="282"/>
      <c r="K294" s="282"/>
      <c r="L294" s="278" t="str">
        <f t="shared" si="39"/>
        <v>Em andamento</v>
      </c>
      <c r="M294" s="306">
        <f t="shared" si="40"/>
        <v>0</v>
      </c>
      <c r="N294" s="305" t="str">
        <f t="shared" si="41"/>
        <v>Dentro do prazo</v>
      </c>
      <c r="O294" s="389">
        <f t="shared" si="36"/>
        <v>0</v>
      </c>
      <c r="P294" s="389">
        <f t="shared" si="37"/>
        <v>0</v>
      </c>
      <c r="Q294" s="309">
        <f t="shared" si="38"/>
        <v>0</v>
      </c>
    </row>
    <row r="295" spans="1:17" s="279" customFormat="1" ht="32.25" customHeight="1" x14ac:dyDescent="0.2">
      <c r="A295" s="282"/>
      <c r="B295" s="282"/>
      <c r="C295" s="283"/>
      <c r="D295" s="284"/>
      <c r="E295" s="297"/>
      <c r="F295" s="285"/>
      <c r="G295" s="285"/>
      <c r="H295" s="285"/>
      <c r="I295" s="282"/>
      <c r="J295" s="282"/>
      <c r="K295" s="282"/>
      <c r="L295" s="278" t="str">
        <f t="shared" si="39"/>
        <v>Em andamento</v>
      </c>
      <c r="M295" s="306">
        <f t="shared" si="40"/>
        <v>0</v>
      </c>
      <c r="N295" s="305" t="str">
        <f t="shared" si="41"/>
        <v>Dentro do prazo</v>
      </c>
      <c r="O295" s="389">
        <f t="shared" si="36"/>
        <v>0</v>
      </c>
      <c r="P295" s="389">
        <f t="shared" si="37"/>
        <v>0</v>
      </c>
      <c r="Q295" s="309">
        <f t="shared" si="38"/>
        <v>0</v>
      </c>
    </row>
    <row r="296" spans="1:17" s="279" customFormat="1" ht="32.25" customHeight="1" x14ac:dyDescent="0.2">
      <c r="A296" s="282"/>
      <c r="B296" s="282"/>
      <c r="C296" s="283"/>
      <c r="D296" s="284"/>
      <c r="E296" s="297"/>
      <c r="F296" s="285"/>
      <c r="G296" s="285"/>
      <c r="H296" s="285"/>
      <c r="I296" s="282"/>
      <c r="J296" s="282"/>
      <c r="K296" s="282"/>
      <c r="L296" s="278" t="str">
        <f t="shared" si="39"/>
        <v>Em andamento</v>
      </c>
      <c r="M296" s="306">
        <f t="shared" si="40"/>
        <v>0</v>
      </c>
      <c r="N296" s="305" t="str">
        <f t="shared" si="41"/>
        <v>Dentro do prazo</v>
      </c>
      <c r="O296" s="389">
        <f t="shared" si="36"/>
        <v>0</v>
      </c>
      <c r="P296" s="389">
        <f t="shared" si="37"/>
        <v>0</v>
      </c>
      <c r="Q296" s="309">
        <f t="shared" si="38"/>
        <v>0</v>
      </c>
    </row>
    <row r="297" spans="1:17" s="279" customFormat="1" ht="32.25" customHeight="1" x14ac:dyDescent="0.2">
      <c r="A297" s="282"/>
      <c r="B297" s="282"/>
      <c r="C297" s="283"/>
      <c r="D297" s="284"/>
      <c r="E297" s="297"/>
      <c r="F297" s="285"/>
      <c r="G297" s="285"/>
      <c r="H297" s="285"/>
      <c r="I297" s="282"/>
      <c r="J297" s="282"/>
      <c r="K297" s="282"/>
      <c r="L297" s="278" t="str">
        <f t="shared" si="39"/>
        <v>Em andamento</v>
      </c>
      <c r="M297" s="306">
        <f t="shared" si="40"/>
        <v>0</v>
      </c>
      <c r="N297" s="305" t="str">
        <f t="shared" si="41"/>
        <v>Dentro do prazo</v>
      </c>
      <c r="O297" s="389">
        <f t="shared" si="36"/>
        <v>0</v>
      </c>
      <c r="P297" s="389">
        <f t="shared" si="37"/>
        <v>0</v>
      </c>
      <c r="Q297" s="309">
        <f t="shared" si="38"/>
        <v>0</v>
      </c>
    </row>
    <row r="298" spans="1:17" s="279" customFormat="1" ht="32.25" customHeight="1" x14ac:dyDescent="0.2">
      <c r="A298" s="282"/>
      <c r="B298" s="282"/>
      <c r="C298" s="283"/>
      <c r="D298" s="284"/>
      <c r="E298" s="297"/>
      <c r="F298" s="285"/>
      <c r="G298" s="285"/>
      <c r="H298" s="285"/>
      <c r="I298" s="282"/>
      <c r="J298" s="282"/>
      <c r="K298" s="282"/>
      <c r="L298" s="278" t="str">
        <f t="shared" si="39"/>
        <v>Em andamento</v>
      </c>
      <c r="M298" s="306">
        <f t="shared" si="40"/>
        <v>0</v>
      </c>
      <c r="N298" s="305" t="str">
        <f t="shared" si="41"/>
        <v>Dentro do prazo</v>
      </c>
      <c r="O298" s="389">
        <f t="shared" si="36"/>
        <v>0</v>
      </c>
      <c r="P298" s="389">
        <f t="shared" si="37"/>
        <v>0</v>
      </c>
      <c r="Q298" s="309">
        <f t="shared" si="38"/>
        <v>0</v>
      </c>
    </row>
    <row r="299" spans="1:17" s="279" customFormat="1" ht="32.25" customHeight="1" x14ac:dyDescent="0.2">
      <c r="A299" s="282"/>
      <c r="B299" s="282"/>
      <c r="C299" s="283"/>
      <c r="D299" s="284"/>
      <c r="E299" s="297"/>
      <c r="F299" s="285"/>
      <c r="G299" s="285"/>
      <c r="H299" s="285"/>
      <c r="I299" s="282"/>
      <c r="J299" s="282"/>
      <c r="K299" s="282"/>
      <c r="L299" s="278" t="str">
        <f t="shared" si="39"/>
        <v>Em andamento</v>
      </c>
      <c r="M299" s="306">
        <f t="shared" si="40"/>
        <v>0</v>
      </c>
      <c r="N299" s="305" t="str">
        <f t="shared" si="41"/>
        <v>Dentro do prazo</v>
      </c>
      <c r="O299" s="389">
        <f t="shared" si="36"/>
        <v>0</v>
      </c>
      <c r="P299" s="389">
        <f t="shared" si="37"/>
        <v>0</v>
      </c>
      <c r="Q299" s="309">
        <f t="shared" si="38"/>
        <v>0</v>
      </c>
    </row>
    <row r="300" spans="1:17" s="279" customFormat="1" ht="32.25" customHeight="1" x14ac:dyDescent="0.2">
      <c r="A300" s="282"/>
      <c r="B300" s="282"/>
      <c r="C300" s="283"/>
      <c r="D300" s="284"/>
      <c r="E300" s="297"/>
      <c r="F300" s="285"/>
      <c r="G300" s="285"/>
      <c r="H300" s="285"/>
      <c r="I300" s="282"/>
      <c r="J300" s="282"/>
      <c r="K300" s="282"/>
      <c r="L300" s="278" t="str">
        <f t="shared" si="39"/>
        <v>Em andamento</v>
      </c>
      <c r="M300" s="306">
        <f t="shared" si="40"/>
        <v>0</v>
      </c>
      <c r="N300" s="305" t="str">
        <f t="shared" si="41"/>
        <v>Dentro do prazo</v>
      </c>
      <c r="O300" s="389">
        <f t="shared" si="36"/>
        <v>0</v>
      </c>
      <c r="P300" s="389">
        <f t="shared" si="37"/>
        <v>0</v>
      </c>
      <c r="Q300" s="309">
        <f t="shared" si="38"/>
        <v>0</v>
      </c>
    </row>
    <row r="301" spans="1:17" s="279" customFormat="1" ht="32.25" customHeight="1" x14ac:dyDescent="0.2">
      <c r="A301" s="282"/>
      <c r="B301" s="282"/>
      <c r="C301" s="283"/>
      <c r="D301" s="284"/>
      <c r="E301" s="297"/>
      <c r="F301" s="285"/>
      <c r="G301" s="285"/>
      <c r="H301" s="285"/>
      <c r="I301" s="282"/>
      <c r="J301" s="282"/>
      <c r="K301" s="282"/>
      <c r="L301" s="278" t="str">
        <f t="shared" si="39"/>
        <v>Em andamento</v>
      </c>
      <c r="M301" s="306">
        <f t="shared" si="40"/>
        <v>0</v>
      </c>
      <c r="N301" s="305" t="str">
        <f t="shared" si="41"/>
        <v>Dentro do prazo</v>
      </c>
      <c r="O301" s="389">
        <f t="shared" si="36"/>
        <v>0</v>
      </c>
      <c r="P301" s="389">
        <f t="shared" si="37"/>
        <v>0</v>
      </c>
      <c r="Q301" s="309">
        <f t="shared" si="38"/>
        <v>0</v>
      </c>
    </row>
    <row r="302" spans="1:17" s="279" customFormat="1" ht="32.25" customHeight="1" x14ac:dyDescent="0.2">
      <c r="A302" s="282"/>
      <c r="B302" s="282"/>
      <c r="C302" s="283"/>
      <c r="D302" s="284"/>
      <c r="E302" s="297"/>
      <c r="F302" s="285"/>
      <c r="G302" s="285"/>
      <c r="H302" s="285"/>
      <c r="I302" s="282"/>
      <c r="J302" s="282"/>
      <c r="K302" s="282"/>
      <c r="L302" s="278" t="str">
        <f t="shared" si="39"/>
        <v>Em andamento</v>
      </c>
      <c r="M302" s="306">
        <f t="shared" si="40"/>
        <v>0</v>
      </c>
      <c r="N302" s="305" t="str">
        <f t="shared" si="41"/>
        <v>Dentro do prazo</v>
      </c>
      <c r="O302" s="389">
        <f t="shared" si="36"/>
        <v>0</v>
      </c>
      <c r="P302" s="389">
        <f t="shared" si="37"/>
        <v>0</v>
      </c>
      <c r="Q302" s="309">
        <f t="shared" si="38"/>
        <v>0</v>
      </c>
    </row>
    <row r="303" spans="1:17" s="279" customFormat="1" ht="32.25" customHeight="1" x14ac:dyDescent="0.2">
      <c r="A303" s="282"/>
      <c r="B303" s="282"/>
      <c r="C303" s="283"/>
      <c r="D303" s="284"/>
      <c r="E303" s="297"/>
      <c r="F303" s="285"/>
      <c r="G303" s="285"/>
      <c r="H303" s="285"/>
      <c r="I303" s="282"/>
      <c r="J303" s="282"/>
      <c r="K303" s="282"/>
      <c r="L303" s="278" t="str">
        <f t="shared" si="39"/>
        <v>Em andamento</v>
      </c>
      <c r="M303" s="306">
        <f t="shared" si="40"/>
        <v>0</v>
      </c>
      <c r="N303" s="305" t="str">
        <f t="shared" si="41"/>
        <v>Dentro do prazo</v>
      </c>
      <c r="O303" s="389">
        <f t="shared" si="36"/>
        <v>0</v>
      </c>
      <c r="P303" s="389">
        <f t="shared" si="37"/>
        <v>0</v>
      </c>
      <c r="Q303" s="309">
        <f t="shared" si="38"/>
        <v>0</v>
      </c>
    </row>
    <row r="304" spans="1:17" s="279" customFormat="1" ht="32.25" customHeight="1" x14ac:dyDescent="0.2">
      <c r="A304" s="282"/>
      <c r="B304" s="282"/>
      <c r="C304" s="283"/>
      <c r="D304" s="284"/>
      <c r="E304" s="297"/>
      <c r="F304" s="285"/>
      <c r="G304" s="285"/>
      <c r="H304" s="285"/>
      <c r="I304" s="282"/>
      <c r="J304" s="282"/>
      <c r="K304" s="282"/>
      <c r="L304" s="278" t="str">
        <f t="shared" si="39"/>
        <v>Em andamento</v>
      </c>
      <c r="M304" s="306">
        <f t="shared" si="40"/>
        <v>0</v>
      </c>
      <c r="N304" s="305" t="str">
        <f t="shared" si="41"/>
        <v>Dentro do prazo</v>
      </c>
      <c r="O304" s="389">
        <f t="shared" si="36"/>
        <v>0</v>
      </c>
      <c r="P304" s="389">
        <f t="shared" si="37"/>
        <v>0</v>
      </c>
      <c r="Q304" s="309">
        <f t="shared" si="38"/>
        <v>0</v>
      </c>
    </row>
    <row r="305" spans="1:17" s="279" customFormat="1" ht="32.25" customHeight="1" x14ac:dyDescent="0.2">
      <c r="A305" s="282"/>
      <c r="B305" s="282"/>
      <c r="C305" s="283"/>
      <c r="D305" s="284"/>
      <c r="E305" s="297"/>
      <c r="F305" s="285"/>
      <c r="G305" s="285"/>
      <c r="H305" s="285"/>
      <c r="I305" s="282"/>
      <c r="J305" s="282"/>
      <c r="K305" s="282"/>
      <c r="L305" s="278" t="str">
        <f t="shared" si="39"/>
        <v>Em andamento</v>
      </c>
      <c r="M305" s="306">
        <f t="shared" si="40"/>
        <v>0</v>
      </c>
      <c r="N305" s="305" t="str">
        <f t="shared" si="41"/>
        <v>Dentro do prazo</v>
      </c>
      <c r="O305" s="389">
        <f t="shared" si="36"/>
        <v>0</v>
      </c>
      <c r="P305" s="389">
        <f t="shared" si="37"/>
        <v>0</v>
      </c>
      <c r="Q305" s="309">
        <f t="shared" si="38"/>
        <v>0</v>
      </c>
    </row>
    <row r="306" spans="1:17" s="279" customFormat="1" ht="32.25" customHeight="1" x14ac:dyDescent="0.2">
      <c r="A306" s="282"/>
      <c r="B306" s="282"/>
      <c r="C306" s="283"/>
      <c r="D306" s="284"/>
      <c r="E306" s="297"/>
      <c r="F306" s="285"/>
      <c r="G306" s="285"/>
      <c r="H306" s="285"/>
      <c r="I306" s="282"/>
      <c r="J306" s="282"/>
      <c r="K306" s="282"/>
      <c r="L306" s="278" t="str">
        <f t="shared" si="39"/>
        <v>Em andamento</v>
      </c>
      <c r="M306" s="306">
        <f t="shared" si="40"/>
        <v>0</v>
      </c>
      <c r="N306" s="305" t="str">
        <f t="shared" si="41"/>
        <v>Dentro do prazo</v>
      </c>
      <c r="O306" s="389">
        <f t="shared" si="36"/>
        <v>0</v>
      </c>
      <c r="P306" s="389">
        <f t="shared" si="37"/>
        <v>0</v>
      </c>
      <c r="Q306" s="309">
        <f t="shared" si="38"/>
        <v>0</v>
      </c>
    </row>
    <row r="307" spans="1:17" s="279" customFormat="1" ht="32.25" customHeight="1" x14ac:dyDescent="0.2">
      <c r="A307" s="282"/>
      <c r="B307" s="282"/>
      <c r="C307" s="283"/>
      <c r="D307" s="284"/>
      <c r="E307" s="297"/>
      <c r="F307" s="285"/>
      <c r="G307" s="285"/>
      <c r="H307" s="285"/>
      <c r="I307" s="282"/>
      <c r="J307" s="282"/>
      <c r="K307" s="282"/>
      <c r="L307" s="278" t="str">
        <f t="shared" si="39"/>
        <v>Em andamento</v>
      </c>
      <c r="M307" s="306">
        <f t="shared" si="40"/>
        <v>0</v>
      </c>
      <c r="N307" s="305" t="str">
        <f t="shared" si="41"/>
        <v>Dentro do prazo</v>
      </c>
      <c r="O307" s="389">
        <f t="shared" si="36"/>
        <v>0</v>
      </c>
      <c r="P307" s="389">
        <f t="shared" si="37"/>
        <v>0</v>
      </c>
      <c r="Q307" s="309">
        <f t="shared" si="38"/>
        <v>0</v>
      </c>
    </row>
    <row r="308" spans="1:17" s="279" customFormat="1" ht="32.25" customHeight="1" x14ac:dyDescent="0.2">
      <c r="A308" s="282"/>
      <c r="B308" s="282"/>
      <c r="C308" s="283"/>
      <c r="D308" s="284"/>
      <c r="E308" s="297"/>
      <c r="F308" s="285"/>
      <c r="G308" s="285"/>
      <c r="H308" s="285"/>
      <c r="I308" s="282"/>
      <c r="J308" s="282"/>
      <c r="K308" s="282"/>
      <c r="L308" s="278" t="str">
        <f t="shared" si="39"/>
        <v>Em andamento</v>
      </c>
      <c r="M308" s="306">
        <f t="shared" si="40"/>
        <v>0</v>
      </c>
      <c r="N308" s="305" t="str">
        <f t="shared" si="41"/>
        <v>Dentro do prazo</v>
      </c>
      <c r="O308" s="389">
        <f t="shared" si="36"/>
        <v>0</v>
      </c>
      <c r="P308" s="389">
        <f t="shared" si="37"/>
        <v>0</v>
      </c>
      <c r="Q308" s="309">
        <f t="shared" si="38"/>
        <v>0</v>
      </c>
    </row>
    <row r="309" spans="1:17" s="279" customFormat="1" ht="32.25" customHeight="1" x14ac:dyDescent="0.2">
      <c r="A309" s="282"/>
      <c r="B309" s="282"/>
      <c r="C309" s="283"/>
      <c r="D309" s="284"/>
      <c r="E309" s="297"/>
      <c r="F309" s="285"/>
      <c r="G309" s="285"/>
      <c r="H309" s="285"/>
      <c r="I309" s="282"/>
      <c r="J309" s="282"/>
      <c r="K309" s="282"/>
      <c r="L309" s="278" t="str">
        <f t="shared" si="39"/>
        <v>Em andamento</v>
      </c>
      <c r="M309" s="306">
        <f t="shared" si="40"/>
        <v>0</v>
      </c>
      <c r="N309" s="305" t="str">
        <f t="shared" si="41"/>
        <v>Dentro do prazo</v>
      </c>
      <c r="O309" s="389">
        <f t="shared" si="36"/>
        <v>0</v>
      </c>
      <c r="P309" s="389">
        <f t="shared" si="37"/>
        <v>0</v>
      </c>
      <c r="Q309" s="309">
        <f t="shared" si="38"/>
        <v>0</v>
      </c>
    </row>
    <row r="310" spans="1:17" s="279" customFormat="1" ht="32.25" customHeight="1" x14ac:dyDescent="0.2">
      <c r="A310" s="282"/>
      <c r="B310" s="282"/>
      <c r="C310" s="283"/>
      <c r="D310" s="284"/>
      <c r="E310" s="297"/>
      <c r="F310" s="285"/>
      <c r="G310" s="285"/>
      <c r="H310" s="285"/>
      <c r="I310" s="282"/>
      <c r="J310" s="282"/>
      <c r="K310" s="282"/>
      <c r="L310" s="278" t="str">
        <f t="shared" si="39"/>
        <v>Em andamento</v>
      </c>
      <c r="M310" s="306">
        <f t="shared" si="40"/>
        <v>0</v>
      </c>
      <c r="N310" s="305" t="str">
        <f t="shared" si="41"/>
        <v>Dentro do prazo</v>
      </c>
      <c r="O310" s="389">
        <f t="shared" si="36"/>
        <v>0</v>
      </c>
      <c r="P310" s="389">
        <f t="shared" si="37"/>
        <v>0</v>
      </c>
      <c r="Q310" s="309">
        <f t="shared" si="38"/>
        <v>0</v>
      </c>
    </row>
    <row r="311" spans="1:17" s="279" customFormat="1" ht="32.25" customHeight="1" x14ac:dyDescent="0.2">
      <c r="A311" s="282"/>
      <c r="B311" s="282"/>
      <c r="C311" s="283"/>
      <c r="D311" s="284"/>
      <c r="E311" s="297"/>
      <c r="F311" s="285"/>
      <c r="G311" s="285"/>
      <c r="H311" s="285"/>
      <c r="I311" s="282"/>
      <c r="J311" s="282"/>
      <c r="K311" s="282"/>
      <c r="L311" s="278" t="str">
        <f t="shared" si="39"/>
        <v>Em andamento</v>
      </c>
      <c r="M311" s="306">
        <f t="shared" si="40"/>
        <v>0</v>
      </c>
      <c r="N311" s="305" t="str">
        <f t="shared" si="41"/>
        <v>Dentro do prazo</v>
      </c>
      <c r="O311" s="389">
        <f t="shared" si="36"/>
        <v>0</v>
      </c>
      <c r="P311" s="389">
        <f t="shared" si="37"/>
        <v>0</v>
      </c>
      <c r="Q311" s="309">
        <f t="shared" si="38"/>
        <v>0</v>
      </c>
    </row>
    <row r="312" spans="1:17" s="279" customFormat="1" ht="32.25" customHeight="1" x14ac:dyDescent="0.2">
      <c r="A312" s="282"/>
      <c r="B312" s="282"/>
      <c r="C312" s="283"/>
      <c r="D312" s="284"/>
      <c r="E312" s="297"/>
      <c r="F312" s="285"/>
      <c r="G312" s="285"/>
      <c r="H312" s="285"/>
      <c r="I312" s="282"/>
      <c r="J312" s="282"/>
      <c r="K312" s="282"/>
      <c r="L312" s="278" t="str">
        <f t="shared" si="39"/>
        <v>Em andamento</v>
      </c>
      <c r="M312" s="306">
        <f t="shared" si="40"/>
        <v>0</v>
      </c>
      <c r="N312" s="305" t="str">
        <f t="shared" si="41"/>
        <v>Dentro do prazo</v>
      </c>
      <c r="O312" s="389">
        <f t="shared" si="36"/>
        <v>0</v>
      </c>
      <c r="P312" s="389">
        <f t="shared" si="37"/>
        <v>0</v>
      </c>
      <c r="Q312" s="309">
        <f t="shared" si="38"/>
        <v>0</v>
      </c>
    </row>
    <row r="313" spans="1:17" s="279" customFormat="1" ht="32.25" customHeight="1" x14ac:dyDescent="0.2">
      <c r="A313" s="282"/>
      <c r="B313" s="282"/>
      <c r="C313" s="283"/>
      <c r="D313" s="284"/>
      <c r="E313" s="297"/>
      <c r="F313" s="285"/>
      <c r="G313" s="285"/>
      <c r="H313" s="285"/>
      <c r="I313" s="282"/>
      <c r="J313" s="282"/>
      <c r="K313" s="282"/>
      <c r="L313" s="278" t="str">
        <f t="shared" si="39"/>
        <v>Em andamento</v>
      </c>
      <c r="M313" s="306">
        <f t="shared" si="40"/>
        <v>0</v>
      </c>
      <c r="N313" s="305" t="str">
        <f t="shared" si="41"/>
        <v>Dentro do prazo</v>
      </c>
      <c r="O313" s="389">
        <f t="shared" si="36"/>
        <v>0</v>
      </c>
      <c r="P313" s="389">
        <f t="shared" si="37"/>
        <v>0</v>
      </c>
      <c r="Q313" s="309">
        <f t="shared" si="38"/>
        <v>0</v>
      </c>
    </row>
    <row r="314" spans="1:17" s="279" customFormat="1" ht="32.25" customHeight="1" x14ac:dyDescent="0.2">
      <c r="A314" s="282"/>
      <c r="B314" s="282"/>
      <c r="C314" s="283"/>
      <c r="D314" s="284"/>
      <c r="E314" s="297"/>
      <c r="F314" s="285"/>
      <c r="G314" s="285"/>
      <c r="H314" s="285"/>
      <c r="I314" s="282"/>
      <c r="J314" s="282"/>
      <c r="K314" s="282"/>
      <c r="L314" s="278" t="str">
        <f t="shared" si="39"/>
        <v>Em andamento</v>
      </c>
      <c r="M314" s="306">
        <f t="shared" si="40"/>
        <v>0</v>
      </c>
      <c r="N314" s="305" t="str">
        <f t="shared" si="41"/>
        <v>Dentro do prazo</v>
      </c>
      <c r="O314" s="389">
        <f t="shared" si="36"/>
        <v>0</v>
      </c>
      <c r="P314" s="389">
        <f t="shared" si="37"/>
        <v>0</v>
      </c>
      <c r="Q314" s="309">
        <f t="shared" si="38"/>
        <v>0</v>
      </c>
    </row>
    <row r="315" spans="1:17" s="279" customFormat="1" ht="32.25" customHeight="1" x14ac:dyDescent="0.2">
      <c r="A315" s="282"/>
      <c r="B315" s="282"/>
      <c r="C315" s="283"/>
      <c r="D315" s="284"/>
      <c r="E315" s="297"/>
      <c r="F315" s="285"/>
      <c r="G315" s="285"/>
      <c r="H315" s="285"/>
      <c r="I315" s="282"/>
      <c r="J315" s="282"/>
      <c r="K315" s="282"/>
      <c r="L315" s="278" t="str">
        <f t="shared" si="39"/>
        <v>Em andamento</v>
      </c>
      <c r="M315" s="306">
        <f t="shared" si="40"/>
        <v>0</v>
      </c>
      <c r="N315" s="305" t="str">
        <f t="shared" si="41"/>
        <v>Dentro do prazo</v>
      </c>
      <c r="O315" s="389">
        <f t="shared" si="36"/>
        <v>0</v>
      </c>
      <c r="P315" s="389">
        <f t="shared" si="37"/>
        <v>0</v>
      </c>
      <c r="Q315" s="309">
        <f t="shared" si="38"/>
        <v>0</v>
      </c>
    </row>
    <row r="316" spans="1:17" s="279" customFormat="1" ht="32.25" customHeight="1" x14ac:dyDescent="0.2">
      <c r="A316" s="282"/>
      <c r="B316" s="282"/>
      <c r="C316" s="283"/>
      <c r="D316" s="284"/>
      <c r="E316" s="297"/>
      <c r="F316" s="285"/>
      <c r="G316" s="285"/>
      <c r="H316" s="285"/>
      <c r="I316" s="282"/>
      <c r="J316" s="282"/>
      <c r="K316" s="282"/>
      <c r="L316" s="278" t="str">
        <f t="shared" si="39"/>
        <v>Em andamento</v>
      </c>
      <c r="M316" s="306">
        <f t="shared" si="40"/>
        <v>0</v>
      </c>
      <c r="N316" s="305" t="str">
        <f t="shared" si="41"/>
        <v>Dentro do prazo</v>
      </c>
      <c r="O316" s="389">
        <f t="shared" si="36"/>
        <v>0</v>
      </c>
      <c r="P316" s="389">
        <f t="shared" si="37"/>
        <v>0</v>
      </c>
      <c r="Q316" s="309">
        <f t="shared" si="38"/>
        <v>0</v>
      </c>
    </row>
    <row r="317" spans="1:17" s="279" customFormat="1" ht="32.25" customHeight="1" x14ac:dyDescent="0.2">
      <c r="A317" s="282"/>
      <c r="B317" s="282"/>
      <c r="C317" s="283"/>
      <c r="D317" s="284"/>
      <c r="E317" s="297"/>
      <c r="F317" s="285"/>
      <c r="G317" s="285"/>
      <c r="H317" s="285"/>
      <c r="I317" s="282"/>
      <c r="J317" s="282"/>
      <c r="K317" s="282"/>
      <c r="L317" s="278" t="str">
        <f t="shared" si="39"/>
        <v>Em andamento</v>
      </c>
      <c r="M317" s="306">
        <f t="shared" si="40"/>
        <v>0</v>
      </c>
      <c r="N317" s="305" t="str">
        <f t="shared" si="41"/>
        <v>Dentro do prazo</v>
      </c>
      <c r="O317" s="389">
        <f t="shared" si="36"/>
        <v>0</v>
      </c>
      <c r="P317" s="389">
        <f t="shared" si="37"/>
        <v>0</v>
      </c>
      <c r="Q317" s="309">
        <f t="shared" si="38"/>
        <v>0</v>
      </c>
    </row>
    <row r="318" spans="1:17" s="279" customFormat="1" ht="32.25" customHeight="1" x14ac:dyDescent="0.2">
      <c r="A318" s="282"/>
      <c r="B318" s="282"/>
      <c r="C318" s="283"/>
      <c r="D318" s="284"/>
      <c r="E318" s="297"/>
      <c r="F318" s="285"/>
      <c r="G318" s="285"/>
      <c r="H318" s="285"/>
      <c r="I318" s="282"/>
      <c r="J318" s="282"/>
      <c r="K318" s="282"/>
      <c r="L318" s="278" t="str">
        <f t="shared" si="39"/>
        <v>Em andamento</v>
      </c>
      <c r="M318" s="306">
        <f t="shared" si="40"/>
        <v>0</v>
      </c>
      <c r="N318" s="305" t="str">
        <f t="shared" si="41"/>
        <v>Dentro do prazo</v>
      </c>
      <c r="O318" s="389">
        <f t="shared" si="36"/>
        <v>0</v>
      </c>
      <c r="P318" s="389">
        <f t="shared" si="37"/>
        <v>0</v>
      </c>
      <c r="Q318" s="309">
        <f t="shared" si="38"/>
        <v>0</v>
      </c>
    </row>
    <row r="319" spans="1:17" s="279" customFormat="1" ht="32.25" customHeight="1" x14ac:dyDescent="0.2">
      <c r="A319" s="282"/>
      <c r="B319" s="282"/>
      <c r="C319" s="283"/>
      <c r="D319" s="284"/>
      <c r="E319" s="297"/>
      <c r="F319" s="285"/>
      <c r="G319" s="285"/>
      <c r="H319" s="285"/>
      <c r="I319" s="282"/>
      <c r="J319" s="282"/>
      <c r="K319" s="282"/>
      <c r="L319" s="278" t="str">
        <f t="shared" si="39"/>
        <v>Em andamento</v>
      </c>
      <c r="M319" s="306">
        <f t="shared" si="40"/>
        <v>0</v>
      </c>
      <c r="N319" s="305" t="str">
        <f t="shared" si="41"/>
        <v>Dentro do prazo</v>
      </c>
      <c r="O319" s="389">
        <f t="shared" si="36"/>
        <v>0</v>
      </c>
      <c r="P319" s="389">
        <f t="shared" si="37"/>
        <v>0</v>
      </c>
      <c r="Q319" s="309">
        <f t="shared" si="38"/>
        <v>0</v>
      </c>
    </row>
    <row r="320" spans="1:17" s="279" customFormat="1" ht="32.25" customHeight="1" x14ac:dyDescent="0.2">
      <c r="A320" s="282"/>
      <c r="B320" s="282"/>
      <c r="C320" s="283"/>
      <c r="D320" s="284"/>
      <c r="E320" s="297"/>
      <c r="F320" s="285"/>
      <c r="G320" s="285"/>
      <c r="H320" s="285"/>
      <c r="I320" s="282"/>
      <c r="J320" s="282"/>
      <c r="K320" s="282"/>
      <c r="L320" s="278" t="str">
        <f t="shared" si="39"/>
        <v>Em andamento</v>
      </c>
      <c r="M320" s="306">
        <f t="shared" si="40"/>
        <v>0</v>
      </c>
      <c r="N320" s="305" t="str">
        <f t="shared" si="41"/>
        <v>Dentro do prazo</v>
      </c>
      <c r="O320" s="389">
        <f t="shared" si="36"/>
        <v>0</v>
      </c>
      <c r="P320" s="389">
        <f t="shared" si="37"/>
        <v>0</v>
      </c>
      <c r="Q320" s="309">
        <f t="shared" si="38"/>
        <v>0</v>
      </c>
    </row>
    <row r="321" spans="1:17" s="279" customFormat="1" ht="32.25" customHeight="1" x14ac:dyDescent="0.2">
      <c r="A321" s="282"/>
      <c r="B321" s="282"/>
      <c r="C321" s="283"/>
      <c r="D321" s="284"/>
      <c r="E321" s="297"/>
      <c r="F321" s="285"/>
      <c r="G321" s="285"/>
      <c r="H321" s="285"/>
      <c r="I321" s="282"/>
      <c r="J321" s="282"/>
      <c r="K321" s="282"/>
      <c r="L321" s="278" t="str">
        <f t="shared" si="39"/>
        <v>Em andamento</v>
      </c>
      <c r="M321" s="306">
        <f t="shared" si="40"/>
        <v>0</v>
      </c>
      <c r="N321" s="305" t="str">
        <f t="shared" si="41"/>
        <v>Dentro do prazo</v>
      </c>
      <c r="O321" s="389">
        <f t="shared" si="36"/>
        <v>0</v>
      </c>
      <c r="P321" s="389">
        <f t="shared" si="37"/>
        <v>0</v>
      </c>
      <c r="Q321" s="309">
        <f t="shared" si="38"/>
        <v>0</v>
      </c>
    </row>
    <row r="322" spans="1:17" s="279" customFormat="1" ht="32.25" customHeight="1" x14ac:dyDescent="0.2">
      <c r="A322" s="282"/>
      <c r="B322" s="282"/>
      <c r="C322" s="283"/>
      <c r="D322" s="284"/>
      <c r="E322" s="297"/>
      <c r="F322" s="285"/>
      <c r="G322" s="285"/>
      <c r="H322" s="285"/>
      <c r="I322" s="282"/>
      <c r="J322" s="282"/>
      <c r="K322" s="282"/>
      <c r="L322" s="278" t="str">
        <f t="shared" si="39"/>
        <v>Em andamento</v>
      </c>
      <c r="M322" s="306">
        <f t="shared" si="40"/>
        <v>0</v>
      </c>
      <c r="N322" s="305" t="str">
        <f t="shared" si="41"/>
        <v>Dentro do prazo</v>
      </c>
      <c r="O322" s="389">
        <f t="shared" si="36"/>
        <v>0</v>
      </c>
      <c r="P322" s="389">
        <f t="shared" si="37"/>
        <v>0</v>
      </c>
      <c r="Q322" s="309">
        <f t="shared" si="38"/>
        <v>0</v>
      </c>
    </row>
    <row r="323" spans="1:17" s="279" customFormat="1" ht="32.25" customHeight="1" x14ac:dyDescent="0.2">
      <c r="A323" s="282"/>
      <c r="B323" s="282"/>
      <c r="C323" s="283"/>
      <c r="D323" s="284"/>
      <c r="E323" s="297"/>
      <c r="F323" s="285"/>
      <c r="G323" s="285"/>
      <c r="H323" s="285"/>
      <c r="I323" s="282"/>
      <c r="J323" s="282"/>
      <c r="K323" s="282"/>
      <c r="L323" s="278" t="str">
        <f t="shared" si="39"/>
        <v>Em andamento</v>
      </c>
      <c r="M323" s="306">
        <f t="shared" si="40"/>
        <v>0</v>
      </c>
      <c r="N323" s="305" t="str">
        <f t="shared" si="41"/>
        <v>Dentro do prazo</v>
      </c>
      <c r="O323" s="389">
        <f t="shared" si="36"/>
        <v>0</v>
      </c>
      <c r="P323" s="389">
        <f t="shared" si="37"/>
        <v>0</v>
      </c>
      <c r="Q323" s="309">
        <f t="shared" si="38"/>
        <v>0</v>
      </c>
    </row>
    <row r="324" spans="1:17" s="279" customFormat="1" ht="32.25" customHeight="1" x14ac:dyDescent="0.2">
      <c r="A324" s="282"/>
      <c r="B324" s="282"/>
      <c r="C324" s="283"/>
      <c r="D324" s="284"/>
      <c r="E324" s="297"/>
      <c r="F324" s="285"/>
      <c r="G324" s="285"/>
      <c r="H324" s="285"/>
      <c r="I324" s="282"/>
      <c r="J324" s="282"/>
      <c r="K324" s="282"/>
      <c r="L324" s="278" t="str">
        <f t="shared" si="39"/>
        <v>Em andamento</v>
      </c>
      <c r="M324" s="306">
        <f t="shared" si="40"/>
        <v>0</v>
      </c>
      <c r="N324" s="305" t="str">
        <f t="shared" si="41"/>
        <v>Dentro do prazo</v>
      </c>
      <c r="O324" s="389">
        <f t="shared" si="36"/>
        <v>0</v>
      </c>
      <c r="P324" s="389">
        <f t="shared" si="37"/>
        <v>0</v>
      </c>
      <c r="Q324" s="309">
        <f t="shared" si="38"/>
        <v>0</v>
      </c>
    </row>
    <row r="325" spans="1:17" s="279" customFormat="1" ht="32.25" customHeight="1" x14ac:dyDescent="0.2">
      <c r="A325" s="282"/>
      <c r="B325" s="282"/>
      <c r="C325" s="283"/>
      <c r="D325" s="284"/>
      <c r="E325" s="297"/>
      <c r="F325" s="285"/>
      <c r="G325" s="285"/>
      <c r="H325" s="285"/>
      <c r="I325" s="282"/>
      <c r="J325" s="282"/>
      <c r="K325" s="282"/>
      <c r="L325" s="278" t="str">
        <f t="shared" si="39"/>
        <v>Em andamento</v>
      </c>
      <c r="M325" s="306">
        <f t="shared" si="40"/>
        <v>0</v>
      </c>
      <c r="N325" s="305" t="str">
        <f t="shared" si="41"/>
        <v>Dentro do prazo</v>
      </c>
      <c r="O325" s="389">
        <f t="shared" si="36"/>
        <v>0</v>
      </c>
      <c r="P325" s="389">
        <f t="shared" si="37"/>
        <v>0</v>
      </c>
      <c r="Q325" s="309">
        <f t="shared" si="38"/>
        <v>0</v>
      </c>
    </row>
    <row r="326" spans="1:17" s="279" customFormat="1" ht="32.25" customHeight="1" x14ac:dyDescent="0.2">
      <c r="A326" s="282"/>
      <c r="B326" s="282"/>
      <c r="C326" s="283"/>
      <c r="D326" s="284"/>
      <c r="E326" s="297"/>
      <c r="F326" s="285"/>
      <c r="G326" s="285"/>
      <c r="H326" s="285"/>
      <c r="I326" s="282"/>
      <c r="J326" s="282"/>
      <c r="K326" s="282"/>
      <c r="L326" s="278" t="str">
        <f t="shared" si="39"/>
        <v>Em andamento</v>
      </c>
      <c r="M326" s="306">
        <f t="shared" si="40"/>
        <v>0</v>
      </c>
      <c r="N326" s="305" t="str">
        <f t="shared" si="41"/>
        <v>Dentro do prazo</v>
      </c>
      <c r="O326" s="389">
        <f t="shared" si="36"/>
        <v>0</v>
      </c>
      <c r="P326" s="389">
        <f t="shared" si="37"/>
        <v>0</v>
      </c>
      <c r="Q326" s="309">
        <f t="shared" si="38"/>
        <v>0</v>
      </c>
    </row>
    <row r="327" spans="1:17" s="279" customFormat="1" ht="32.25" customHeight="1" x14ac:dyDescent="0.2">
      <c r="A327" s="282"/>
      <c r="B327" s="282"/>
      <c r="C327" s="283"/>
      <c r="D327" s="284"/>
      <c r="E327" s="297"/>
      <c r="F327" s="285"/>
      <c r="G327" s="285"/>
      <c r="H327" s="285"/>
      <c r="I327" s="282"/>
      <c r="J327" s="282"/>
      <c r="K327" s="282"/>
      <c r="L327" s="278" t="str">
        <f t="shared" si="39"/>
        <v>Em andamento</v>
      </c>
      <c r="M327" s="306">
        <f t="shared" si="40"/>
        <v>0</v>
      </c>
      <c r="N327" s="305" t="str">
        <f t="shared" si="41"/>
        <v>Dentro do prazo</v>
      </c>
      <c r="O327" s="389">
        <f t="shared" si="36"/>
        <v>0</v>
      </c>
      <c r="P327" s="389">
        <f t="shared" si="37"/>
        <v>0</v>
      </c>
      <c r="Q327" s="309">
        <f t="shared" si="38"/>
        <v>0</v>
      </c>
    </row>
    <row r="328" spans="1:17" s="279" customFormat="1" ht="32.25" customHeight="1" x14ac:dyDescent="0.2">
      <c r="A328" s="282"/>
      <c r="B328" s="282"/>
      <c r="C328" s="283"/>
      <c r="D328" s="284"/>
      <c r="E328" s="297"/>
      <c r="F328" s="285"/>
      <c r="G328" s="285"/>
      <c r="H328" s="285"/>
      <c r="I328" s="282"/>
      <c r="J328" s="282"/>
      <c r="K328" s="282"/>
      <c r="L328" s="278" t="str">
        <f t="shared" si="39"/>
        <v>Em andamento</v>
      </c>
      <c r="M328" s="306">
        <f t="shared" si="40"/>
        <v>0</v>
      </c>
      <c r="N328" s="305" t="str">
        <f t="shared" si="41"/>
        <v>Dentro do prazo</v>
      </c>
      <c r="O328" s="389">
        <f t="shared" si="36"/>
        <v>0</v>
      </c>
      <c r="P328" s="389">
        <f t="shared" si="37"/>
        <v>0</v>
      </c>
      <c r="Q328" s="309">
        <f t="shared" si="38"/>
        <v>0</v>
      </c>
    </row>
    <row r="329" spans="1:17" s="279" customFormat="1" ht="32.25" customHeight="1" x14ac:dyDescent="0.2">
      <c r="A329" s="282"/>
      <c r="B329" s="282"/>
      <c r="C329" s="283"/>
      <c r="D329" s="284"/>
      <c r="E329" s="297"/>
      <c r="F329" s="285"/>
      <c r="G329" s="285"/>
      <c r="H329" s="285"/>
      <c r="I329" s="282"/>
      <c r="J329" s="282"/>
      <c r="K329" s="282"/>
      <c r="L329" s="278" t="str">
        <f t="shared" si="39"/>
        <v>Em andamento</v>
      </c>
      <c r="M329" s="306">
        <f t="shared" si="40"/>
        <v>0</v>
      </c>
      <c r="N329" s="305" t="str">
        <f t="shared" si="41"/>
        <v>Dentro do prazo</v>
      </c>
      <c r="O329" s="389">
        <f t="shared" si="36"/>
        <v>0</v>
      </c>
      <c r="P329" s="389">
        <f t="shared" si="37"/>
        <v>0</v>
      </c>
      <c r="Q329" s="309">
        <f t="shared" si="38"/>
        <v>0</v>
      </c>
    </row>
    <row r="330" spans="1:17" s="279" customFormat="1" ht="32.25" customHeight="1" x14ac:dyDescent="0.2">
      <c r="A330" s="282"/>
      <c r="B330" s="282"/>
      <c r="C330" s="283"/>
      <c r="D330" s="284"/>
      <c r="E330" s="297"/>
      <c r="F330" s="285"/>
      <c r="G330" s="285"/>
      <c r="H330" s="285"/>
      <c r="I330" s="282"/>
      <c r="J330" s="282"/>
      <c r="K330" s="282"/>
      <c r="L330" s="278" t="str">
        <f t="shared" si="39"/>
        <v>Em andamento</v>
      </c>
      <c r="M330" s="306">
        <f t="shared" si="40"/>
        <v>0</v>
      </c>
      <c r="N330" s="305" t="str">
        <f t="shared" si="41"/>
        <v>Dentro do prazo</v>
      </c>
      <c r="O330" s="389">
        <f t="shared" si="36"/>
        <v>0</v>
      </c>
      <c r="P330" s="389">
        <f t="shared" si="37"/>
        <v>0</v>
      </c>
      <c r="Q330" s="309">
        <f t="shared" si="38"/>
        <v>0</v>
      </c>
    </row>
    <row r="331" spans="1:17" s="279" customFormat="1" ht="32.25" customHeight="1" x14ac:dyDescent="0.2">
      <c r="A331" s="282"/>
      <c r="B331" s="282"/>
      <c r="C331" s="283"/>
      <c r="D331" s="284"/>
      <c r="E331" s="297"/>
      <c r="F331" s="285"/>
      <c r="G331" s="285"/>
      <c r="H331" s="285"/>
      <c r="I331" s="282"/>
      <c r="J331" s="282"/>
      <c r="K331" s="282"/>
      <c r="L331" s="278" t="str">
        <f t="shared" si="39"/>
        <v>Em andamento</v>
      </c>
      <c r="M331" s="306">
        <f t="shared" si="40"/>
        <v>0</v>
      </c>
      <c r="N331" s="305" t="str">
        <f t="shared" si="41"/>
        <v>Dentro do prazo</v>
      </c>
      <c r="O331" s="389">
        <f t="shared" si="36"/>
        <v>0</v>
      </c>
      <c r="P331" s="389">
        <f t="shared" si="37"/>
        <v>0</v>
      </c>
      <c r="Q331" s="309">
        <f t="shared" si="38"/>
        <v>0</v>
      </c>
    </row>
    <row r="332" spans="1:17" s="279" customFormat="1" ht="32.25" customHeight="1" x14ac:dyDescent="0.2">
      <c r="A332" s="282"/>
      <c r="B332" s="282"/>
      <c r="C332" s="283"/>
      <c r="D332" s="284"/>
      <c r="E332" s="297"/>
      <c r="F332" s="285"/>
      <c r="G332" s="285"/>
      <c r="H332" s="285"/>
      <c r="I332" s="282"/>
      <c r="J332" s="282"/>
      <c r="K332" s="282"/>
      <c r="L332" s="278" t="str">
        <f t="shared" si="39"/>
        <v>Em andamento</v>
      </c>
      <c r="M332" s="306">
        <f t="shared" si="40"/>
        <v>0</v>
      </c>
      <c r="N332" s="305" t="str">
        <f t="shared" si="41"/>
        <v>Dentro do prazo</v>
      </c>
      <c r="O332" s="389">
        <f t="shared" si="36"/>
        <v>0</v>
      </c>
      <c r="P332" s="389">
        <f t="shared" si="37"/>
        <v>0</v>
      </c>
      <c r="Q332" s="309">
        <f t="shared" si="38"/>
        <v>0</v>
      </c>
    </row>
    <row r="333" spans="1:17" s="279" customFormat="1" ht="32.25" customHeight="1" x14ac:dyDescent="0.2">
      <c r="A333" s="282"/>
      <c r="B333" s="282"/>
      <c r="C333" s="283"/>
      <c r="D333" s="284"/>
      <c r="E333" s="297"/>
      <c r="F333" s="285"/>
      <c r="G333" s="285"/>
      <c r="H333" s="285"/>
      <c r="I333" s="282"/>
      <c r="J333" s="282"/>
      <c r="K333" s="282"/>
      <c r="L333" s="278" t="str">
        <f t="shared" si="39"/>
        <v>Em andamento</v>
      </c>
      <c r="M333" s="306">
        <f t="shared" si="40"/>
        <v>0</v>
      </c>
      <c r="N333" s="305" t="str">
        <f t="shared" si="41"/>
        <v>Dentro do prazo</v>
      </c>
      <c r="O333" s="389">
        <f t="shared" si="36"/>
        <v>0</v>
      </c>
      <c r="P333" s="389">
        <f t="shared" si="37"/>
        <v>0</v>
      </c>
      <c r="Q333" s="309">
        <f t="shared" si="38"/>
        <v>0</v>
      </c>
    </row>
    <row r="334" spans="1:17" s="279" customFormat="1" ht="32.25" customHeight="1" x14ac:dyDescent="0.2">
      <c r="A334" s="282"/>
      <c r="B334" s="282"/>
      <c r="C334" s="283"/>
      <c r="D334" s="284"/>
      <c r="E334" s="297"/>
      <c r="F334" s="285"/>
      <c r="G334" s="285"/>
      <c r="H334" s="285"/>
      <c r="I334" s="282"/>
      <c r="J334" s="282"/>
      <c r="K334" s="282"/>
      <c r="L334" s="278" t="str">
        <f t="shared" si="39"/>
        <v>Em andamento</v>
      </c>
      <c r="M334" s="306">
        <f t="shared" si="40"/>
        <v>0</v>
      </c>
      <c r="N334" s="305" t="str">
        <f t="shared" si="41"/>
        <v>Dentro do prazo</v>
      </c>
      <c r="O334" s="389">
        <f t="shared" si="36"/>
        <v>0</v>
      </c>
      <c r="P334" s="389">
        <f t="shared" si="37"/>
        <v>0</v>
      </c>
      <c r="Q334" s="309">
        <f t="shared" si="38"/>
        <v>0</v>
      </c>
    </row>
    <row r="335" spans="1:17" s="279" customFormat="1" ht="32.25" customHeight="1" x14ac:dyDescent="0.2">
      <c r="A335" s="282"/>
      <c r="B335" s="282"/>
      <c r="C335" s="283"/>
      <c r="D335" s="284"/>
      <c r="E335" s="297"/>
      <c r="F335" s="285"/>
      <c r="G335" s="285"/>
      <c r="H335" s="285"/>
      <c r="I335" s="282"/>
      <c r="J335" s="282"/>
      <c r="K335" s="282"/>
      <c r="L335" s="278" t="str">
        <f t="shared" si="39"/>
        <v>Em andamento</v>
      </c>
      <c r="M335" s="306">
        <f t="shared" si="40"/>
        <v>0</v>
      </c>
      <c r="N335" s="305" t="str">
        <f t="shared" si="41"/>
        <v>Dentro do prazo</v>
      </c>
      <c r="O335" s="389">
        <f t="shared" si="36"/>
        <v>0</v>
      </c>
      <c r="P335" s="389">
        <f t="shared" si="37"/>
        <v>0</v>
      </c>
      <c r="Q335" s="309">
        <f t="shared" si="38"/>
        <v>0</v>
      </c>
    </row>
    <row r="336" spans="1:17" s="279" customFormat="1" ht="32.25" customHeight="1" x14ac:dyDescent="0.2">
      <c r="A336" s="282"/>
      <c r="B336" s="282"/>
      <c r="C336" s="283"/>
      <c r="D336" s="284"/>
      <c r="E336" s="297"/>
      <c r="F336" s="285"/>
      <c r="G336" s="285"/>
      <c r="H336" s="285"/>
      <c r="I336" s="282"/>
      <c r="J336" s="282"/>
      <c r="K336" s="282"/>
      <c r="L336" s="278" t="str">
        <f t="shared" si="39"/>
        <v>Em andamento</v>
      </c>
      <c r="M336" s="306">
        <f t="shared" si="40"/>
        <v>0</v>
      </c>
      <c r="N336" s="305" t="str">
        <f t="shared" si="41"/>
        <v>Dentro do prazo</v>
      </c>
      <c r="O336" s="389">
        <f t="shared" si="36"/>
        <v>0</v>
      </c>
      <c r="P336" s="389">
        <f t="shared" si="37"/>
        <v>0</v>
      </c>
      <c r="Q336" s="309">
        <f t="shared" si="38"/>
        <v>0</v>
      </c>
    </row>
    <row r="337" spans="1:17" s="279" customFormat="1" ht="32.25" customHeight="1" x14ac:dyDescent="0.2">
      <c r="A337" s="282"/>
      <c r="B337" s="282"/>
      <c r="C337" s="283"/>
      <c r="D337" s="284"/>
      <c r="E337" s="297"/>
      <c r="F337" s="285"/>
      <c r="G337" s="285"/>
      <c r="H337" s="285"/>
      <c r="I337" s="282"/>
      <c r="J337" s="282"/>
      <c r="K337" s="282"/>
      <c r="L337" s="278" t="str">
        <f t="shared" si="39"/>
        <v>Em andamento</v>
      </c>
      <c r="M337" s="306">
        <f t="shared" si="40"/>
        <v>0</v>
      </c>
      <c r="N337" s="305" t="str">
        <f t="shared" si="41"/>
        <v>Dentro do prazo</v>
      </c>
      <c r="O337" s="389">
        <f t="shared" si="36"/>
        <v>0</v>
      </c>
      <c r="P337" s="389">
        <f t="shared" si="37"/>
        <v>0</v>
      </c>
      <c r="Q337" s="309">
        <f t="shared" si="38"/>
        <v>0</v>
      </c>
    </row>
    <row r="338" spans="1:17" s="279" customFormat="1" ht="32.25" customHeight="1" x14ac:dyDescent="0.2">
      <c r="A338" s="282"/>
      <c r="B338" s="282"/>
      <c r="C338" s="283"/>
      <c r="D338" s="284"/>
      <c r="E338" s="297"/>
      <c r="F338" s="285"/>
      <c r="G338" s="285"/>
      <c r="H338" s="285"/>
      <c r="I338" s="282"/>
      <c r="J338" s="282"/>
      <c r="K338" s="282"/>
      <c r="L338" s="278" t="str">
        <f t="shared" si="39"/>
        <v>Em andamento</v>
      </c>
      <c r="M338" s="306">
        <f t="shared" si="40"/>
        <v>0</v>
      </c>
      <c r="N338" s="305" t="str">
        <f t="shared" si="41"/>
        <v>Dentro do prazo</v>
      </c>
      <c r="O338" s="389">
        <f t="shared" si="36"/>
        <v>0</v>
      </c>
      <c r="P338" s="389">
        <f t="shared" si="37"/>
        <v>0</v>
      </c>
      <c r="Q338" s="309">
        <f t="shared" si="38"/>
        <v>0</v>
      </c>
    </row>
    <row r="339" spans="1:17" s="279" customFormat="1" ht="32.25" customHeight="1" x14ac:dyDescent="0.2">
      <c r="A339" s="282"/>
      <c r="B339" s="282"/>
      <c r="C339" s="283"/>
      <c r="D339" s="284"/>
      <c r="E339" s="297"/>
      <c r="F339" s="285"/>
      <c r="G339" s="285"/>
      <c r="H339" s="285"/>
      <c r="I339" s="282"/>
      <c r="J339" s="282"/>
      <c r="K339" s="282"/>
      <c r="L339" s="278" t="str">
        <f t="shared" si="39"/>
        <v>Em andamento</v>
      </c>
      <c r="M339" s="306">
        <f t="shared" si="40"/>
        <v>0</v>
      </c>
      <c r="N339" s="305" t="str">
        <f t="shared" si="41"/>
        <v>Dentro do prazo</v>
      </c>
      <c r="O339" s="389">
        <f t="shared" si="36"/>
        <v>0</v>
      </c>
      <c r="P339" s="389">
        <f t="shared" si="37"/>
        <v>0</v>
      </c>
      <c r="Q339" s="309">
        <f t="shared" si="38"/>
        <v>0</v>
      </c>
    </row>
    <row r="340" spans="1:17" s="279" customFormat="1" ht="32.25" customHeight="1" x14ac:dyDescent="0.2">
      <c r="A340" s="282"/>
      <c r="B340" s="282"/>
      <c r="C340" s="283"/>
      <c r="D340" s="284"/>
      <c r="E340" s="297"/>
      <c r="F340" s="285"/>
      <c r="G340" s="285"/>
      <c r="H340" s="285"/>
      <c r="I340" s="282"/>
      <c r="J340" s="282"/>
      <c r="K340" s="282"/>
      <c r="L340" s="278" t="str">
        <f t="shared" si="39"/>
        <v>Em andamento</v>
      </c>
      <c r="M340" s="306">
        <f t="shared" si="40"/>
        <v>0</v>
      </c>
      <c r="N340" s="305" t="str">
        <f t="shared" si="41"/>
        <v>Dentro do prazo</v>
      </c>
      <c r="O340" s="389">
        <f t="shared" si="36"/>
        <v>0</v>
      </c>
      <c r="P340" s="389">
        <f t="shared" si="37"/>
        <v>0</v>
      </c>
      <c r="Q340" s="309">
        <f t="shared" si="38"/>
        <v>0</v>
      </c>
    </row>
    <row r="341" spans="1:17" s="279" customFormat="1" ht="32.25" customHeight="1" x14ac:dyDescent="0.2">
      <c r="A341" s="282"/>
      <c r="B341" s="282"/>
      <c r="C341" s="283"/>
      <c r="D341" s="284"/>
      <c r="E341" s="297"/>
      <c r="F341" s="285"/>
      <c r="G341" s="285"/>
      <c r="H341" s="285"/>
      <c r="I341" s="282"/>
      <c r="J341" s="282"/>
      <c r="K341" s="282"/>
      <c r="L341" s="278" t="str">
        <f t="shared" si="39"/>
        <v>Em andamento</v>
      </c>
      <c r="M341" s="306">
        <f t="shared" si="40"/>
        <v>0</v>
      </c>
      <c r="N341" s="305" t="str">
        <f t="shared" si="41"/>
        <v>Dentro do prazo</v>
      </c>
      <c r="O341" s="389">
        <f t="shared" si="36"/>
        <v>0</v>
      </c>
      <c r="P341" s="389">
        <f t="shared" si="37"/>
        <v>0</v>
      </c>
      <c r="Q341" s="309">
        <f t="shared" si="38"/>
        <v>0</v>
      </c>
    </row>
    <row r="342" spans="1:17" s="279" customFormat="1" ht="32.25" customHeight="1" x14ac:dyDescent="0.2">
      <c r="A342" s="282"/>
      <c r="B342" s="282"/>
      <c r="C342" s="283"/>
      <c r="D342" s="284"/>
      <c r="E342" s="297"/>
      <c r="F342" s="285"/>
      <c r="G342" s="285"/>
      <c r="H342" s="285"/>
      <c r="I342" s="282"/>
      <c r="J342" s="282"/>
      <c r="K342" s="282"/>
      <c r="L342" s="278" t="str">
        <f t="shared" si="39"/>
        <v>Em andamento</v>
      </c>
      <c r="M342" s="306">
        <f t="shared" si="40"/>
        <v>0</v>
      </c>
      <c r="N342" s="305" t="str">
        <f t="shared" si="41"/>
        <v>Dentro do prazo</v>
      </c>
      <c r="O342" s="389">
        <f t="shared" si="36"/>
        <v>0</v>
      </c>
      <c r="P342" s="389">
        <f t="shared" si="37"/>
        <v>0</v>
      </c>
      <c r="Q342" s="309">
        <f t="shared" si="38"/>
        <v>0</v>
      </c>
    </row>
    <row r="343" spans="1:17" s="279" customFormat="1" ht="32.25" customHeight="1" x14ac:dyDescent="0.2">
      <c r="A343" s="282"/>
      <c r="B343" s="282"/>
      <c r="C343" s="283"/>
      <c r="D343" s="284"/>
      <c r="E343" s="297"/>
      <c r="F343" s="285"/>
      <c r="G343" s="285"/>
      <c r="H343" s="285"/>
      <c r="I343" s="282"/>
      <c r="J343" s="282"/>
      <c r="K343" s="282"/>
      <c r="L343" s="278" t="str">
        <f t="shared" si="39"/>
        <v>Em andamento</v>
      </c>
      <c r="M343" s="306">
        <f t="shared" si="40"/>
        <v>0</v>
      </c>
      <c r="N343" s="305" t="str">
        <f t="shared" si="41"/>
        <v>Dentro do prazo</v>
      </c>
      <c r="O343" s="389">
        <f t="shared" si="36"/>
        <v>0</v>
      </c>
      <c r="P343" s="389">
        <f t="shared" si="37"/>
        <v>0</v>
      </c>
      <c r="Q343" s="309">
        <f t="shared" si="38"/>
        <v>0</v>
      </c>
    </row>
    <row r="344" spans="1:17" s="279" customFormat="1" ht="32.25" customHeight="1" x14ac:dyDescent="0.2">
      <c r="A344" s="282"/>
      <c r="B344" s="282"/>
      <c r="C344" s="283"/>
      <c r="D344" s="284"/>
      <c r="E344" s="297"/>
      <c r="F344" s="285"/>
      <c r="G344" s="285"/>
      <c r="H344" s="285"/>
      <c r="I344" s="282"/>
      <c r="J344" s="282"/>
      <c r="K344" s="282"/>
      <c r="L344" s="278" t="str">
        <f t="shared" si="39"/>
        <v>Em andamento</v>
      </c>
      <c r="M344" s="306">
        <f t="shared" si="40"/>
        <v>0</v>
      </c>
      <c r="N344" s="305" t="str">
        <f t="shared" si="41"/>
        <v>Dentro do prazo</v>
      </c>
      <c r="O344" s="389">
        <f t="shared" si="36"/>
        <v>0</v>
      </c>
      <c r="P344" s="389">
        <f t="shared" si="37"/>
        <v>0</v>
      </c>
      <c r="Q344" s="309">
        <f t="shared" si="38"/>
        <v>0</v>
      </c>
    </row>
    <row r="345" spans="1:17" s="279" customFormat="1" ht="32.25" customHeight="1" x14ac:dyDescent="0.2">
      <c r="A345" s="282"/>
      <c r="B345" s="282"/>
      <c r="C345" s="283"/>
      <c r="D345" s="284"/>
      <c r="E345" s="297"/>
      <c r="F345" s="285"/>
      <c r="G345" s="285"/>
      <c r="H345" s="285"/>
      <c r="I345" s="282"/>
      <c r="J345" s="282"/>
      <c r="K345" s="282"/>
      <c r="L345" s="278" t="str">
        <f t="shared" si="39"/>
        <v>Em andamento</v>
      </c>
      <c r="M345" s="306">
        <f t="shared" si="40"/>
        <v>0</v>
      </c>
      <c r="N345" s="305" t="str">
        <f t="shared" si="41"/>
        <v>Dentro do prazo</v>
      </c>
      <c r="O345" s="389">
        <f t="shared" si="36"/>
        <v>0</v>
      </c>
      <c r="P345" s="389">
        <f t="shared" si="37"/>
        <v>0</v>
      </c>
      <c r="Q345" s="309">
        <f t="shared" si="38"/>
        <v>0</v>
      </c>
    </row>
    <row r="346" spans="1:17" s="279" customFormat="1" ht="32.25" customHeight="1" x14ac:dyDescent="0.2">
      <c r="A346" s="282"/>
      <c r="B346" s="282"/>
      <c r="C346" s="283"/>
      <c r="D346" s="284"/>
      <c r="E346" s="297"/>
      <c r="F346" s="285"/>
      <c r="G346" s="285"/>
      <c r="H346" s="285"/>
      <c r="I346" s="282"/>
      <c r="J346" s="282"/>
      <c r="K346" s="282"/>
      <c r="L346" s="278" t="str">
        <f t="shared" si="39"/>
        <v>Em andamento</v>
      </c>
      <c r="M346" s="306">
        <f t="shared" si="40"/>
        <v>0</v>
      </c>
      <c r="N346" s="305" t="str">
        <f t="shared" si="41"/>
        <v>Dentro do prazo</v>
      </c>
      <c r="O346" s="389">
        <f t="shared" ref="O346:O409" si="42">IFERROR(B346-K346,"-")</f>
        <v>0</v>
      </c>
      <c r="P346" s="389">
        <f t="shared" ref="P346:P409" si="43">IFERROR(IF(K346=0,0,MONTH(K346)),"-")</f>
        <v>0</v>
      </c>
      <c r="Q346" s="309">
        <f t="shared" ref="Q346:Q409" si="44">IFERROR(IF(A346=0,0,MONTH(A346)),"-")</f>
        <v>0</v>
      </c>
    </row>
    <row r="347" spans="1:17" s="279" customFormat="1" ht="32.25" customHeight="1" x14ac:dyDescent="0.2">
      <c r="A347" s="282"/>
      <c r="B347" s="282"/>
      <c r="C347" s="283"/>
      <c r="D347" s="284"/>
      <c r="E347" s="297"/>
      <c r="F347" s="285"/>
      <c r="G347" s="285"/>
      <c r="H347" s="285"/>
      <c r="I347" s="282"/>
      <c r="J347" s="282"/>
      <c r="K347" s="282"/>
      <c r="L347" s="278" t="str">
        <f t="shared" si="39"/>
        <v>Em andamento</v>
      </c>
      <c r="M347" s="306">
        <f t="shared" si="40"/>
        <v>0</v>
      </c>
      <c r="N347" s="305" t="str">
        <f t="shared" si="41"/>
        <v>Dentro do prazo</v>
      </c>
      <c r="O347" s="389">
        <f t="shared" si="42"/>
        <v>0</v>
      </c>
      <c r="P347" s="389">
        <f t="shared" si="43"/>
        <v>0</v>
      </c>
      <c r="Q347" s="309">
        <f t="shared" si="44"/>
        <v>0</v>
      </c>
    </row>
    <row r="348" spans="1:17" s="279" customFormat="1" ht="32.25" customHeight="1" x14ac:dyDescent="0.2">
      <c r="A348" s="282"/>
      <c r="B348" s="282"/>
      <c r="C348" s="283"/>
      <c r="D348" s="284"/>
      <c r="E348" s="297"/>
      <c r="F348" s="285"/>
      <c r="G348" s="285"/>
      <c r="H348" s="285"/>
      <c r="I348" s="282"/>
      <c r="J348" s="282"/>
      <c r="K348" s="282"/>
      <c r="L348" s="278" t="str">
        <f t="shared" si="39"/>
        <v>Em andamento</v>
      </c>
      <c r="M348" s="306">
        <f t="shared" si="40"/>
        <v>0</v>
      </c>
      <c r="N348" s="305" t="str">
        <f t="shared" si="41"/>
        <v>Dentro do prazo</v>
      </c>
      <c r="O348" s="389">
        <f t="shared" si="42"/>
        <v>0</v>
      </c>
      <c r="P348" s="389">
        <f t="shared" si="43"/>
        <v>0</v>
      </c>
      <c r="Q348" s="309">
        <f t="shared" si="44"/>
        <v>0</v>
      </c>
    </row>
    <row r="349" spans="1:17" s="279" customFormat="1" ht="32.25" customHeight="1" x14ac:dyDescent="0.2">
      <c r="A349" s="282"/>
      <c r="B349" s="282"/>
      <c r="C349" s="283"/>
      <c r="D349" s="284"/>
      <c r="E349" s="297"/>
      <c r="F349" s="285"/>
      <c r="G349" s="285"/>
      <c r="H349" s="285"/>
      <c r="I349" s="282"/>
      <c r="J349" s="282"/>
      <c r="K349" s="282"/>
      <c r="L349" s="278" t="str">
        <f t="shared" si="39"/>
        <v>Em andamento</v>
      </c>
      <c r="M349" s="306">
        <f t="shared" si="40"/>
        <v>0</v>
      </c>
      <c r="N349" s="305" t="str">
        <f t="shared" si="41"/>
        <v>Dentro do prazo</v>
      </c>
      <c r="O349" s="389">
        <f t="shared" si="42"/>
        <v>0</v>
      </c>
      <c r="P349" s="389">
        <f t="shared" si="43"/>
        <v>0</v>
      </c>
      <c r="Q349" s="309">
        <f t="shared" si="44"/>
        <v>0</v>
      </c>
    </row>
    <row r="350" spans="1:17" s="279" customFormat="1" ht="32.25" customHeight="1" x14ac:dyDescent="0.2">
      <c r="A350" s="282"/>
      <c r="B350" s="282"/>
      <c r="C350" s="283"/>
      <c r="D350" s="284"/>
      <c r="E350" s="297"/>
      <c r="F350" s="285"/>
      <c r="G350" s="285"/>
      <c r="H350" s="285"/>
      <c r="I350" s="282"/>
      <c r="J350" s="282"/>
      <c r="K350" s="282"/>
      <c r="L350" s="278" t="str">
        <f t="shared" si="39"/>
        <v>Em andamento</v>
      </c>
      <c r="M350" s="306">
        <f t="shared" si="40"/>
        <v>0</v>
      </c>
      <c r="N350" s="305" t="str">
        <f t="shared" si="41"/>
        <v>Dentro do prazo</v>
      </c>
      <c r="O350" s="389">
        <f t="shared" si="42"/>
        <v>0</v>
      </c>
      <c r="P350" s="389">
        <f t="shared" si="43"/>
        <v>0</v>
      </c>
      <c r="Q350" s="309">
        <f t="shared" si="44"/>
        <v>0</v>
      </c>
    </row>
    <row r="351" spans="1:17" s="279" customFormat="1" ht="32.25" customHeight="1" x14ac:dyDescent="0.2">
      <c r="A351" s="282"/>
      <c r="B351" s="282"/>
      <c r="C351" s="283"/>
      <c r="D351" s="284"/>
      <c r="E351" s="297"/>
      <c r="F351" s="285"/>
      <c r="G351" s="285"/>
      <c r="H351" s="285"/>
      <c r="I351" s="282"/>
      <c r="J351" s="282"/>
      <c r="K351" s="282"/>
      <c r="L351" s="278" t="str">
        <f t="shared" si="39"/>
        <v>Em andamento</v>
      </c>
      <c r="M351" s="306">
        <f t="shared" si="40"/>
        <v>0</v>
      </c>
      <c r="N351" s="305" t="str">
        <f t="shared" si="41"/>
        <v>Dentro do prazo</v>
      </c>
      <c r="O351" s="389">
        <f t="shared" si="42"/>
        <v>0</v>
      </c>
      <c r="P351" s="389">
        <f t="shared" si="43"/>
        <v>0</v>
      </c>
      <c r="Q351" s="309">
        <f t="shared" si="44"/>
        <v>0</v>
      </c>
    </row>
    <row r="352" spans="1:17" s="279" customFormat="1" ht="32.25" customHeight="1" x14ac:dyDescent="0.2">
      <c r="A352" s="282"/>
      <c r="B352" s="282"/>
      <c r="C352" s="283"/>
      <c r="D352" s="284"/>
      <c r="E352" s="297"/>
      <c r="F352" s="285"/>
      <c r="G352" s="285"/>
      <c r="H352" s="285"/>
      <c r="I352" s="282"/>
      <c r="J352" s="282"/>
      <c r="K352" s="282"/>
      <c r="L352" s="278" t="str">
        <f t="shared" si="39"/>
        <v>Em andamento</v>
      </c>
      <c r="M352" s="306">
        <f t="shared" si="40"/>
        <v>0</v>
      </c>
      <c r="N352" s="305" t="str">
        <f t="shared" si="41"/>
        <v>Dentro do prazo</v>
      </c>
      <c r="O352" s="389">
        <f t="shared" si="42"/>
        <v>0</v>
      </c>
      <c r="P352" s="389">
        <f t="shared" si="43"/>
        <v>0</v>
      </c>
      <c r="Q352" s="309">
        <f t="shared" si="44"/>
        <v>0</v>
      </c>
    </row>
    <row r="353" spans="1:17" s="279" customFormat="1" ht="32.25" customHeight="1" x14ac:dyDescent="0.2">
      <c r="A353" s="282"/>
      <c r="B353" s="282"/>
      <c r="C353" s="283"/>
      <c r="D353" s="284"/>
      <c r="E353" s="297"/>
      <c r="F353" s="285"/>
      <c r="G353" s="285"/>
      <c r="H353" s="285"/>
      <c r="I353" s="282"/>
      <c r="J353" s="282"/>
      <c r="K353" s="282"/>
      <c r="L353" s="278" t="str">
        <f t="shared" si="39"/>
        <v>Em andamento</v>
      </c>
      <c r="M353" s="306">
        <f t="shared" si="40"/>
        <v>0</v>
      </c>
      <c r="N353" s="305" t="str">
        <f t="shared" si="41"/>
        <v>Dentro do prazo</v>
      </c>
      <c r="O353" s="389">
        <f t="shared" si="42"/>
        <v>0</v>
      </c>
      <c r="P353" s="389">
        <f t="shared" si="43"/>
        <v>0</v>
      </c>
      <c r="Q353" s="309">
        <f t="shared" si="44"/>
        <v>0</v>
      </c>
    </row>
    <row r="354" spans="1:17" s="279" customFormat="1" ht="32.25" customHeight="1" x14ac:dyDescent="0.2">
      <c r="A354" s="282"/>
      <c r="B354" s="282"/>
      <c r="C354" s="283"/>
      <c r="D354" s="284"/>
      <c r="E354" s="297"/>
      <c r="F354" s="285"/>
      <c r="G354" s="285"/>
      <c r="H354" s="285"/>
      <c r="I354" s="282"/>
      <c r="J354" s="282"/>
      <c r="K354" s="282"/>
      <c r="L354" s="278" t="str">
        <f t="shared" si="39"/>
        <v>Em andamento</v>
      </c>
      <c r="M354" s="306">
        <f t="shared" si="40"/>
        <v>0</v>
      </c>
      <c r="N354" s="305" t="str">
        <f t="shared" si="41"/>
        <v>Dentro do prazo</v>
      </c>
      <c r="O354" s="389">
        <f t="shared" si="42"/>
        <v>0</v>
      </c>
      <c r="P354" s="389">
        <f t="shared" si="43"/>
        <v>0</v>
      </c>
      <c r="Q354" s="309">
        <f t="shared" si="44"/>
        <v>0</v>
      </c>
    </row>
    <row r="355" spans="1:17" s="279" customFormat="1" ht="32.25" customHeight="1" x14ac:dyDescent="0.2">
      <c r="A355" s="282"/>
      <c r="B355" s="282"/>
      <c r="C355" s="283"/>
      <c r="D355" s="284"/>
      <c r="E355" s="297"/>
      <c r="F355" s="285"/>
      <c r="G355" s="285"/>
      <c r="H355" s="285"/>
      <c r="I355" s="282"/>
      <c r="J355" s="282"/>
      <c r="K355" s="282"/>
      <c r="L355" s="278" t="str">
        <f t="shared" ref="L355:L418" si="45">IF(K355="-","Cancelado",IF(K355&gt;0,"Concluído","Em andamento"))</f>
        <v>Em andamento</v>
      </c>
      <c r="M355" s="306">
        <f t="shared" ref="M355:M418" si="46">K355-A355</f>
        <v>0</v>
      </c>
      <c r="N355" s="305" t="str">
        <f t="shared" ref="N355:N418" si="47">IFERROR(IF(O355&gt;=0,"Dentro do prazo","Fora do prazo"),"-")</f>
        <v>Dentro do prazo</v>
      </c>
      <c r="O355" s="389">
        <f t="shared" si="42"/>
        <v>0</v>
      </c>
      <c r="P355" s="389">
        <f t="shared" si="43"/>
        <v>0</v>
      </c>
      <c r="Q355" s="309">
        <f t="shared" si="44"/>
        <v>0</v>
      </c>
    </row>
    <row r="356" spans="1:17" s="279" customFormat="1" ht="32.25" customHeight="1" x14ac:dyDescent="0.2">
      <c r="A356" s="282"/>
      <c r="B356" s="282"/>
      <c r="C356" s="283"/>
      <c r="D356" s="284"/>
      <c r="E356" s="297"/>
      <c r="F356" s="285"/>
      <c r="G356" s="285"/>
      <c r="H356" s="285"/>
      <c r="I356" s="282"/>
      <c r="J356" s="282"/>
      <c r="K356" s="282"/>
      <c r="L356" s="278" t="str">
        <f t="shared" si="45"/>
        <v>Em andamento</v>
      </c>
      <c r="M356" s="306">
        <f t="shared" si="46"/>
        <v>0</v>
      </c>
      <c r="N356" s="305" t="str">
        <f t="shared" si="47"/>
        <v>Dentro do prazo</v>
      </c>
      <c r="O356" s="389">
        <f t="shared" si="42"/>
        <v>0</v>
      </c>
      <c r="P356" s="389">
        <f t="shared" si="43"/>
        <v>0</v>
      </c>
      <c r="Q356" s="309">
        <f t="shared" si="44"/>
        <v>0</v>
      </c>
    </row>
    <row r="357" spans="1:17" s="279" customFormat="1" ht="32.25" customHeight="1" x14ac:dyDescent="0.2">
      <c r="A357" s="282"/>
      <c r="B357" s="282"/>
      <c r="C357" s="283"/>
      <c r="D357" s="284"/>
      <c r="E357" s="297"/>
      <c r="F357" s="285"/>
      <c r="G357" s="285"/>
      <c r="H357" s="285"/>
      <c r="I357" s="282"/>
      <c r="J357" s="282"/>
      <c r="K357" s="282"/>
      <c r="L357" s="278" t="str">
        <f t="shared" si="45"/>
        <v>Em andamento</v>
      </c>
      <c r="M357" s="306">
        <f t="shared" si="46"/>
        <v>0</v>
      </c>
      <c r="N357" s="305" t="str">
        <f t="shared" si="47"/>
        <v>Dentro do prazo</v>
      </c>
      <c r="O357" s="389">
        <f t="shared" si="42"/>
        <v>0</v>
      </c>
      <c r="P357" s="389">
        <f t="shared" si="43"/>
        <v>0</v>
      </c>
      <c r="Q357" s="309">
        <f t="shared" si="44"/>
        <v>0</v>
      </c>
    </row>
    <row r="358" spans="1:17" s="279" customFormat="1" ht="32.25" customHeight="1" x14ac:dyDescent="0.2">
      <c r="A358" s="282"/>
      <c r="B358" s="282"/>
      <c r="C358" s="283"/>
      <c r="D358" s="284"/>
      <c r="E358" s="297"/>
      <c r="F358" s="285"/>
      <c r="G358" s="285"/>
      <c r="H358" s="285"/>
      <c r="I358" s="282"/>
      <c r="J358" s="282"/>
      <c r="K358" s="282"/>
      <c r="L358" s="278" t="str">
        <f t="shared" si="45"/>
        <v>Em andamento</v>
      </c>
      <c r="M358" s="306">
        <f t="shared" si="46"/>
        <v>0</v>
      </c>
      <c r="N358" s="305" t="str">
        <f t="shared" si="47"/>
        <v>Dentro do prazo</v>
      </c>
      <c r="O358" s="389">
        <f t="shared" si="42"/>
        <v>0</v>
      </c>
      <c r="P358" s="389">
        <f t="shared" si="43"/>
        <v>0</v>
      </c>
      <c r="Q358" s="309">
        <f t="shared" si="44"/>
        <v>0</v>
      </c>
    </row>
    <row r="359" spans="1:17" s="279" customFormat="1" ht="32.25" customHeight="1" x14ac:dyDescent="0.2">
      <c r="A359" s="282"/>
      <c r="B359" s="282"/>
      <c r="C359" s="283"/>
      <c r="D359" s="284"/>
      <c r="E359" s="297"/>
      <c r="F359" s="285"/>
      <c r="G359" s="285"/>
      <c r="H359" s="285"/>
      <c r="I359" s="282"/>
      <c r="J359" s="282"/>
      <c r="K359" s="282"/>
      <c r="L359" s="278" t="str">
        <f t="shared" si="45"/>
        <v>Em andamento</v>
      </c>
      <c r="M359" s="306">
        <f t="shared" si="46"/>
        <v>0</v>
      </c>
      <c r="N359" s="305" t="str">
        <f t="shared" si="47"/>
        <v>Dentro do prazo</v>
      </c>
      <c r="O359" s="389">
        <f t="shared" si="42"/>
        <v>0</v>
      </c>
      <c r="P359" s="389">
        <f t="shared" si="43"/>
        <v>0</v>
      </c>
      <c r="Q359" s="309">
        <f t="shared" si="44"/>
        <v>0</v>
      </c>
    </row>
    <row r="360" spans="1:17" s="279" customFormat="1" ht="32.25" customHeight="1" x14ac:dyDescent="0.2">
      <c r="A360" s="282"/>
      <c r="B360" s="282"/>
      <c r="C360" s="283"/>
      <c r="D360" s="284"/>
      <c r="E360" s="297"/>
      <c r="F360" s="285"/>
      <c r="G360" s="285"/>
      <c r="H360" s="285"/>
      <c r="I360" s="282"/>
      <c r="J360" s="282"/>
      <c r="K360" s="282"/>
      <c r="L360" s="278" t="str">
        <f t="shared" si="45"/>
        <v>Em andamento</v>
      </c>
      <c r="M360" s="306">
        <f t="shared" si="46"/>
        <v>0</v>
      </c>
      <c r="N360" s="305" t="str">
        <f t="shared" si="47"/>
        <v>Dentro do prazo</v>
      </c>
      <c r="O360" s="389">
        <f t="shared" si="42"/>
        <v>0</v>
      </c>
      <c r="P360" s="389">
        <f t="shared" si="43"/>
        <v>0</v>
      </c>
      <c r="Q360" s="309">
        <f t="shared" si="44"/>
        <v>0</v>
      </c>
    </row>
    <row r="361" spans="1:17" s="279" customFormat="1" ht="32.25" customHeight="1" x14ac:dyDescent="0.2">
      <c r="A361" s="282"/>
      <c r="B361" s="282"/>
      <c r="C361" s="283"/>
      <c r="D361" s="284"/>
      <c r="E361" s="297"/>
      <c r="F361" s="285"/>
      <c r="G361" s="285"/>
      <c r="H361" s="285"/>
      <c r="I361" s="282"/>
      <c r="J361" s="282"/>
      <c r="K361" s="282"/>
      <c r="L361" s="278" t="str">
        <f t="shared" si="45"/>
        <v>Em andamento</v>
      </c>
      <c r="M361" s="306">
        <f t="shared" si="46"/>
        <v>0</v>
      </c>
      <c r="N361" s="305" t="str">
        <f t="shared" si="47"/>
        <v>Dentro do prazo</v>
      </c>
      <c r="O361" s="389">
        <f t="shared" si="42"/>
        <v>0</v>
      </c>
      <c r="P361" s="389">
        <f t="shared" si="43"/>
        <v>0</v>
      </c>
      <c r="Q361" s="309">
        <f t="shared" si="44"/>
        <v>0</v>
      </c>
    </row>
    <row r="362" spans="1:17" s="279" customFormat="1" ht="32.25" customHeight="1" x14ac:dyDescent="0.2">
      <c r="A362" s="282"/>
      <c r="B362" s="282"/>
      <c r="C362" s="283"/>
      <c r="D362" s="284"/>
      <c r="E362" s="297"/>
      <c r="F362" s="285"/>
      <c r="G362" s="285"/>
      <c r="H362" s="285"/>
      <c r="I362" s="282"/>
      <c r="J362" s="282"/>
      <c r="K362" s="282"/>
      <c r="L362" s="278" t="str">
        <f t="shared" si="45"/>
        <v>Em andamento</v>
      </c>
      <c r="M362" s="306">
        <f t="shared" si="46"/>
        <v>0</v>
      </c>
      <c r="N362" s="305" t="str">
        <f t="shared" si="47"/>
        <v>Dentro do prazo</v>
      </c>
      <c r="O362" s="389">
        <f t="shared" si="42"/>
        <v>0</v>
      </c>
      <c r="P362" s="389">
        <f t="shared" si="43"/>
        <v>0</v>
      </c>
      <c r="Q362" s="309">
        <f t="shared" si="44"/>
        <v>0</v>
      </c>
    </row>
    <row r="363" spans="1:17" s="279" customFormat="1" ht="32.25" customHeight="1" x14ac:dyDescent="0.2">
      <c r="A363" s="282"/>
      <c r="B363" s="282"/>
      <c r="C363" s="283"/>
      <c r="D363" s="284"/>
      <c r="E363" s="297"/>
      <c r="F363" s="285"/>
      <c r="G363" s="285"/>
      <c r="H363" s="285"/>
      <c r="I363" s="282"/>
      <c r="J363" s="282"/>
      <c r="K363" s="282"/>
      <c r="L363" s="278" t="str">
        <f t="shared" si="45"/>
        <v>Em andamento</v>
      </c>
      <c r="M363" s="306">
        <f t="shared" si="46"/>
        <v>0</v>
      </c>
      <c r="N363" s="305" t="str">
        <f t="shared" si="47"/>
        <v>Dentro do prazo</v>
      </c>
      <c r="O363" s="389">
        <f t="shared" si="42"/>
        <v>0</v>
      </c>
      <c r="P363" s="389">
        <f t="shared" si="43"/>
        <v>0</v>
      </c>
      <c r="Q363" s="309">
        <f t="shared" si="44"/>
        <v>0</v>
      </c>
    </row>
    <row r="364" spans="1:17" s="279" customFormat="1" ht="32.25" customHeight="1" x14ac:dyDescent="0.2">
      <c r="A364" s="282"/>
      <c r="B364" s="282"/>
      <c r="C364" s="283"/>
      <c r="D364" s="284"/>
      <c r="E364" s="297"/>
      <c r="F364" s="285"/>
      <c r="G364" s="285"/>
      <c r="H364" s="285"/>
      <c r="I364" s="282"/>
      <c r="J364" s="282"/>
      <c r="K364" s="282"/>
      <c r="L364" s="278" t="str">
        <f t="shared" si="45"/>
        <v>Em andamento</v>
      </c>
      <c r="M364" s="306">
        <f t="shared" si="46"/>
        <v>0</v>
      </c>
      <c r="N364" s="305" t="str">
        <f t="shared" si="47"/>
        <v>Dentro do prazo</v>
      </c>
      <c r="O364" s="389">
        <f t="shared" si="42"/>
        <v>0</v>
      </c>
      <c r="P364" s="389">
        <f t="shared" si="43"/>
        <v>0</v>
      </c>
      <c r="Q364" s="309">
        <f t="shared" si="44"/>
        <v>0</v>
      </c>
    </row>
    <row r="365" spans="1:17" s="279" customFormat="1" ht="32.25" customHeight="1" x14ac:dyDescent="0.2">
      <c r="A365" s="282"/>
      <c r="B365" s="282"/>
      <c r="C365" s="283"/>
      <c r="D365" s="284"/>
      <c r="E365" s="297"/>
      <c r="F365" s="285"/>
      <c r="G365" s="285"/>
      <c r="H365" s="285"/>
      <c r="I365" s="282"/>
      <c r="J365" s="282"/>
      <c r="K365" s="282"/>
      <c r="L365" s="278" t="str">
        <f t="shared" si="45"/>
        <v>Em andamento</v>
      </c>
      <c r="M365" s="306">
        <f t="shared" si="46"/>
        <v>0</v>
      </c>
      <c r="N365" s="305" t="str">
        <f t="shared" si="47"/>
        <v>Dentro do prazo</v>
      </c>
      <c r="O365" s="389">
        <f t="shared" si="42"/>
        <v>0</v>
      </c>
      <c r="P365" s="389">
        <f t="shared" si="43"/>
        <v>0</v>
      </c>
      <c r="Q365" s="309">
        <f t="shared" si="44"/>
        <v>0</v>
      </c>
    </row>
    <row r="366" spans="1:17" s="279" customFormat="1" ht="32.25" customHeight="1" x14ac:dyDescent="0.2">
      <c r="A366" s="282"/>
      <c r="B366" s="282"/>
      <c r="C366" s="283"/>
      <c r="D366" s="284"/>
      <c r="E366" s="297"/>
      <c r="F366" s="285"/>
      <c r="G366" s="285"/>
      <c r="H366" s="285"/>
      <c r="I366" s="282"/>
      <c r="J366" s="282"/>
      <c r="K366" s="282"/>
      <c r="L366" s="278" t="str">
        <f t="shared" si="45"/>
        <v>Em andamento</v>
      </c>
      <c r="M366" s="306">
        <f t="shared" si="46"/>
        <v>0</v>
      </c>
      <c r="N366" s="305" t="str">
        <f t="shared" si="47"/>
        <v>Dentro do prazo</v>
      </c>
      <c r="O366" s="389">
        <f t="shared" si="42"/>
        <v>0</v>
      </c>
      <c r="P366" s="389">
        <f t="shared" si="43"/>
        <v>0</v>
      </c>
      <c r="Q366" s="309">
        <f t="shared" si="44"/>
        <v>0</v>
      </c>
    </row>
    <row r="367" spans="1:17" s="279" customFormat="1" ht="32.25" customHeight="1" x14ac:dyDescent="0.2">
      <c r="A367" s="282"/>
      <c r="B367" s="282"/>
      <c r="C367" s="283"/>
      <c r="D367" s="284"/>
      <c r="E367" s="297"/>
      <c r="F367" s="285"/>
      <c r="G367" s="285"/>
      <c r="H367" s="285"/>
      <c r="I367" s="282"/>
      <c r="J367" s="282"/>
      <c r="K367" s="282"/>
      <c r="L367" s="278" t="str">
        <f t="shared" si="45"/>
        <v>Em andamento</v>
      </c>
      <c r="M367" s="306">
        <f t="shared" si="46"/>
        <v>0</v>
      </c>
      <c r="N367" s="305" t="str">
        <f t="shared" si="47"/>
        <v>Dentro do prazo</v>
      </c>
      <c r="O367" s="389">
        <f t="shared" si="42"/>
        <v>0</v>
      </c>
      <c r="P367" s="389">
        <f t="shared" si="43"/>
        <v>0</v>
      </c>
      <c r="Q367" s="309">
        <f t="shared" si="44"/>
        <v>0</v>
      </c>
    </row>
    <row r="368" spans="1:17" s="279" customFormat="1" ht="32.25" customHeight="1" x14ac:dyDescent="0.2">
      <c r="A368" s="282"/>
      <c r="B368" s="282"/>
      <c r="C368" s="283"/>
      <c r="D368" s="284"/>
      <c r="E368" s="297"/>
      <c r="F368" s="285"/>
      <c r="G368" s="285"/>
      <c r="H368" s="285"/>
      <c r="I368" s="282"/>
      <c r="J368" s="282"/>
      <c r="K368" s="282"/>
      <c r="L368" s="278" t="str">
        <f t="shared" si="45"/>
        <v>Em andamento</v>
      </c>
      <c r="M368" s="306">
        <f t="shared" si="46"/>
        <v>0</v>
      </c>
      <c r="N368" s="305" t="str">
        <f t="shared" si="47"/>
        <v>Dentro do prazo</v>
      </c>
      <c r="O368" s="389">
        <f t="shared" si="42"/>
        <v>0</v>
      </c>
      <c r="P368" s="389">
        <f t="shared" si="43"/>
        <v>0</v>
      </c>
      <c r="Q368" s="309">
        <f t="shared" si="44"/>
        <v>0</v>
      </c>
    </row>
    <row r="369" spans="1:17" s="279" customFormat="1" ht="32.25" customHeight="1" x14ac:dyDescent="0.2">
      <c r="A369" s="282"/>
      <c r="B369" s="282"/>
      <c r="C369" s="283"/>
      <c r="D369" s="284"/>
      <c r="E369" s="297"/>
      <c r="F369" s="285"/>
      <c r="G369" s="285"/>
      <c r="H369" s="285"/>
      <c r="I369" s="282"/>
      <c r="J369" s="282"/>
      <c r="K369" s="282"/>
      <c r="L369" s="278" t="str">
        <f t="shared" si="45"/>
        <v>Em andamento</v>
      </c>
      <c r="M369" s="306">
        <f t="shared" si="46"/>
        <v>0</v>
      </c>
      <c r="N369" s="305" t="str">
        <f t="shared" si="47"/>
        <v>Dentro do prazo</v>
      </c>
      <c r="O369" s="389">
        <f t="shared" si="42"/>
        <v>0</v>
      </c>
      <c r="P369" s="389">
        <f t="shared" si="43"/>
        <v>0</v>
      </c>
      <c r="Q369" s="309">
        <f t="shared" si="44"/>
        <v>0</v>
      </c>
    </row>
    <row r="370" spans="1:17" s="279" customFormat="1" ht="32.25" customHeight="1" x14ac:dyDescent="0.2">
      <c r="A370" s="282"/>
      <c r="B370" s="282"/>
      <c r="C370" s="283"/>
      <c r="D370" s="284"/>
      <c r="E370" s="297"/>
      <c r="F370" s="285"/>
      <c r="G370" s="285"/>
      <c r="H370" s="285"/>
      <c r="I370" s="282"/>
      <c r="J370" s="282"/>
      <c r="K370" s="282"/>
      <c r="L370" s="278" t="str">
        <f t="shared" si="45"/>
        <v>Em andamento</v>
      </c>
      <c r="M370" s="306">
        <f t="shared" si="46"/>
        <v>0</v>
      </c>
      <c r="N370" s="305" t="str">
        <f t="shared" si="47"/>
        <v>Dentro do prazo</v>
      </c>
      <c r="O370" s="389">
        <f t="shared" si="42"/>
        <v>0</v>
      </c>
      <c r="P370" s="389">
        <f t="shared" si="43"/>
        <v>0</v>
      </c>
      <c r="Q370" s="309">
        <f t="shared" si="44"/>
        <v>0</v>
      </c>
    </row>
    <row r="371" spans="1:17" s="279" customFormat="1" ht="32.25" customHeight="1" x14ac:dyDescent="0.2">
      <c r="A371" s="282"/>
      <c r="B371" s="282"/>
      <c r="C371" s="283"/>
      <c r="D371" s="284"/>
      <c r="E371" s="297"/>
      <c r="F371" s="285"/>
      <c r="G371" s="285"/>
      <c r="H371" s="285"/>
      <c r="I371" s="282"/>
      <c r="J371" s="282"/>
      <c r="K371" s="282"/>
      <c r="L371" s="278" t="str">
        <f t="shared" si="45"/>
        <v>Em andamento</v>
      </c>
      <c r="M371" s="306">
        <f t="shared" si="46"/>
        <v>0</v>
      </c>
      <c r="N371" s="305" t="str">
        <f t="shared" si="47"/>
        <v>Dentro do prazo</v>
      </c>
      <c r="O371" s="389">
        <f t="shared" si="42"/>
        <v>0</v>
      </c>
      <c r="P371" s="389">
        <f t="shared" si="43"/>
        <v>0</v>
      </c>
      <c r="Q371" s="309">
        <f t="shared" si="44"/>
        <v>0</v>
      </c>
    </row>
    <row r="372" spans="1:17" s="279" customFormat="1" ht="32.25" customHeight="1" x14ac:dyDescent="0.2">
      <c r="A372" s="282"/>
      <c r="B372" s="282"/>
      <c r="C372" s="283"/>
      <c r="D372" s="284"/>
      <c r="E372" s="297"/>
      <c r="F372" s="285"/>
      <c r="G372" s="285"/>
      <c r="H372" s="285"/>
      <c r="I372" s="282"/>
      <c r="J372" s="282"/>
      <c r="K372" s="282"/>
      <c r="L372" s="278" t="str">
        <f t="shared" si="45"/>
        <v>Em andamento</v>
      </c>
      <c r="M372" s="306">
        <f t="shared" si="46"/>
        <v>0</v>
      </c>
      <c r="N372" s="305" t="str">
        <f t="shared" si="47"/>
        <v>Dentro do prazo</v>
      </c>
      <c r="O372" s="389">
        <f t="shared" si="42"/>
        <v>0</v>
      </c>
      <c r="P372" s="389">
        <f t="shared" si="43"/>
        <v>0</v>
      </c>
      <c r="Q372" s="309">
        <f t="shared" si="44"/>
        <v>0</v>
      </c>
    </row>
    <row r="373" spans="1:17" s="279" customFormat="1" ht="32.25" customHeight="1" x14ac:dyDescent="0.2">
      <c r="A373" s="282"/>
      <c r="B373" s="282"/>
      <c r="C373" s="283"/>
      <c r="D373" s="284"/>
      <c r="E373" s="297"/>
      <c r="F373" s="285"/>
      <c r="G373" s="285"/>
      <c r="H373" s="285"/>
      <c r="I373" s="282"/>
      <c r="J373" s="282"/>
      <c r="K373" s="282"/>
      <c r="L373" s="278" t="str">
        <f t="shared" si="45"/>
        <v>Em andamento</v>
      </c>
      <c r="M373" s="306">
        <f t="shared" si="46"/>
        <v>0</v>
      </c>
      <c r="N373" s="305" t="str">
        <f t="shared" si="47"/>
        <v>Dentro do prazo</v>
      </c>
      <c r="O373" s="389">
        <f t="shared" si="42"/>
        <v>0</v>
      </c>
      <c r="P373" s="389">
        <f t="shared" si="43"/>
        <v>0</v>
      </c>
      <c r="Q373" s="309">
        <f t="shared" si="44"/>
        <v>0</v>
      </c>
    </row>
    <row r="374" spans="1:17" s="279" customFormat="1" ht="32.25" customHeight="1" x14ac:dyDescent="0.2">
      <c r="A374" s="282"/>
      <c r="B374" s="282"/>
      <c r="C374" s="283"/>
      <c r="D374" s="284"/>
      <c r="E374" s="297"/>
      <c r="F374" s="285"/>
      <c r="G374" s="285"/>
      <c r="H374" s="285"/>
      <c r="I374" s="282"/>
      <c r="J374" s="282"/>
      <c r="K374" s="282"/>
      <c r="L374" s="278" t="str">
        <f t="shared" si="45"/>
        <v>Em andamento</v>
      </c>
      <c r="M374" s="306">
        <f t="shared" si="46"/>
        <v>0</v>
      </c>
      <c r="N374" s="305" t="str">
        <f t="shared" si="47"/>
        <v>Dentro do prazo</v>
      </c>
      <c r="O374" s="389">
        <f t="shared" si="42"/>
        <v>0</v>
      </c>
      <c r="P374" s="389">
        <f t="shared" si="43"/>
        <v>0</v>
      </c>
      <c r="Q374" s="309">
        <f t="shared" si="44"/>
        <v>0</v>
      </c>
    </row>
    <row r="375" spans="1:17" s="279" customFormat="1" ht="32.25" customHeight="1" x14ac:dyDescent="0.2">
      <c r="A375" s="282"/>
      <c r="B375" s="282"/>
      <c r="C375" s="283"/>
      <c r="D375" s="284"/>
      <c r="E375" s="297"/>
      <c r="F375" s="285"/>
      <c r="G375" s="285"/>
      <c r="H375" s="285"/>
      <c r="I375" s="282"/>
      <c r="J375" s="282"/>
      <c r="K375" s="282"/>
      <c r="L375" s="278" t="str">
        <f t="shared" si="45"/>
        <v>Em andamento</v>
      </c>
      <c r="M375" s="306">
        <f t="shared" si="46"/>
        <v>0</v>
      </c>
      <c r="N375" s="305" t="str">
        <f t="shared" si="47"/>
        <v>Dentro do prazo</v>
      </c>
      <c r="O375" s="389">
        <f t="shared" si="42"/>
        <v>0</v>
      </c>
      <c r="P375" s="389">
        <f t="shared" si="43"/>
        <v>0</v>
      </c>
      <c r="Q375" s="309">
        <f t="shared" si="44"/>
        <v>0</v>
      </c>
    </row>
    <row r="376" spans="1:17" s="279" customFormat="1" ht="32.25" customHeight="1" x14ac:dyDescent="0.2">
      <c r="A376" s="282"/>
      <c r="B376" s="282"/>
      <c r="C376" s="283"/>
      <c r="D376" s="284"/>
      <c r="E376" s="297"/>
      <c r="F376" s="285"/>
      <c r="G376" s="285"/>
      <c r="H376" s="285"/>
      <c r="I376" s="282"/>
      <c r="J376" s="282"/>
      <c r="K376" s="282"/>
      <c r="L376" s="278" t="str">
        <f t="shared" si="45"/>
        <v>Em andamento</v>
      </c>
      <c r="M376" s="306">
        <f t="shared" si="46"/>
        <v>0</v>
      </c>
      <c r="N376" s="305" t="str">
        <f t="shared" si="47"/>
        <v>Dentro do prazo</v>
      </c>
      <c r="O376" s="389">
        <f t="shared" si="42"/>
        <v>0</v>
      </c>
      <c r="P376" s="389">
        <f t="shared" si="43"/>
        <v>0</v>
      </c>
      <c r="Q376" s="309">
        <f t="shared" si="44"/>
        <v>0</v>
      </c>
    </row>
    <row r="377" spans="1:17" s="279" customFormat="1" ht="32.25" customHeight="1" x14ac:dyDescent="0.2">
      <c r="A377" s="282"/>
      <c r="B377" s="282"/>
      <c r="C377" s="283"/>
      <c r="D377" s="284"/>
      <c r="E377" s="297"/>
      <c r="F377" s="285"/>
      <c r="G377" s="285"/>
      <c r="H377" s="285"/>
      <c r="I377" s="282"/>
      <c r="J377" s="282"/>
      <c r="K377" s="282"/>
      <c r="L377" s="278" t="str">
        <f t="shared" si="45"/>
        <v>Em andamento</v>
      </c>
      <c r="M377" s="306">
        <f t="shared" si="46"/>
        <v>0</v>
      </c>
      <c r="N377" s="305" t="str">
        <f t="shared" si="47"/>
        <v>Dentro do prazo</v>
      </c>
      <c r="O377" s="389">
        <f t="shared" si="42"/>
        <v>0</v>
      </c>
      <c r="P377" s="389">
        <f t="shared" si="43"/>
        <v>0</v>
      </c>
      <c r="Q377" s="309">
        <f t="shared" si="44"/>
        <v>0</v>
      </c>
    </row>
    <row r="378" spans="1:17" s="279" customFormat="1" ht="32.25" customHeight="1" x14ac:dyDescent="0.2">
      <c r="A378" s="282"/>
      <c r="B378" s="282"/>
      <c r="C378" s="283"/>
      <c r="D378" s="284"/>
      <c r="E378" s="297"/>
      <c r="F378" s="285"/>
      <c r="G378" s="285"/>
      <c r="H378" s="285"/>
      <c r="I378" s="282"/>
      <c r="J378" s="282"/>
      <c r="K378" s="282"/>
      <c r="L378" s="278" t="str">
        <f t="shared" si="45"/>
        <v>Em andamento</v>
      </c>
      <c r="M378" s="306">
        <f t="shared" si="46"/>
        <v>0</v>
      </c>
      <c r="N378" s="305" t="str">
        <f t="shared" si="47"/>
        <v>Dentro do prazo</v>
      </c>
      <c r="O378" s="389">
        <f t="shared" si="42"/>
        <v>0</v>
      </c>
      <c r="P378" s="389">
        <f t="shared" si="43"/>
        <v>0</v>
      </c>
      <c r="Q378" s="309">
        <f t="shared" si="44"/>
        <v>0</v>
      </c>
    </row>
    <row r="379" spans="1:17" s="279" customFormat="1" ht="32.25" customHeight="1" x14ac:dyDescent="0.2">
      <c r="A379" s="282"/>
      <c r="B379" s="282"/>
      <c r="C379" s="283"/>
      <c r="D379" s="284"/>
      <c r="E379" s="297"/>
      <c r="F379" s="285"/>
      <c r="G379" s="285"/>
      <c r="H379" s="285"/>
      <c r="I379" s="282"/>
      <c r="J379" s="282"/>
      <c r="K379" s="282"/>
      <c r="L379" s="278" t="str">
        <f t="shared" si="45"/>
        <v>Em andamento</v>
      </c>
      <c r="M379" s="306">
        <f t="shared" si="46"/>
        <v>0</v>
      </c>
      <c r="N379" s="305" t="str">
        <f t="shared" si="47"/>
        <v>Dentro do prazo</v>
      </c>
      <c r="O379" s="389">
        <f t="shared" si="42"/>
        <v>0</v>
      </c>
      <c r="P379" s="389">
        <f t="shared" si="43"/>
        <v>0</v>
      </c>
      <c r="Q379" s="309">
        <f t="shared" si="44"/>
        <v>0</v>
      </c>
    </row>
    <row r="380" spans="1:17" s="279" customFormat="1" ht="32.25" customHeight="1" x14ac:dyDescent="0.2">
      <c r="A380" s="282"/>
      <c r="B380" s="282"/>
      <c r="C380" s="283"/>
      <c r="D380" s="284"/>
      <c r="E380" s="297"/>
      <c r="F380" s="285"/>
      <c r="G380" s="285"/>
      <c r="H380" s="285"/>
      <c r="I380" s="282"/>
      <c r="J380" s="282"/>
      <c r="K380" s="282"/>
      <c r="L380" s="278" t="str">
        <f t="shared" si="45"/>
        <v>Em andamento</v>
      </c>
      <c r="M380" s="306">
        <f t="shared" si="46"/>
        <v>0</v>
      </c>
      <c r="N380" s="305" t="str">
        <f t="shared" si="47"/>
        <v>Dentro do prazo</v>
      </c>
      <c r="O380" s="389">
        <f t="shared" si="42"/>
        <v>0</v>
      </c>
      <c r="P380" s="389">
        <f t="shared" si="43"/>
        <v>0</v>
      </c>
      <c r="Q380" s="309">
        <f t="shared" si="44"/>
        <v>0</v>
      </c>
    </row>
    <row r="381" spans="1:17" s="279" customFormat="1" ht="32.25" customHeight="1" x14ac:dyDescent="0.2">
      <c r="A381" s="282"/>
      <c r="B381" s="282"/>
      <c r="C381" s="283"/>
      <c r="D381" s="284"/>
      <c r="E381" s="297"/>
      <c r="F381" s="285"/>
      <c r="G381" s="285"/>
      <c r="H381" s="285"/>
      <c r="I381" s="282"/>
      <c r="J381" s="282"/>
      <c r="K381" s="282"/>
      <c r="L381" s="278" t="str">
        <f t="shared" si="45"/>
        <v>Em andamento</v>
      </c>
      <c r="M381" s="306">
        <f t="shared" si="46"/>
        <v>0</v>
      </c>
      <c r="N381" s="305" t="str">
        <f t="shared" si="47"/>
        <v>Dentro do prazo</v>
      </c>
      <c r="O381" s="389">
        <f t="shared" si="42"/>
        <v>0</v>
      </c>
      <c r="P381" s="389">
        <f t="shared" si="43"/>
        <v>0</v>
      </c>
      <c r="Q381" s="309">
        <f t="shared" si="44"/>
        <v>0</v>
      </c>
    </row>
    <row r="382" spans="1:17" s="279" customFormat="1" ht="32.25" customHeight="1" x14ac:dyDescent="0.2">
      <c r="A382" s="282"/>
      <c r="B382" s="282"/>
      <c r="C382" s="283"/>
      <c r="D382" s="284"/>
      <c r="E382" s="297"/>
      <c r="F382" s="285"/>
      <c r="G382" s="285"/>
      <c r="H382" s="285"/>
      <c r="I382" s="282"/>
      <c r="J382" s="282"/>
      <c r="K382" s="282"/>
      <c r="L382" s="278" t="str">
        <f t="shared" si="45"/>
        <v>Em andamento</v>
      </c>
      <c r="M382" s="306">
        <f t="shared" si="46"/>
        <v>0</v>
      </c>
      <c r="N382" s="305" t="str">
        <f t="shared" si="47"/>
        <v>Dentro do prazo</v>
      </c>
      <c r="O382" s="389">
        <f t="shared" si="42"/>
        <v>0</v>
      </c>
      <c r="P382" s="389">
        <f t="shared" si="43"/>
        <v>0</v>
      </c>
      <c r="Q382" s="309">
        <f t="shared" si="44"/>
        <v>0</v>
      </c>
    </row>
    <row r="383" spans="1:17" s="279" customFormat="1" ht="32.25" customHeight="1" x14ac:dyDescent="0.2">
      <c r="A383" s="282"/>
      <c r="B383" s="282"/>
      <c r="C383" s="283"/>
      <c r="D383" s="284"/>
      <c r="E383" s="297"/>
      <c r="F383" s="285"/>
      <c r="G383" s="285"/>
      <c r="H383" s="285"/>
      <c r="I383" s="282"/>
      <c r="J383" s="282"/>
      <c r="K383" s="282"/>
      <c r="L383" s="278" t="str">
        <f t="shared" si="45"/>
        <v>Em andamento</v>
      </c>
      <c r="M383" s="306">
        <f t="shared" si="46"/>
        <v>0</v>
      </c>
      <c r="N383" s="305" t="str">
        <f t="shared" si="47"/>
        <v>Dentro do prazo</v>
      </c>
      <c r="O383" s="389">
        <f t="shared" si="42"/>
        <v>0</v>
      </c>
      <c r="P383" s="389">
        <f t="shared" si="43"/>
        <v>0</v>
      </c>
      <c r="Q383" s="309">
        <f t="shared" si="44"/>
        <v>0</v>
      </c>
    </row>
    <row r="384" spans="1:17" s="279" customFormat="1" ht="32.25" customHeight="1" x14ac:dyDescent="0.2">
      <c r="A384" s="282"/>
      <c r="B384" s="282"/>
      <c r="C384" s="283"/>
      <c r="D384" s="284"/>
      <c r="E384" s="297"/>
      <c r="F384" s="285"/>
      <c r="G384" s="285"/>
      <c r="H384" s="285"/>
      <c r="I384" s="282"/>
      <c r="J384" s="282"/>
      <c r="K384" s="282"/>
      <c r="L384" s="278" t="str">
        <f t="shared" si="45"/>
        <v>Em andamento</v>
      </c>
      <c r="M384" s="306">
        <f t="shared" si="46"/>
        <v>0</v>
      </c>
      <c r="N384" s="305" t="str">
        <f t="shared" si="47"/>
        <v>Dentro do prazo</v>
      </c>
      <c r="O384" s="389">
        <f t="shared" si="42"/>
        <v>0</v>
      </c>
      <c r="P384" s="389">
        <f t="shared" si="43"/>
        <v>0</v>
      </c>
      <c r="Q384" s="309">
        <f t="shared" si="44"/>
        <v>0</v>
      </c>
    </row>
    <row r="385" spans="1:17" s="279" customFormat="1" ht="32.25" customHeight="1" x14ac:dyDescent="0.2">
      <c r="A385" s="282"/>
      <c r="B385" s="282"/>
      <c r="C385" s="283"/>
      <c r="D385" s="284"/>
      <c r="E385" s="297"/>
      <c r="F385" s="285"/>
      <c r="G385" s="285"/>
      <c r="H385" s="285"/>
      <c r="I385" s="282"/>
      <c r="J385" s="282"/>
      <c r="K385" s="282"/>
      <c r="L385" s="278" t="str">
        <f t="shared" si="45"/>
        <v>Em andamento</v>
      </c>
      <c r="M385" s="306">
        <f t="shared" si="46"/>
        <v>0</v>
      </c>
      <c r="N385" s="305" t="str">
        <f t="shared" si="47"/>
        <v>Dentro do prazo</v>
      </c>
      <c r="O385" s="389">
        <f t="shared" si="42"/>
        <v>0</v>
      </c>
      <c r="P385" s="389">
        <f t="shared" si="43"/>
        <v>0</v>
      </c>
      <c r="Q385" s="309">
        <f t="shared" si="44"/>
        <v>0</v>
      </c>
    </row>
    <row r="386" spans="1:17" s="279" customFormat="1" ht="32.25" customHeight="1" x14ac:dyDescent="0.2">
      <c r="A386" s="282"/>
      <c r="B386" s="282"/>
      <c r="C386" s="283"/>
      <c r="D386" s="284"/>
      <c r="E386" s="297"/>
      <c r="F386" s="285"/>
      <c r="G386" s="285"/>
      <c r="H386" s="285"/>
      <c r="I386" s="282"/>
      <c r="J386" s="282"/>
      <c r="K386" s="282"/>
      <c r="L386" s="278" t="str">
        <f t="shared" si="45"/>
        <v>Em andamento</v>
      </c>
      <c r="M386" s="306">
        <f t="shared" si="46"/>
        <v>0</v>
      </c>
      <c r="N386" s="305" t="str">
        <f t="shared" si="47"/>
        <v>Dentro do prazo</v>
      </c>
      <c r="O386" s="389">
        <f t="shared" si="42"/>
        <v>0</v>
      </c>
      <c r="P386" s="389">
        <f t="shared" si="43"/>
        <v>0</v>
      </c>
      <c r="Q386" s="309">
        <f t="shared" si="44"/>
        <v>0</v>
      </c>
    </row>
    <row r="387" spans="1:17" s="279" customFormat="1" ht="32.25" customHeight="1" x14ac:dyDescent="0.2">
      <c r="A387" s="282"/>
      <c r="B387" s="282"/>
      <c r="C387" s="283"/>
      <c r="D387" s="284"/>
      <c r="E387" s="297"/>
      <c r="F387" s="285"/>
      <c r="G387" s="285"/>
      <c r="H387" s="285"/>
      <c r="I387" s="282"/>
      <c r="J387" s="282"/>
      <c r="K387" s="282"/>
      <c r="L387" s="278" t="str">
        <f t="shared" si="45"/>
        <v>Em andamento</v>
      </c>
      <c r="M387" s="306">
        <f t="shared" si="46"/>
        <v>0</v>
      </c>
      <c r="N387" s="305" t="str">
        <f t="shared" si="47"/>
        <v>Dentro do prazo</v>
      </c>
      <c r="O387" s="389">
        <f t="shared" si="42"/>
        <v>0</v>
      </c>
      <c r="P387" s="389">
        <f t="shared" si="43"/>
        <v>0</v>
      </c>
      <c r="Q387" s="309">
        <f t="shared" si="44"/>
        <v>0</v>
      </c>
    </row>
    <row r="388" spans="1:17" s="279" customFormat="1" ht="32.25" customHeight="1" x14ac:dyDescent="0.2">
      <c r="A388" s="282"/>
      <c r="B388" s="282"/>
      <c r="C388" s="283"/>
      <c r="D388" s="284"/>
      <c r="E388" s="297"/>
      <c r="F388" s="285"/>
      <c r="G388" s="285"/>
      <c r="H388" s="285"/>
      <c r="I388" s="282"/>
      <c r="J388" s="282"/>
      <c r="K388" s="282"/>
      <c r="L388" s="278" t="str">
        <f t="shared" si="45"/>
        <v>Em andamento</v>
      </c>
      <c r="M388" s="306">
        <f t="shared" si="46"/>
        <v>0</v>
      </c>
      <c r="N388" s="305" t="str">
        <f t="shared" si="47"/>
        <v>Dentro do prazo</v>
      </c>
      <c r="O388" s="389">
        <f t="shared" si="42"/>
        <v>0</v>
      </c>
      <c r="P388" s="389">
        <f t="shared" si="43"/>
        <v>0</v>
      </c>
      <c r="Q388" s="309">
        <f t="shared" si="44"/>
        <v>0</v>
      </c>
    </row>
    <row r="389" spans="1:17" s="279" customFormat="1" ht="32.25" customHeight="1" x14ac:dyDescent="0.2">
      <c r="A389" s="282"/>
      <c r="B389" s="282"/>
      <c r="C389" s="283"/>
      <c r="D389" s="284"/>
      <c r="E389" s="297"/>
      <c r="F389" s="285"/>
      <c r="G389" s="285"/>
      <c r="H389" s="285"/>
      <c r="I389" s="282"/>
      <c r="J389" s="282"/>
      <c r="K389" s="282"/>
      <c r="L389" s="278" t="str">
        <f t="shared" si="45"/>
        <v>Em andamento</v>
      </c>
      <c r="M389" s="306">
        <f t="shared" si="46"/>
        <v>0</v>
      </c>
      <c r="N389" s="305" t="str">
        <f t="shared" si="47"/>
        <v>Dentro do prazo</v>
      </c>
      <c r="O389" s="389">
        <f t="shared" si="42"/>
        <v>0</v>
      </c>
      <c r="P389" s="389">
        <f t="shared" si="43"/>
        <v>0</v>
      </c>
      <c r="Q389" s="309">
        <f t="shared" si="44"/>
        <v>0</v>
      </c>
    </row>
    <row r="390" spans="1:17" s="279" customFormat="1" ht="32.25" customHeight="1" x14ac:dyDescent="0.2">
      <c r="A390" s="282"/>
      <c r="B390" s="282"/>
      <c r="C390" s="283"/>
      <c r="D390" s="284"/>
      <c r="E390" s="297"/>
      <c r="F390" s="285"/>
      <c r="G390" s="285"/>
      <c r="H390" s="285"/>
      <c r="I390" s="282"/>
      <c r="J390" s="282"/>
      <c r="K390" s="282"/>
      <c r="L390" s="278" t="str">
        <f t="shared" si="45"/>
        <v>Em andamento</v>
      </c>
      <c r="M390" s="306">
        <f t="shared" si="46"/>
        <v>0</v>
      </c>
      <c r="N390" s="305" t="str">
        <f t="shared" si="47"/>
        <v>Dentro do prazo</v>
      </c>
      <c r="O390" s="389">
        <f t="shared" si="42"/>
        <v>0</v>
      </c>
      <c r="P390" s="389">
        <f t="shared" si="43"/>
        <v>0</v>
      </c>
      <c r="Q390" s="309">
        <f t="shared" si="44"/>
        <v>0</v>
      </c>
    </row>
    <row r="391" spans="1:17" s="279" customFormat="1" ht="32.25" customHeight="1" x14ac:dyDescent="0.2">
      <c r="A391" s="282"/>
      <c r="B391" s="282"/>
      <c r="C391" s="283"/>
      <c r="D391" s="284"/>
      <c r="E391" s="297"/>
      <c r="F391" s="285"/>
      <c r="G391" s="285"/>
      <c r="H391" s="285"/>
      <c r="I391" s="282"/>
      <c r="J391" s="282"/>
      <c r="K391" s="282"/>
      <c r="L391" s="278" t="str">
        <f t="shared" si="45"/>
        <v>Em andamento</v>
      </c>
      <c r="M391" s="306">
        <f t="shared" si="46"/>
        <v>0</v>
      </c>
      <c r="N391" s="305" t="str">
        <f t="shared" si="47"/>
        <v>Dentro do prazo</v>
      </c>
      <c r="O391" s="389">
        <f t="shared" si="42"/>
        <v>0</v>
      </c>
      <c r="P391" s="389">
        <f t="shared" si="43"/>
        <v>0</v>
      </c>
      <c r="Q391" s="309">
        <f t="shared" si="44"/>
        <v>0</v>
      </c>
    </row>
    <row r="392" spans="1:17" s="279" customFormat="1" ht="32.25" customHeight="1" x14ac:dyDescent="0.2">
      <c r="A392" s="282"/>
      <c r="B392" s="282"/>
      <c r="C392" s="283"/>
      <c r="D392" s="284"/>
      <c r="E392" s="297"/>
      <c r="F392" s="285"/>
      <c r="G392" s="285"/>
      <c r="H392" s="285"/>
      <c r="I392" s="282"/>
      <c r="J392" s="282"/>
      <c r="K392" s="282"/>
      <c r="L392" s="278" t="str">
        <f t="shared" si="45"/>
        <v>Em andamento</v>
      </c>
      <c r="M392" s="306">
        <f t="shared" si="46"/>
        <v>0</v>
      </c>
      <c r="N392" s="305" t="str">
        <f t="shared" si="47"/>
        <v>Dentro do prazo</v>
      </c>
      <c r="O392" s="389">
        <f t="shared" si="42"/>
        <v>0</v>
      </c>
      <c r="P392" s="389">
        <f t="shared" si="43"/>
        <v>0</v>
      </c>
      <c r="Q392" s="309">
        <f t="shared" si="44"/>
        <v>0</v>
      </c>
    </row>
    <row r="393" spans="1:17" s="279" customFormat="1" ht="32.25" customHeight="1" x14ac:dyDescent="0.2">
      <c r="A393" s="282"/>
      <c r="B393" s="282"/>
      <c r="C393" s="283"/>
      <c r="D393" s="284"/>
      <c r="E393" s="297"/>
      <c r="F393" s="285"/>
      <c r="G393" s="285"/>
      <c r="H393" s="285"/>
      <c r="I393" s="282"/>
      <c r="J393" s="282"/>
      <c r="K393" s="282"/>
      <c r="L393" s="278" t="str">
        <f t="shared" si="45"/>
        <v>Em andamento</v>
      </c>
      <c r="M393" s="306">
        <f t="shared" si="46"/>
        <v>0</v>
      </c>
      <c r="N393" s="305" t="str">
        <f t="shared" si="47"/>
        <v>Dentro do prazo</v>
      </c>
      <c r="O393" s="389">
        <f t="shared" si="42"/>
        <v>0</v>
      </c>
      <c r="P393" s="389">
        <f t="shared" si="43"/>
        <v>0</v>
      </c>
      <c r="Q393" s="309">
        <f t="shared" si="44"/>
        <v>0</v>
      </c>
    </row>
    <row r="394" spans="1:17" s="279" customFormat="1" ht="32.25" customHeight="1" x14ac:dyDescent="0.2">
      <c r="A394" s="282"/>
      <c r="B394" s="282"/>
      <c r="C394" s="283"/>
      <c r="D394" s="284"/>
      <c r="E394" s="297"/>
      <c r="F394" s="285"/>
      <c r="G394" s="285"/>
      <c r="H394" s="285"/>
      <c r="I394" s="282"/>
      <c r="J394" s="282"/>
      <c r="K394" s="282"/>
      <c r="L394" s="278" t="str">
        <f t="shared" si="45"/>
        <v>Em andamento</v>
      </c>
      <c r="M394" s="306">
        <f t="shared" si="46"/>
        <v>0</v>
      </c>
      <c r="N394" s="305" t="str">
        <f t="shared" si="47"/>
        <v>Dentro do prazo</v>
      </c>
      <c r="O394" s="389">
        <f t="shared" si="42"/>
        <v>0</v>
      </c>
      <c r="P394" s="389">
        <f t="shared" si="43"/>
        <v>0</v>
      </c>
      <c r="Q394" s="309">
        <f t="shared" si="44"/>
        <v>0</v>
      </c>
    </row>
    <row r="395" spans="1:17" s="279" customFormat="1" ht="32.25" customHeight="1" x14ac:dyDescent="0.2">
      <c r="A395" s="282"/>
      <c r="B395" s="282"/>
      <c r="C395" s="283"/>
      <c r="D395" s="284"/>
      <c r="E395" s="297"/>
      <c r="F395" s="285"/>
      <c r="G395" s="285"/>
      <c r="H395" s="285"/>
      <c r="I395" s="282"/>
      <c r="J395" s="282"/>
      <c r="K395" s="282"/>
      <c r="L395" s="278" t="str">
        <f t="shared" si="45"/>
        <v>Em andamento</v>
      </c>
      <c r="M395" s="306">
        <f t="shared" si="46"/>
        <v>0</v>
      </c>
      <c r="N395" s="305" t="str">
        <f t="shared" si="47"/>
        <v>Dentro do prazo</v>
      </c>
      <c r="O395" s="389">
        <f t="shared" si="42"/>
        <v>0</v>
      </c>
      <c r="P395" s="389">
        <f t="shared" si="43"/>
        <v>0</v>
      </c>
      <c r="Q395" s="309">
        <f t="shared" si="44"/>
        <v>0</v>
      </c>
    </row>
    <row r="396" spans="1:17" s="279" customFormat="1" ht="32.25" customHeight="1" x14ac:dyDescent="0.2">
      <c r="A396" s="282"/>
      <c r="B396" s="282"/>
      <c r="C396" s="283"/>
      <c r="D396" s="284"/>
      <c r="E396" s="297"/>
      <c r="F396" s="285"/>
      <c r="G396" s="285"/>
      <c r="H396" s="285"/>
      <c r="I396" s="282"/>
      <c r="J396" s="282"/>
      <c r="K396" s="282"/>
      <c r="L396" s="278" t="str">
        <f t="shared" si="45"/>
        <v>Em andamento</v>
      </c>
      <c r="M396" s="306">
        <f t="shared" si="46"/>
        <v>0</v>
      </c>
      <c r="N396" s="305" t="str">
        <f t="shared" si="47"/>
        <v>Dentro do prazo</v>
      </c>
      <c r="O396" s="389">
        <f t="shared" si="42"/>
        <v>0</v>
      </c>
      <c r="P396" s="389">
        <f t="shared" si="43"/>
        <v>0</v>
      </c>
      <c r="Q396" s="309">
        <f t="shared" si="44"/>
        <v>0</v>
      </c>
    </row>
    <row r="397" spans="1:17" s="279" customFormat="1" ht="32.25" customHeight="1" x14ac:dyDescent="0.2">
      <c r="A397" s="282"/>
      <c r="B397" s="282"/>
      <c r="C397" s="283"/>
      <c r="D397" s="284"/>
      <c r="E397" s="297"/>
      <c r="F397" s="285"/>
      <c r="G397" s="285"/>
      <c r="H397" s="285"/>
      <c r="I397" s="282"/>
      <c r="J397" s="282"/>
      <c r="K397" s="282"/>
      <c r="L397" s="278" t="str">
        <f t="shared" si="45"/>
        <v>Em andamento</v>
      </c>
      <c r="M397" s="306">
        <f t="shared" si="46"/>
        <v>0</v>
      </c>
      <c r="N397" s="305" t="str">
        <f t="shared" si="47"/>
        <v>Dentro do prazo</v>
      </c>
      <c r="O397" s="389">
        <f t="shared" si="42"/>
        <v>0</v>
      </c>
      <c r="P397" s="389">
        <f t="shared" si="43"/>
        <v>0</v>
      </c>
      <c r="Q397" s="309">
        <f t="shared" si="44"/>
        <v>0</v>
      </c>
    </row>
    <row r="398" spans="1:17" s="279" customFormat="1" ht="32.25" customHeight="1" x14ac:dyDescent="0.2">
      <c r="A398" s="282"/>
      <c r="B398" s="282"/>
      <c r="C398" s="283"/>
      <c r="D398" s="284"/>
      <c r="E398" s="297"/>
      <c r="F398" s="285"/>
      <c r="G398" s="285"/>
      <c r="H398" s="285"/>
      <c r="I398" s="282"/>
      <c r="J398" s="282"/>
      <c r="K398" s="282"/>
      <c r="L398" s="278" t="str">
        <f t="shared" si="45"/>
        <v>Em andamento</v>
      </c>
      <c r="M398" s="306">
        <f t="shared" si="46"/>
        <v>0</v>
      </c>
      <c r="N398" s="305" t="str">
        <f t="shared" si="47"/>
        <v>Dentro do prazo</v>
      </c>
      <c r="O398" s="389">
        <f t="shared" si="42"/>
        <v>0</v>
      </c>
      <c r="P398" s="389">
        <f t="shared" si="43"/>
        <v>0</v>
      </c>
      <c r="Q398" s="309">
        <f t="shared" si="44"/>
        <v>0</v>
      </c>
    </row>
    <row r="399" spans="1:17" s="279" customFormat="1" ht="32.25" customHeight="1" x14ac:dyDescent="0.2">
      <c r="A399" s="282"/>
      <c r="B399" s="282"/>
      <c r="C399" s="283"/>
      <c r="D399" s="284"/>
      <c r="E399" s="297"/>
      <c r="F399" s="285"/>
      <c r="G399" s="285"/>
      <c r="H399" s="285"/>
      <c r="I399" s="282"/>
      <c r="J399" s="282"/>
      <c r="K399" s="282"/>
      <c r="L399" s="278" t="str">
        <f t="shared" si="45"/>
        <v>Em andamento</v>
      </c>
      <c r="M399" s="306">
        <f t="shared" si="46"/>
        <v>0</v>
      </c>
      <c r="N399" s="305" t="str">
        <f t="shared" si="47"/>
        <v>Dentro do prazo</v>
      </c>
      <c r="O399" s="389">
        <f t="shared" si="42"/>
        <v>0</v>
      </c>
      <c r="P399" s="389">
        <f t="shared" si="43"/>
        <v>0</v>
      </c>
      <c r="Q399" s="309">
        <f t="shared" si="44"/>
        <v>0</v>
      </c>
    </row>
    <row r="400" spans="1:17" s="279" customFormat="1" ht="32.25" customHeight="1" x14ac:dyDescent="0.2">
      <c r="A400" s="282"/>
      <c r="B400" s="282"/>
      <c r="C400" s="283"/>
      <c r="D400" s="284"/>
      <c r="E400" s="297"/>
      <c r="F400" s="285"/>
      <c r="G400" s="285"/>
      <c r="H400" s="285"/>
      <c r="I400" s="282"/>
      <c r="J400" s="282"/>
      <c r="K400" s="282"/>
      <c r="L400" s="278" t="str">
        <f t="shared" si="45"/>
        <v>Em andamento</v>
      </c>
      <c r="M400" s="306">
        <f t="shared" si="46"/>
        <v>0</v>
      </c>
      <c r="N400" s="305" t="str">
        <f t="shared" si="47"/>
        <v>Dentro do prazo</v>
      </c>
      <c r="O400" s="389">
        <f t="shared" si="42"/>
        <v>0</v>
      </c>
      <c r="P400" s="389">
        <f t="shared" si="43"/>
        <v>0</v>
      </c>
      <c r="Q400" s="309">
        <f t="shared" si="44"/>
        <v>0</v>
      </c>
    </row>
    <row r="401" spans="1:17" s="279" customFormat="1" ht="32.25" customHeight="1" x14ac:dyDescent="0.2">
      <c r="A401" s="282"/>
      <c r="B401" s="282"/>
      <c r="C401" s="283"/>
      <c r="D401" s="284"/>
      <c r="E401" s="297"/>
      <c r="F401" s="285"/>
      <c r="G401" s="285"/>
      <c r="H401" s="285"/>
      <c r="I401" s="282"/>
      <c r="J401" s="282"/>
      <c r="K401" s="282"/>
      <c r="L401" s="278" t="str">
        <f t="shared" si="45"/>
        <v>Em andamento</v>
      </c>
      <c r="M401" s="306">
        <f t="shared" si="46"/>
        <v>0</v>
      </c>
      <c r="N401" s="305" t="str">
        <f t="shared" si="47"/>
        <v>Dentro do prazo</v>
      </c>
      <c r="O401" s="389">
        <f t="shared" si="42"/>
        <v>0</v>
      </c>
      <c r="P401" s="389">
        <f t="shared" si="43"/>
        <v>0</v>
      </c>
      <c r="Q401" s="309">
        <f t="shared" si="44"/>
        <v>0</v>
      </c>
    </row>
    <row r="402" spans="1:17" s="279" customFormat="1" ht="32.25" customHeight="1" x14ac:dyDescent="0.2">
      <c r="A402" s="282"/>
      <c r="B402" s="282"/>
      <c r="C402" s="283"/>
      <c r="D402" s="284"/>
      <c r="E402" s="297"/>
      <c r="F402" s="285"/>
      <c r="G402" s="285"/>
      <c r="H402" s="285"/>
      <c r="I402" s="282"/>
      <c r="J402" s="282"/>
      <c r="K402" s="282"/>
      <c r="L402" s="278" t="str">
        <f t="shared" si="45"/>
        <v>Em andamento</v>
      </c>
      <c r="M402" s="306">
        <f t="shared" si="46"/>
        <v>0</v>
      </c>
      <c r="N402" s="305" t="str">
        <f t="shared" si="47"/>
        <v>Dentro do prazo</v>
      </c>
      <c r="O402" s="389">
        <f t="shared" si="42"/>
        <v>0</v>
      </c>
      <c r="P402" s="389">
        <f t="shared" si="43"/>
        <v>0</v>
      </c>
      <c r="Q402" s="309">
        <f t="shared" si="44"/>
        <v>0</v>
      </c>
    </row>
    <row r="403" spans="1:17" s="279" customFormat="1" ht="32.25" customHeight="1" x14ac:dyDescent="0.2">
      <c r="A403" s="282"/>
      <c r="B403" s="282"/>
      <c r="C403" s="283"/>
      <c r="D403" s="284"/>
      <c r="E403" s="297"/>
      <c r="F403" s="285"/>
      <c r="G403" s="285"/>
      <c r="H403" s="285"/>
      <c r="I403" s="282"/>
      <c r="J403" s="282"/>
      <c r="K403" s="282"/>
      <c r="L403" s="278" t="str">
        <f t="shared" si="45"/>
        <v>Em andamento</v>
      </c>
      <c r="M403" s="306">
        <f t="shared" si="46"/>
        <v>0</v>
      </c>
      <c r="N403" s="305" t="str">
        <f t="shared" si="47"/>
        <v>Dentro do prazo</v>
      </c>
      <c r="O403" s="389">
        <f t="shared" si="42"/>
        <v>0</v>
      </c>
      <c r="P403" s="389">
        <f t="shared" si="43"/>
        <v>0</v>
      </c>
      <c r="Q403" s="309">
        <f t="shared" si="44"/>
        <v>0</v>
      </c>
    </row>
    <row r="404" spans="1:17" s="279" customFormat="1" ht="32.25" customHeight="1" x14ac:dyDescent="0.2">
      <c r="A404" s="282"/>
      <c r="B404" s="282"/>
      <c r="C404" s="283"/>
      <c r="D404" s="284"/>
      <c r="E404" s="297"/>
      <c r="F404" s="285"/>
      <c r="G404" s="285"/>
      <c r="H404" s="285"/>
      <c r="I404" s="282"/>
      <c r="J404" s="282"/>
      <c r="K404" s="282"/>
      <c r="L404" s="278" t="str">
        <f t="shared" si="45"/>
        <v>Em andamento</v>
      </c>
      <c r="M404" s="306">
        <f t="shared" si="46"/>
        <v>0</v>
      </c>
      <c r="N404" s="305" t="str">
        <f t="shared" si="47"/>
        <v>Dentro do prazo</v>
      </c>
      <c r="O404" s="389">
        <f t="shared" si="42"/>
        <v>0</v>
      </c>
      <c r="P404" s="389">
        <f t="shared" si="43"/>
        <v>0</v>
      </c>
      <c r="Q404" s="309">
        <f t="shared" si="44"/>
        <v>0</v>
      </c>
    </row>
    <row r="405" spans="1:17" s="279" customFormat="1" ht="32.25" customHeight="1" x14ac:dyDescent="0.2">
      <c r="A405" s="282"/>
      <c r="B405" s="282"/>
      <c r="C405" s="283"/>
      <c r="D405" s="284"/>
      <c r="E405" s="297"/>
      <c r="F405" s="285"/>
      <c r="G405" s="285"/>
      <c r="H405" s="285"/>
      <c r="I405" s="282"/>
      <c r="J405" s="282"/>
      <c r="K405" s="282"/>
      <c r="L405" s="278" t="str">
        <f t="shared" si="45"/>
        <v>Em andamento</v>
      </c>
      <c r="M405" s="306">
        <f t="shared" si="46"/>
        <v>0</v>
      </c>
      <c r="N405" s="305" t="str">
        <f t="shared" si="47"/>
        <v>Dentro do prazo</v>
      </c>
      <c r="O405" s="389">
        <f t="shared" si="42"/>
        <v>0</v>
      </c>
      <c r="P405" s="389">
        <f t="shared" si="43"/>
        <v>0</v>
      </c>
      <c r="Q405" s="309">
        <f t="shared" si="44"/>
        <v>0</v>
      </c>
    </row>
    <row r="406" spans="1:17" s="279" customFormat="1" ht="32.25" customHeight="1" x14ac:dyDescent="0.2">
      <c r="A406" s="282"/>
      <c r="B406" s="282"/>
      <c r="C406" s="283"/>
      <c r="D406" s="284"/>
      <c r="E406" s="297"/>
      <c r="F406" s="285"/>
      <c r="G406" s="285"/>
      <c r="H406" s="285"/>
      <c r="I406" s="282"/>
      <c r="J406" s="282"/>
      <c r="K406" s="282"/>
      <c r="L406" s="278" t="str">
        <f t="shared" si="45"/>
        <v>Em andamento</v>
      </c>
      <c r="M406" s="306">
        <f t="shared" si="46"/>
        <v>0</v>
      </c>
      <c r="N406" s="305" t="str">
        <f t="shared" si="47"/>
        <v>Dentro do prazo</v>
      </c>
      <c r="O406" s="389">
        <f t="shared" si="42"/>
        <v>0</v>
      </c>
      <c r="P406" s="389">
        <f t="shared" si="43"/>
        <v>0</v>
      </c>
      <c r="Q406" s="309">
        <f t="shared" si="44"/>
        <v>0</v>
      </c>
    </row>
    <row r="407" spans="1:17" s="279" customFormat="1" ht="32.25" customHeight="1" x14ac:dyDescent="0.2">
      <c r="A407" s="282"/>
      <c r="B407" s="282"/>
      <c r="C407" s="283"/>
      <c r="D407" s="284"/>
      <c r="E407" s="297"/>
      <c r="F407" s="285"/>
      <c r="G407" s="285"/>
      <c r="H407" s="285"/>
      <c r="I407" s="282"/>
      <c r="J407" s="282"/>
      <c r="K407" s="282"/>
      <c r="L407" s="278" t="str">
        <f t="shared" si="45"/>
        <v>Em andamento</v>
      </c>
      <c r="M407" s="306">
        <f t="shared" si="46"/>
        <v>0</v>
      </c>
      <c r="N407" s="305" t="str">
        <f t="shared" si="47"/>
        <v>Dentro do prazo</v>
      </c>
      <c r="O407" s="389">
        <f t="shared" si="42"/>
        <v>0</v>
      </c>
      <c r="P407" s="389">
        <f t="shared" si="43"/>
        <v>0</v>
      </c>
      <c r="Q407" s="309">
        <f t="shared" si="44"/>
        <v>0</v>
      </c>
    </row>
    <row r="408" spans="1:17" s="279" customFormat="1" ht="32.25" customHeight="1" x14ac:dyDescent="0.2">
      <c r="A408" s="282"/>
      <c r="B408" s="282"/>
      <c r="C408" s="283"/>
      <c r="D408" s="284"/>
      <c r="E408" s="297"/>
      <c r="F408" s="285"/>
      <c r="G408" s="285"/>
      <c r="H408" s="285"/>
      <c r="I408" s="282"/>
      <c r="J408" s="282"/>
      <c r="K408" s="282"/>
      <c r="L408" s="278" t="str">
        <f t="shared" si="45"/>
        <v>Em andamento</v>
      </c>
      <c r="M408" s="306">
        <f t="shared" si="46"/>
        <v>0</v>
      </c>
      <c r="N408" s="305" t="str">
        <f t="shared" si="47"/>
        <v>Dentro do prazo</v>
      </c>
      <c r="O408" s="389">
        <f t="shared" si="42"/>
        <v>0</v>
      </c>
      <c r="P408" s="389">
        <f t="shared" si="43"/>
        <v>0</v>
      </c>
      <c r="Q408" s="309">
        <f t="shared" si="44"/>
        <v>0</v>
      </c>
    </row>
    <row r="409" spans="1:17" s="279" customFormat="1" ht="32.25" customHeight="1" x14ac:dyDescent="0.2">
      <c r="A409" s="282"/>
      <c r="B409" s="282"/>
      <c r="C409" s="283"/>
      <c r="D409" s="284"/>
      <c r="E409" s="297"/>
      <c r="F409" s="285"/>
      <c r="G409" s="285"/>
      <c r="H409" s="285"/>
      <c r="I409" s="282"/>
      <c r="J409" s="282"/>
      <c r="K409" s="282"/>
      <c r="L409" s="278" t="str">
        <f t="shared" si="45"/>
        <v>Em andamento</v>
      </c>
      <c r="M409" s="306">
        <f t="shared" si="46"/>
        <v>0</v>
      </c>
      <c r="N409" s="305" t="str">
        <f t="shared" si="47"/>
        <v>Dentro do prazo</v>
      </c>
      <c r="O409" s="389">
        <f t="shared" si="42"/>
        <v>0</v>
      </c>
      <c r="P409" s="389">
        <f t="shared" si="43"/>
        <v>0</v>
      </c>
      <c r="Q409" s="309">
        <f t="shared" si="44"/>
        <v>0</v>
      </c>
    </row>
    <row r="410" spans="1:17" s="279" customFormat="1" ht="32.25" customHeight="1" x14ac:dyDescent="0.2">
      <c r="A410" s="282"/>
      <c r="B410" s="282"/>
      <c r="C410" s="283"/>
      <c r="D410" s="284"/>
      <c r="E410" s="297"/>
      <c r="F410" s="285"/>
      <c r="G410" s="285"/>
      <c r="H410" s="285"/>
      <c r="I410" s="282"/>
      <c r="J410" s="282"/>
      <c r="K410" s="282"/>
      <c r="L410" s="278" t="str">
        <f t="shared" si="45"/>
        <v>Em andamento</v>
      </c>
      <c r="M410" s="306">
        <f t="shared" si="46"/>
        <v>0</v>
      </c>
      <c r="N410" s="305" t="str">
        <f t="shared" si="47"/>
        <v>Dentro do prazo</v>
      </c>
      <c r="O410" s="389">
        <f t="shared" ref="O410:O468" si="48">IFERROR(B410-K410,"-")</f>
        <v>0</v>
      </c>
      <c r="P410" s="389">
        <f t="shared" ref="P410:P468" si="49">IFERROR(IF(K410=0,0,MONTH(K410)),"-")</f>
        <v>0</v>
      </c>
      <c r="Q410" s="309">
        <f t="shared" ref="Q410:Q468" si="50">IFERROR(IF(A410=0,0,MONTH(A410)),"-")</f>
        <v>0</v>
      </c>
    </row>
    <row r="411" spans="1:17" s="279" customFormat="1" ht="32.25" customHeight="1" x14ac:dyDescent="0.2">
      <c r="A411" s="282"/>
      <c r="B411" s="282"/>
      <c r="C411" s="283"/>
      <c r="D411" s="284"/>
      <c r="E411" s="297"/>
      <c r="F411" s="285"/>
      <c r="G411" s="285"/>
      <c r="H411" s="285"/>
      <c r="I411" s="282"/>
      <c r="J411" s="282"/>
      <c r="K411" s="282"/>
      <c r="L411" s="278" t="str">
        <f t="shared" si="45"/>
        <v>Em andamento</v>
      </c>
      <c r="M411" s="306">
        <f t="shared" si="46"/>
        <v>0</v>
      </c>
      <c r="N411" s="305" t="str">
        <f t="shared" si="47"/>
        <v>Dentro do prazo</v>
      </c>
      <c r="O411" s="389">
        <f t="shared" si="48"/>
        <v>0</v>
      </c>
      <c r="P411" s="389">
        <f t="shared" si="49"/>
        <v>0</v>
      </c>
      <c r="Q411" s="309">
        <f t="shared" si="50"/>
        <v>0</v>
      </c>
    </row>
    <row r="412" spans="1:17" s="279" customFormat="1" ht="32.25" customHeight="1" x14ac:dyDescent="0.2">
      <c r="A412" s="282"/>
      <c r="B412" s="282"/>
      <c r="C412" s="283"/>
      <c r="D412" s="284"/>
      <c r="E412" s="297"/>
      <c r="F412" s="285"/>
      <c r="G412" s="285"/>
      <c r="H412" s="285"/>
      <c r="I412" s="282"/>
      <c r="J412" s="282"/>
      <c r="K412" s="282"/>
      <c r="L412" s="278" t="str">
        <f t="shared" si="45"/>
        <v>Em andamento</v>
      </c>
      <c r="M412" s="306">
        <f t="shared" si="46"/>
        <v>0</v>
      </c>
      <c r="N412" s="305" t="str">
        <f t="shared" si="47"/>
        <v>Dentro do prazo</v>
      </c>
      <c r="O412" s="389">
        <f t="shared" si="48"/>
        <v>0</v>
      </c>
      <c r="P412" s="389">
        <f t="shared" si="49"/>
        <v>0</v>
      </c>
      <c r="Q412" s="309">
        <f t="shared" si="50"/>
        <v>0</v>
      </c>
    </row>
    <row r="413" spans="1:17" s="279" customFormat="1" ht="32.25" customHeight="1" x14ac:dyDescent="0.2">
      <c r="A413" s="282"/>
      <c r="B413" s="282"/>
      <c r="C413" s="283"/>
      <c r="D413" s="284"/>
      <c r="E413" s="297"/>
      <c r="F413" s="285"/>
      <c r="G413" s="285"/>
      <c r="H413" s="285"/>
      <c r="I413" s="282"/>
      <c r="J413" s="282"/>
      <c r="K413" s="282"/>
      <c r="L413" s="278" t="str">
        <f t="shared" si="45"/>
        <v>Em andamento</v>
      </c>
      <c r="M413" s="306">
        <f t="shared" si="46"/>
        <v>0</v>
      </c>
      <c r="N413" s="305" t="str">
        <f t="shared" si="47"/>
        <v>Dentro do prazo</v>
      </c>
      <c r="O413" s="389">
        <f t="shared" si="48"/>
        <v>0</v>
      </c>
      <c r="P413" s="389">
        <f t="shared" si="49"/>
        <v>0</v>
      </c>
      <c r="Q413" s="309">
        <f t="shared" si="50"/>
        <v>0</v>
      </c>
    </row>
    <row r="414" spans="1:17" s="279" customFormat="1" ht="32.25" customHeight="1" x14ac:dyDescent="0.2">
      <c r="A414" s="282"/>
      <c r="B414" s="282"/>
      <c r="C414" s="283"/>
      <c r="D414" s="284"/>
      <c r="E414" s="297"/>
      <c r="F414" s="285"/>
      <c r="G414" s="285"/>
      <c r="H414" s="285"/>
      <c r="I414" s="282"/>
      <c r="J414" s="282"/>
      <c r="K414" s="282"/>
      <c r="L414" s="278" t="str">
        <f t="shared" si="45"/>
        <v>Em andamento</v>
      </c>
      <c r="M414" s="306">
        <f t="shared" si="46"/>
        <v>0</v>
      </c>
      <c r="N414" s="305" t="str">
        <f t="shared" si="47"/>
        <v>Dentro do prazo</v>
      </c>
      <c r="O414" s="389">
        <f t="shared" si="48"/>
        <v>0</v>
      </c>
      <c r="P414" s="389">
        <f t="shared" si="49"/>
        <v>0</v>
      </c>
      <c r="Q414" s="309">
        <f t="shared" si="50"/>
        <v>0</v>
      </c>
    </row>
    <row r="415" spans="1:17" s="279" customFormat="1" ht="32.25" customHeight="1" x14ac:dyDescent="0.2">
      <c r="A415" s="282"/>
      <c r="B415" s="282"/>
      <c r="C415" s="283"/>
      <c r="D415" s="284"/>
      <c r="E415" s="297"/>
      <c r="F415" s="285"/>
      <c r="G415" s="285"/>
      <c r="H415" s="285"/>
      <c r="I415" s="282"/>
      <c r="J415" s="282"/>
      <c r="K415" s="282"/>
      <c r="L415" s="278" t="str">
        <f t="shared" si="45"/>
        <v>Em andamento</v>
      </c>
      <c r="M415" s="306">
        <f t="shared" si="46"/>
        <v>0</v>
      </c>
      <c r="N415" s="305" t="str">
        <f t="shared" si="47"/>
        <v>Dentro do prazo</v>
      </c>
      <c r="O415" s="389">
        <f t="shared" si="48"/>
        <v>0</v>
      </c>
      <c r="P415" s="389">
        <f t="shared" si="49"/>
        <v>0</v>
      </c>
      <c r="Q415" s="309">
        <f t="shared" si="50"/>
        <v>0</v>
      </c>
    </row>
    <row r="416" spans="1:17" s="279" customFormat="1" ht="32.25" customHeight="1" x14ac:dyDescent="0.2">
      <c r="A416" s="282"/>
      <c r="B416" s="282"/>
      <c r="C416" s="283"/>
      <c r="D416" s="284"/>
      <c r="E416" s="297"/>
      <c r="F416" s="285"/>
      <c r="G416" s="285"/>
      <c r="H416" s="285"/>
      <c r="I416" s="282"/>
      <c r="J416" s="282"/>
      <c r="K416" s="282"/>
      <c r="L416" s="278" t="str">
        <f t="shared" si="45"/>
        <v>Em andamento</v>
      </c>
      <c r="M416" s="306">
        <f t="shared" si="46"/>
        <v>0</v>
      </c>
      <c r="N416" s="305" t="str">
        <f t="shared" si="47"/>
        <v>Dentro do prazo</v>
      </c>
      <c r="O416" s="389">
        <f t="shared" si="48"/>
        <v>0</v>
      </c>
      <c r="P416" s="389">
        <f t="shared" si="49"/>
        <v>0</v>
      </c>
      <c r="Q416" s="309">
        <f t="shared" si="50"/>
        <v>0</v>
      </c>
    </row>
    <row r="417" spans="1:17" s="279" customFormat="1" ht="32.25" customHeight="1" x14ac:dyDescent="0.2">
      <c r="A417" s="282"/>
      <c r="B417" s="282"/>
      <c r="C417" s="283"/>
      <c r="D417" s="284"/>
      <c r="E417" s="297"/>
      <c r="F417" s="285"/>
      <c r="G417" s="285"/>
      <c r="H417" s="285"/>
      <c r="I417" s="282"/>
      <c r="J417" s="282"/>
      <c r="K417" s="282"/>
      <c r="L417" s="278" t="str">
        <f t="shared" si="45"/>
        <v>Em andamento</v>
      </c>
      <c r="M417" s="306">
        <f t="shared" si="46"/>
        <v>0</v>
      </c>
      <c r="N417" s="305" t="str">
        <f t="shared" si="47"/>
        <v>Dentro do prazo</v>
      </c>
      <c r="O417" s="389">
        <f t="shared" si="48"/>
        <v>0</v>
      </c>
      <c r="P417" s="389">
        <f t="shared" si="49"/>
        <v>0</v>
      </c>
      <c r="Q417" s="309">
        <f t="shared" si="50"/>
        <v>0</v>
      </c>
    </row>
    <row r="418" spans="1:17" s="279" customFormat="1" ht="32.25" customHeight="1" x14ac:dyDescent="0.2">
      <c r="A418" s="282"/>
      <c r="B418" s="282"/>
      <c r="C418" s="283"/>
      <c r="D418" s="284"/>
      <c r="E418" s="297"/>
      <c r="F418" s="285"/>
      <c r="G418" s="285"/>
      <c r="H418" s="285"/>
      <c r="I418" s="282"/>
      <c r="J418" s="282"/>
      <c r="K418" s="282"/>
      <c r="L418" s="278" t="str">
        <f t="shared" si="45"/>
        <v>Em andamento</v>
      </c>
      <c r="M418" s="306">
        <f t="shared" si="46"/>
        <v>0</v>
      </c>
      <c r="N418" s="305" t="str">
        <f t="shared" si="47"/>
        <v>Dentro do prazo</v>
      </c>
      <c r="O418" s="389">
        <f t="shared" si="48"/>
        <v>0</v>
      </c>
      <c r="P418" s="389">
        <f t="shared" si="49"/>
        <v>0</v>
      </c>
      <c r="Q418" s="309">
        <f t="shared" si="50"/>
        <v>0</v>
      </c>
    </row>
    <row r="419" spans="1:17" s="279" customFormat="1" ht="32.25" customHeight="1" x14ac:dyDescent="0.2">
      <c r="A419" s="282"/>
      <c r="B419" s="282"/>
      <c r="C419" s="283"/>
      <c r="D419" s="284"/>
      <c r="E419" s="297"/>
      <c r="F419" s="285"/>
      <c r="G419" s="285"/>
      <c r="H419" s="285"/>
      <c r="I419" s="282"/>
      <c r="J419" s="282"/>
      <c r="K419" s="282"/>
      <c r="L419" s="278" t="str">
        <f t="shared" ref="L419:L468" si="51">IF(K419="-","Cancelado",IF(K419&gt;0,"Concluído","Em andamento"))</f>
        <v>Em andamento</v>
      </c>
      <c r="M419" s="306">
        <f t="shared" ref="M419:M468" si="52">K419-A419</f>
        <v>0</v>
      </c>
      <c r="N419" s="305" t="str">
        <f t="shared" ref="N419:N468" si="53">IFERROR(IF(O419&gt;=0,"Dentro do prazo","Fora do prazo"),"-")</f>
        <v>Dentro do prazo</v>
      </c>
      <c r="O419" s="389">
        <f t="shared" si="48"/>
        <v>0</v>
      </c>
      <c r="P419" s="389">
        <f t="shared" si="49"/>
        <v>0</v>
      </c>
      <c r="Q419" s="309">
        <f t="shared" si="50"/>
        <v>0</v>
      </c>
    </row>
    <row r="420" spans="1:17" s="279" customFormat="1" ht="32.25" customHeight="1" x14ac:dyDescent="0.2">
      <c r="A420" s="282"/>
      <c r="B420" s="282"/>
      <c r="C420" s="283"/>
      <c r="D420" s="284"/>
      <c r="E420" s="297"/>
      <c r="F420" s="285"/>
      <c r="G420" s="285"/>
      <c r="H420" s="285"/>
      <c r="I420" s="282"/>
      <c r="J420" s="282"/>
      <c r="K420" s="282"/>
      <c r="L420" s="278" t="str">
        <f t="shared" si="51"/>
        <v>Em andamento</v>
      </c>
      <c r="M420" s="306">
        <f t="shared" si="52"/>
        <v>0</v>
      </c>
      <c r="N420" s="305" t="str">
        <f t="shared" si="53"/>
        <v>Dentro do prazo</v>
      </c>
      <c r="O420" s="389">
        <f t="shared" si="48"/>
        <v>0</v>
      </c>
      <c r="P420" s="389">
        <f t="shared" si="49"/>
        <v>0</v>
      </c>
      <c r="Q420" s="309">
        <f t="shared" si="50"/>
        <v>0</v>
      </c>
    </row>
    <row r="421" spans="1:17" s="279" customFormat="1" ht="32.25" customHeight="1" x14ac:dyDescent="0.2">
      <c r="A421" s="282"/>
      <c r="B421" s="282"/>
      <c r="C421" s="283"/>
      <c r="D421" s="284"/>
      <c r="E421" s="297"/>
      <c r="F421" s="285"/>
      <c r="G421" s="285"/>
      <c r="H421" s="285"/>
      <c r="I421" s="282"/>
      <c r="J421" s="282"/>
      <c r="K421" s="282"/>
      <c r="L421" s="278" t="str">
        <f t="shared" si="51"/>
        <v>Em andamento</v>
      </c>
      <c r="M421" s="306">
        <f t="shared" si="52"/>
        <v>0</v>
      </c>
      <c r="N421" s="305" t="str">
        <f t="shared" si="53"/>
        <v>Dentro do prazo</v>
      </c>
      <c r="O421" s="389">
        <f t="shared" si="48"/>
        <v>0</v>
      </c>
      <c r="P421" s="389">
        <f t="shared" si="49"/>
        <v>0</v>
      </c>
      <c r="Q421" s="309">
        <f t="shared" si="50"/>
        <v>0</v>
      </c>
    </row>
    <row r="422" spans="1:17" s="279" customFormat="1" ht="32.25" customHeight="1" x14ac:dyDescent="0.2">
      <c r="A422" s="282"/>
      <c r="B422" s="282"/>
      <c r="C422" s="283"/>
      <c r="D422" s="284"/>
      <c r="E422" s="297"/>
      <c r="F422" s="285"/>
      <c r="G422" s="285"/>
      <c r="H422" s="285"/>
      <c r="I422" s="282"/>
      <c r="J422" s="282"/>
      <c r="K422" s="282"/>
      <c r="L422" s="278" t="str">
        <f t="shared" si="51"/>
        <v>Em andamento</v>
      </c>
      <c r="M422" s="306">
        <f t="shared" si="52"/>
        <v>0</v>
      </c>
      <c r="N422" s="305" t="str">
        <f t="shared" si="53"/>
        <v>Dentro do prazo</v>
      </c>
      <c r="O422" s="389">
        <f t="shared" si="48"/>
        <v>0</v>
      </c>
      <c r="P422" s="389">
        <f t="shared" si="49"/>
        <v>0</v>
      </c>
      <c r="Q422" s="309">
        <f t="shared" si="50"/>
        <v>0</v>
      </c>
    </row>
    <row r="423" spans="1:17" s="279" customFormat="1" ht="32.25" customHeight="1" x14ac:dyDescent="0.2">
      <c r="A423" s="282"/>
      <c r="B423" s="282"/>
      <c r="C423" s="283"/>
      <c r="D423" s="284"/>
      <c r="E423" s="297"/>
      <c r="F423" s="285"/>
      <c r="G423" s="285"/>
      <c r="H423" s="285"/>
      <c r="I423" s="282"/>
      <c r="J423" s="282"/>
      <c r="K423" s="282"/>
      <c r="L423" s="278" t="str">
        <f t="shared" si="51"/>
        <v>Em andamento</v>
      </c>
      <c r="M423" s="306">
        <f t="shared" si="52"/>
        <v>0</v>
      </c>
      <c r="N423" s="305" t="str">
        <f t="shared" si="53"/>
        <v>Dentro do prazo</v>
      </c>
      <c r="O423" s="389">
        <f t="shared" si="48"/>
        <v>0</v>
      </c>
      <c r="P423" s="389">
        <f t="shared" si="49"/>
        <v>0</v>
      </c>
      <c r="Q423" s="309">
        <f t="shared" si="50"/>
        <v>0</v>
      </c>
    </row>
    <row r="424" spans="1:17" s="279" customFormat="1" ht="32.25" customHeight="1" x14ac:dyDescent="0.2">
      <c r="A424" s="282"/>
      <c r="B424" s="282"/>
      <c r="C424" s="283"/>
      <c r="D424" s="284"/>
      <c r="E424" s="297"/>
      <c r="F424" s="285"/>
      <c r="G424" s="285"/>
      <c r="H424" s="285"/>
      <c r="I424" s="282"/>
      <c r="J424" s="282"/>
      <c r="K424" s="282"/>
      <c r="L424" s="278" t="str">
        <f t="shared" si="51"/>
        <v>Em andamento</v>
      </c>
      <c r="M424" s="306">
        <f t="shared" si="52"/>
        <v>0</v>
      </c>
      <c r="N424" s="305" t="str">
        <f t="shared" si="53"/>
        <v>Dentro do prazo</v>
      </c>
      <c r="O424" s="389">
        <f t="shared" si="48"/>
        <v>0</v>
      </c>
      <c r="P424" s="389">
        <f t="shared" si="49"/>
        <v>0</v>
      </c>
      <c r="Q424" s="309">
        <f t="shared" si="50"/>
        <v>0</v>
      </c>
    </row>
    <row r="425" spans="1:17" s="279" customFormat="1" ht="32.25" customHeight="1" x14ac:dyDescent="0.2">
      <c r="A425" s="282"/>
      <c r="B425" s="282"/>
      <c r="C425" s="283"/>
      <c r="D425" s="284"/>
      <c r="E425" s="297"/>
      <c r="F425" s="285"/>
      <c r="G425" s="285"/>
      <c r="H425" s="285"/>
      <c r="I425" s="282"/>
      <c r="J425" s="282"/>
      <c r="K425" s="282"/>
      <c r="L425" s="278" t="str">
        <f t="shared" si="51"/>
        <v>Em andamento</v>
      </c>
      <c r="M425" s="306">
        <f t="shared" si="52"/>
        <v>0</v>
      </c>
      <c r="N425" s="305" t="str">
        <f t="shared" si="53"/>
        <v>Dentro do prazo</v>
      </c>
      <c r="O425" s="389">
        <f t="shared" si="48"/>
        <v>0</v>
      </c>
      <c r="P425" s="389">
        <f t="shared" si="49"/>
        <v>0</v>
      </c>
      <c r="Q425" s="309">
        <f t="shared" si="50"/>
        <v>0</v>
      </c>
    </row>
    <row r="426" spans="1:17" s="279" customFormat="1" ht="32.25" customHeight="1" x14ac:dyDescent="0.2">
      <c r="A426" s="282"/>
      <c r="B426" s="282"/>
      <c r="C426" s="283"/>
      <c r="D426" s="284"/>
      <c r="E426" s="297"/>
      <c r="F426" s="285"/>
      <c r="G426" s="285"/>
      <c r="H426" s="285"/>
      <c r="I426" s="282"/>
      <c r="J426" s="282"/>
      <c r="K426" s="282"/>
      <c r="L426" s="278" t="str">
        <f t="shared" si="51"/>
        <v>Em andamento</v>
      </c>
      <c r="M426" s="306">
        <f t="shared" si="52"/>
        <v>0</v>
      </c>
      <c r="N426" s="305" t="str">
        <f t="shared" si="53"/>
        <v>Dentro do prazo</v>
      </c>
      <c r="O426" s="389">
        <f t="shared" si="48"/>
        <v>0</v>
      </c>
      <c r="P426" s="389">
        <f t="shared" si="49"/>
        <v>0</v>
      </c>
      <c r="Q426" s="309">
        <f t="shared" si="50"/>
        <v>0</v>
      </c>
    </row>
    <row r="427" spans="1:17" s="279" customFormat="1" ht="32.25" customHeight="1" x14ac:dyDescent="0.2">
      <c r="A427" s="282"/>
      <c r="B427" s="282"/>
      <c r="C427" s="283"/>
      <c r="D427" s="284"/>
      <c r="E427" s="297"/>
      <c r="F427" s="285"/>
      <c r="G427" s="285"/>
      <c r="H427" s="285"/>
      <c r="I427" s="282"/>
      <c r="J427" s="282"/>
      <c r="K427" s="282"/>
      <c r="L427" s="278" t="str">
        <f t="shared" si="51"/>
        <v>Em andamento</v>
      </c>
      <c r="M427" s="306">
        <f t="shared" si="52"/>
        <v>0</v>
      </c>
      <c r="N427" s="305" t="str">
        <f t="shared" si="53"/>
        <v>Dentro do prazo</v>
      </c>
      <c r="O427" s="389">
        <f t="shared" si="48"/>
        <v>0</v>
      </c>
      <c r="P427" s="389">
        <f t="shared" si="49"/>
        <v>0</v>
      </c>
      <c r="Q427" s="309">
        <f t="shared" si="50"/>
        <v>0</v>
      </c>
    </row>
    <row r="428" spans="1:17" s="279" customFormat="1" ht="32.25" customHeight="1" x14ac:dyDescent="0.2">
      <c r="A428" s="282"/>
      <c r="B428" s="282"/>
      <c r="C428" s="283"/>
      <c r="D428" s="284"/>
      <c r="E428" s="297"/>
      <c r="F428" s="285"/>
      <c r="G428" s="285"/>
      <c r="H428" s="285"/>
      <c r="I428" s="282"/>
      <c r="J428" s="282"/>
      <c r="K428" s="282"/>
      <c r="L428" s="278" t="str">
        <f t="shared" si="51"/>
        <v>Em andamento</v>
      </c>
      <c r="M428" s="306">
        <f t="shared" si="52"/>
        <v>0</v>
      </c>
      <c r="N428" s="305" t="str">
        <f t="shared" si="53"/>
        <v>Dentro do prazo</v>
      </c>
      <c r="O428" s="389">
        <f t="shared" si="48"/>
        <v>0</v>
      </c>
      <c r="P428" s="389">
        <f t="shared" si="49"/>
        <v>0</v>
      </c>
      <c r="Q428" s="309">
        <f t="shared" si="50"/>
        <v>0</v>
      </c>
    </row>
    <row r="429" spans="1:17" s="279" customFormat="1" ht="32.25" customHeight="1" x14ac:dyDescent="0.2">
      <c r="A429" s="282"/>
      <c r="B429" s="282"/>
      <c r="C429" s="283"/>
      <c r="D429" s="284"/>
      <c r="E429" s="297"/>
      <c r="F429" s="285"/>
      <c r="G429" s="285"/>
      <c r="H429" s="285"/>
      <c r="I429" s="282"/>
      <c r="J429" s="282"/>
      <c r="K429" s="282"/>
      <c r="L429" s="278" t="str">
        <f t="shared" si="51"/>
        <v>Em andamento</v>
      </c>
      <c r="M429" s="306">
        <f t="shared" si="52"/>
        <v>0</v>
      </c>
      <c r="N429" s="305" t="str">
        <f t="shared" si="53"/>
        <v>Dentro do prazo</v>
      </c>
      <c r="O429" s="389">
        <f t="shared" si="48"/>
        <v>0</v>
      </c>
      <c r="P429" s="389">
        <f t="shared" si="49"/>
        <v>0</v>
      </c>
      <c r="Q429" s="309">
        <f t="shared" si="50"/>
        <v>0</v>
      </c>
    </row>
    <row r="430" spans="1:17" s="279" customFormat="1" ht="32.25" customHeight="1" x14ac:dyDescent="0.2">
      <c r="A430" s="282"/>
      <c r="B430" s="282"/>
      <c r="C430" s="283"/>
      <c r="D430" s="284"/>
      <c r="E430" s="297"/>
      <c r="F430" s="285"/>
      <c r="G430" s="285"/>
      <c r="H430" s="285"/>
      <c r="I430" s="282"/>
      <c r="J430" s="282"/>
      <c r="K430" s="282"/>
      <c r="L430" s="278" t="str">
        <f t="shared" si="51"/>
        <v>Em andamento</v>
      </c>
      <c r="M430" s="306">
        <f t="shared" si="52"/>
        <v>0</v>
      </c>
      <c r="N430" s="305" t="str">
        <f t="shared" si="53"/>
        <v>Dentro do prazo</v>
      </c>
      <c r="O430" s="389">
        <f t="shared" si="48"/>
        <v>0</v>
      </c>
      <c r="P430" s="389">
        <f t="shared" si="49"/>
        <v>0</v>
      </c>
      <c r="Q430" s="309">
        <f t="shared" si="50"/>
        <v>0</v>
      </c>
    </row>
    <row r="431" spans="1:17" s="279" customFormat="1" ht="32.25" customHeight="1" x14ac:dyDescent="0.2">
      <c r="A431" s="282"/>
      <c r="B431" s="282"/>
      <c r="C431" s="283"/>
      <c r="D431" s="284"/>
      <c r="E431" s="297"/>
      <c r="F431" s="285"/>
      <c r="G431" s="285"/>
      <c r="H431" s="285"/>
      <c r="I431" s="282"/>
      <c r="J431" s="282"/>
      <c r="K431" s="282"/>
      <c r="L431" s="278" t="str">
        <f t="shared" si="51"/>
        <v>Em andamento</v>
      </c>
      <c r="M431" s="306">
        <f t="shared" si="52"/>
        <v>0</v>
      </c>
      <c r="N431" s="305" t="str">
        <f t="shared" si="53"/>
        <v>Dentro do prazo</v>
      </c>
      <c r="O431" s="389">
        <f t="shared" si="48"/>
        <v>0</v>
      </c>
      <c r="P431" s="389">
        <f t="shared" si="49"/>
        <v>0</v>
      </c>
      <c r="Q431" s="309">
        <f t="shared" si="50"/>
        <v>0</v>
      </c>
    </row>
    <row r="432" spans="1:17" s="279" customFormat="1" ht="32.25" customHeight="1" x14ac:dyDescent="0.2">
      <c r="A432" s="282"/>
      <c r="B432" s="282"/>
      <c r="C432" s="283"/>
      <c r="D432" s="284"/>
      <c r="E432" s="297"/>
      <c r="F432" s="285"/>
      <c r="G432" s="285"/>
      <c r="H432" s="285"/>
      <c r="I432" s="282"/>
      <c r="J432" s="282"/>
      <c r="K432" s="282"/>
      <c r="L432" s="278" t="str">
        <f t="shared" si="51"/>
        <v>Em andamento</v>
      </c>
      <c r="M432" s="306">
        <f t="shared" si="52"/>
        <v>0</v>
      </c>
      <c r="N432" s="305" t="str">
        <f t="shared" si="53"/>
        <v>Dentro do prazo</v>
      </c>
      <c r="O432" s="389">
        <f t="shared" si="48"/>
        <v>0</v>
      </c>
      <c r="P432" s="389">
        <f t="shared" si="49"/>
        <v>0</v>
      </c>
      <c r="Q432" s="309">
        <f t="shared" si="50"/>
        <v>0</v>
      </c>
    </row>
    <row r="433" spans="1:17" s="279" customFormat="1" ht="32.25" customHeight="1" x14ac:dyDescent="0.2">
      <c r="A433" s="282"/>
      <c r="B433" s="282"/>
      <c r="C433" s="283"/>
      <c r="D433" s="284"/>
      <c r="E433" s="297"/>
      <c r="F433" s="285"/>
      <c r="G433" s="285"/>
      <c r="H433" s="285"/>
      <c r="I433" s="282"/>
      <c r="J433" s="282"/>
      <c r="K433" s="282"/>
      <c r="L433" s="278" t="str">
        <f t="shared" si="51"/>
        <v>Em andamento</v>
      </c>
      <c r="M433" s="306">
        <f t="shared" si="52"/>
        <v>0</v>
      </c>
      <c r="N433" s="305" t="str">
        <f t="shared" si="53"/>
        <v>Dentro do prazo</v>
      </c>
      <c r="O433" s="389">
        <f t="shared" si="48"/>
        <v>0</v>
      </c>
      <c r="P433" s="389">
        <f t="shared" si="49"/>
        <v>0</v>
      </c>
      <c r="Q433" s="309">
        <f t="shared" si="50"/>
        <v>0</v>
      </c>
    </row>
    <row r="434" spans="1:17" s="279" customFormat="1" ht="32.25" customHeight="1" x14ac:dyDescent="0.2">
      <c r="A434" s="282"/>
      <c r="B434" s="282"/>
      <c r="C434" s="283"/>
      <c r="D434" s="284"/>
      <c r="E434" s="297"/>
      <c r="F434" s="285"/>
      <c r="G434" s="285"/>
      <c r="H434" s="285"/>
      <c r="I434" s="282"/>
      <c r="J434" s="282"/>
      <c r="K434" s="282"/>
      <c r="L434" s="278" t="str">
        <f t="shared" si="51"/>
        <v>Em andamento</v>
      </c>
      <c r="M434" s="306">
        <f t="shared" si="52"/>
        <v>0</v>
      </c>
      <c r="N434" s="305" t="str">
        <f t="shared" si="53"/>
        <v>Dentro do prazo</v>
      </c>
      <c r="O434" s="389">
        <f t="shared" si="48"/>
        <v>0</v>
      </c>
      <c r="P434" s="389">
        <f t="shared" si="49"/>
        <v>0</v>
      </c>
      <c r="Q434" s="309">
        <f t="shared" si="50"/>
        <v>0</v>
      </c>
    </row>
    <row r="435" spans="1:17" s="279" customFormat="1" ht="32.25" customHeight="1" x14ac:dyDescent="0.2">
      <c r="A435" s="282"/>
      <c r="B435" s="282"/>
      <c r="C435" s="283"/>
      <c r="D435" s="284"/>
      <c r="E435" s="297"/>
      <c r="F435" s="285"/>
      <c r="G435" s="285"/>
      <c r="H435" s="285"/>
      <c r="I435" s="282"/>
      <c r="J435" s="282"/>
      <c r="K435" s="282"/>
      <c r="L435" s="278" t="str">
        <f t="shared" si="51"/>
        <v>Em andamento</v>
      </c>
      <c r="M435" s="306">
        <f t="shared" si="52"/>
        <v>0</v>
      </c>
      <c r="N435" s="305" t="str">
        <f t="shared" si="53"/>
        <v>Dentro do prazo</v>
      </c>
      <c r="O435" s="389">
        <f t="shared" si="48"/>
        <v>0</v>
      </c>
      <c r="P435" s="389">
        <f t="shared" si="49"/>
        <v>0</v>
      </c>
      <c r="Q435" s="309">
        <f t="shared" si="50"/>
        <v>0</v>
      </c>
    </row>
    <row r="436" spans="1:17" s="279" customFormat="1" ht="32.25" customHeight="1" x14ac:dyDescent="0.2">
      <c r="A436" s="282"/>
      <c r="B436" s="282"/>
      <c r="C436" s="283"/>
      <c r="D436" s="284"/>
      <c r="E436" s="297"/>
      <c r="F436" s="285"/>
      <c r="G436" s="285"/>
      <c r="H436" s="285"/>
      <c r="I436" s="282"/>
      <c r="J436" s="282"/>
      <c r="K436" s="282"/>
      <c r="L436" s="278" t="str">
        <f t="shared" si="51"/>
        <v>Em andamento</v>
      </c>
      <c r="M436" s="306">
        <f t="shared" si="52"/>
        <v>0</v>
      </c>
      <c r="N436" s="305" t="str">
        <f t="shared" si="53"/>
        <v>Dentro do prazo</v>
      </c>
      <c r="O436" s="389">
        <f t="shared" si="48"/>
        <v>0</v>
      </c>
      <c r="P436" s="389">
        <f t="shared" si="49"/>
        <v>0</v>
      </c>
      <c r="Q436" s="309">
        <f t="shared" si="50"/>
        <v>0</v>
      </c>
    </row>
    <row r="437" spans="1:17" s="279" customFormat="1" ht="32.25" customHeight="1" x14ac:dyDescent="0.2">
      <c r="A437" s="282"/>
      <c r="B437" s="282"/>
      <c r="C437" s="283"/>
      <c r="D437" s="284"/>
      <c r="E437" s="297"/>
      <c r="F437" s="285"/>
      <c r="G437" s="285"/>
      <c r="H437" s="285"/>
      <c r="I437" s="282"/>
      <c r="J437" s="282"/>
      <c r="K437" s="282"/>
      <c r="L437" s="278" t="str">
        <f t="shared" si="51"/>
        <v>Em andamento</v>
      </c>
      <c r="M437" s="306">
        <f t="shared" si="52"/>
        <v>0</v>
      </c>
      <c r="N437" s="305" t="str">
        <f t="shared" si="53"/>
        <v>Dentro do prazo</v>
      </c>
      <c r="O437" s="389">
        <f t="shared" si="48"/>
        <v>0</v>
      </c>
      <c r="P437" s="389">
        <f t="shared" si="49"/>
        <v>0</v>
      </c>
      <c r="Q437" s="309">
        <f t="shared" si="50"/>
        <v>0</v>
      </c>
    </row>
    <row r="438" spans="1:17" s="279" customFormat="1" ht="32.25" customHeight="1" x14ac:dyDescent="0.2">
      <c r="A438" s="282"/>
      <c r="B438" s="282"/>
      <c r="C438" s="283"/>
      <c r="D438" s="284"/>
      <c r="E438" s="297"/>
      <c r="F438" s="285"/>
      <c r="G438" s="285"/>
      <c r="H438" s="285"/>
      <c r="I438" s="282"/>
      <c r="J438" s="282"/>
      <c r="K438" s="282"/>
      <c r="L438" s="278" t="str">
        <f t="shared" si="51"/>
        <v>Em andamento</v>
      </c>
      <c r="M438" s="306">
        <f t="shared" si="52"/>
        <v>0</v>
      </c>
      <c r="N438" s="305" t="str">
        <f t="shared" si="53"/>
        <v>Dentro do prazo</v>
      </c>
      <c r="O438" s="389">
        <f t="shared" si="48"/>
        <v>0</v>
      </c>
      <c r="P438" s="389">
        <f t="shared" si="49"/>
        <v>0</v>
      </c>
      <c r="Q438" s="309">
        <f t="shared" si="50"/>
        <v>0</v>
      </c>
    </row>
    <row r="439" spans="1:17" s="279" customFormat="1" ht="32.25" customHeight="1" x14ac:dyDescent="0.2">
      <c r="A439" s="282"/>
      <c r="B439" s="282"/>
      <c r="C439" s="283"/>
      <c r="D439" s="284"/>
      <c r="E439" s="297"/>
      <c r="F439" s="285"/>
      <c r="G439" s="285"/>
      <c r="H439" s="285"/>
      <c r="I439" s="282"/>
      <c r="J439" s="282"/>
      <c r="K439" s="282"/>
      <c r="L439" s="278" t="str">
        <f t="shared" si="51"/>
        <v>Em andamento</v>
      </c>
      <c r="M439" s="306">
        <f t="shared" si="52"/>
        <v>0</v>
      </c>
      <c r="N439" s="305" t="str">
        <f t="shared" si="53"/>
        <v>Dentro do prazo</v>
      </c>
      <c r="O439" s="389">
        <f t="shared" si="48"/>
        <v>0</v>
      </c>
      <c r="P439" s="389">
        <f t="shared" si="49"/>
        <v>0</v>
      </c>
      <c r="Q439" s="309">
        <f t="shared" si="50"/>
        <v>0</v>
      </c>
    </row>
    <row r="440" spans="1:17" s="279" customFormat="1" ht="32.25" customHeight="1" x14ac:dyDescent="0.2">
      <c r="A440" s="282"/>
      <c r="B440" s="282"/>
      <c r="C440" s="283"/>
      <c r="D440" s="284"/>
      <c r="E440" s="297"/>
      <c r="F440" s="285"/>
      <c r="G440" s="285"/>
      <c r="H440" s="285"/>
      <c r="I440" s="282"/>
      <c r="J440" s="282"/>
      <c r="K440" s="282"/>
      <c r="L440" s="278" t="str">
        <f t="shared" si="51"/>
        <v>Em andamento</v>
      </c>
      <c r="M440" s="306">
        <f t="shared" si="52"/>
        <v>0</v>
      </c>
      <c r="N440" s="305" t="str">
        <f t="shared" si="53"/>
        <v>Dentro do prazo</v>
      </c>
      <c r="O440" s="389">
        <f t="shared" si="48"/>
        <v>0</v>
      </c>
      <c r="P440" s="389">
        <f t="shared" si="49"/>
        <v>0</v>
      </c>
      <c r="Q440" s="309">
        <f t="shared" si="50"/>
        <v>0</v>
      </c>
    </row>
    <row r="441" spans="1:17" s="279" customFormat="1" ht="32.25" customHeight="1" x14ac:dyDescent="0.2">
      <c r="A441" s="282"/>
      <c r="B441" s="282"/>
      <c r="C441" s="283"/>
      <c r="D441" s="284"/>
      <c r="E441" s="297"/>
      <c r="F441" s="285"/>
      <c r="G441" s="285"/>
      <c r="H441" s="285"/>
      <c r="I441" s="282"/>
      <c r="J441" s="282"/>
      <c r="K441" s="282"/>
      <c r="L441" s="278" t="str">
        <f t="shared" si="51"/>
        <v>Em andamento</v>
      </c>
      <c r="M441" s="306">
        <f t="shared" si="52"/>
        <v>0</v>
      </c>
      <c r="N441" s="305" t="str">
        <f t="shared" si="53"/>
        <v>Dentro do prazo</v>
      </c>
      <c r="O441" s="389">
        <f t="shared" si="48"/>
        <v>0</v>
      </c>
      <c r="P441" s="389">
        <f t="shared" si="49"/>
        <v>0</v>
      </c>
      <c r="Q441" s="309">
        <f t="shared" si="50"/>
        <v>0</v>
      </c>
    </row>
    <row r="442" spans="1:17" s="279" customFormat="1" ht="32.25" customHeight="1" x14ac:dyDescent="0.2">
      <c r="A442" s="282"/>
      <c r="B442" s="282"/>
      <c r="C442" s="283"/>
      <c r="D442" s="284"/>
      <c r="E442" s="297"/>
      <c r="F442" s="285"/>
      <c r="G442" s="285"/>
      <c r="H442" s="285"/>
      <c r="I442" s="282"/>
      <c r="J442" s="282"/>
      <c r="K442" s="282"/>
      <c r="L442" s="278" t="str">
        <f t="shared" si="51"/>
        <v>Em andamento</v>
      </c>
      <c r="M442" s="306">
        <f t="shared" si="52"/>
        <v>0</v>
      </c>
      <c r="N442" s="305" t="str">
        <f t="shared" si="53"/>
        <v>Dentro do prazo</v>
      </c>
      <c r="O442" s="389">
        <f t="shared" si="48"/>
        <v>0</v>
      </c>
      <c r="P442" s="389">
        <f t="shared" si="49"/>
        <v>0</v>
      </c>
      <c r="Q442" s="309">
        <f t="shared" si="50"/>
        <v>0</v>
      </c>
    </row>
    <row r="443" spans="1:17" s="279" customFormat="1" ht="32.25" customHeight="1" x14ac:dyDescent="0.2">
      <c r="A443" s="282"/>
      <c r="B443" s="282"/>
      <c r="C443" s="283"/>
      <c r="D443" s="284"/>
      <c r="E443" s="297"/>
      <c r="F443" s="285"/>
      <c r="G443" s="285"/>
      <c r="H443" s="285"/>
      <c r="I443" s="282"/>
      <c r="J443" s="282"/>
      <c r="K443" s="282"/>
      <c r="L443" s="278" t="str">
        <f t="shared" si="51"/>
        <v>Em andamento</v>
      </c>
      <c r="M443" s="306">
        <f t="shared" si="52"/>
        <v>0</v>
      </c>
      <c r="N443" s="305" t="str">
        <f t="shared" si="53"/>
        <v>Dentro do prazo</v>
      </c>
      <c r="O443" s="389">
        <f t="shared" si="48"/>
        <v>0</v>
      </c>
      <c r="P443" s="389">
        <f t="shared" si="49"/>
        <v>0</v>
      </c>
      <c r="Q443" s="309">
        <f t="shared" si="50"/>
        <v>0</v>
      </c>
    </row>
    <row r="444" spans="1:17" s="279" customFormat="1" ht="32.25" customHeight="1" x14ac:dyDescent="0.2">
      <c r="A444" s="282"/>
      <c r="B444" s="282"/>
      <c r="C444" s="283"/>
      <c r="D444" s="284"/>
      <c r="E444" s="297"/>
      <c r="F444" s="285"/>
      <c r="G444" s="285"/>
      <c r="H444" s="285"/>
      <c r="I444" s="282"/>
      <c r="J444" s="282"/>
      <c r="K444" s="282"/>
      <c r="L444" s="278" t="str">
        <f t="shared" si="51"/>
        <v>Em andamento</v>
      </c>
      <c r="M444" s="306">
        <f t="shared" si="52"/>
        <v>0</v>
      </c>
      <c r="N444" s="305" t="str">
        <f t="shared" si="53"/>
        <v>Dentro do prazo</v>
      </c>
      <c r="O444" s="389">
        <f t="shared" si="48"/>
        <v>0</v>
      </c>
      <c r="P444" s="389">
        <f t="shared" si="49"/>
        <v>0</v>
      </c>
      <c r="Q444" s="309">
        <f t="shared" si="50"/>
        <v>0</v>
      </c>
    </row>
    <row r="445" spans="1:17" s="279" customFormat="1" ht="32.25" customHeight="1" x14ac:dyDescent="0.2">
      <c r="A445" s="282"/>
      <c r="B445" s="282"/>
      <c r="C445" s="283"/>
      <c r="D445" s="284"/>
      <c r="E445" s="297"/>
      <c r="F445" s="285"/>
      <c r="G445" s="285"/>
      <c r="H445" s="285"/>
      <c r="I445" s="282"/>
      <c r="J445" s="282"/>
      <c r="K445" s="282"/>
      <c r="L445" s="278" t="str">
        <f t="shared" si="51"/>
        <v>Em andamento</v>
      </c>
      <c r="M445" s="306">
        <f t="shared" si="52"/>
        <v>0</v>
      </c>
      <c r="N445" s="305" t="str">
        <f t="shared" si="53"/>
        <v>Dentro do prazo</v>
      </c>
      <c r="O445" s="389">
        <f t="shared" si="48"/>
        <v>0</v>
      </c>
      <c r="P445" s="389">
        <f t="shared" si="49"/>
        <v>0</v>
      </c>
      <c r="Q445" s="309">
        <f t="shared" si="50"/>
        <v>0</v>
      </c>
    </row>
    <row r="446" spans="1:17" s="279" customFormat="1" ht="32.25" customHeight="1" x14ac:dyDescent="0.2">
      <c r="A446" s="282"/>
      <c r="B446" s="282"/>
      <c r="C446" s="283"/>
      <c r="D446" s="284"/>
      <c r="E446" s="297"/>
      <c r="F446" s="285"/>
      <c r="G446" s="285"/>
      <c r="H446" s="285"/>
      <c r="I446" s="282"/>
      <c r="J446" s="282"/>
      <c r="K446" s="282"/>
      <c r="L446" s="278" t="str">
        <f t="shared" si="51"/>
        <v>Em andamento</v>
      </c>
      <c r="M446" s="306">
        <f t="shared" si="52"/>
        <v>0</v>
      </c>
      <c r="N446" s="305" t="str">
        <f t="shared" si="53"/>
        <v>Dentro do prazo</v>
      </c>
      <c r="O446" s="389">
        <f t="shared" si="48"/>
        <v>0</v>
      </c>
      <c r="P446" s="389">
        <f t="shared" si="49"/>
        <v>0</v>
      </c>
      <c r="Q446" s="309">
        <f t="shared" si="50"/>
        <v>0</v>
      </c>
    </row>
    <row r="447" spans="1:17" s="279" customFormat="1" ht="32.25" customHeight="1" x14ac:dyDescent="0.2">
      <c r="A447" s="282"/>
      <c r="B447" s="282"/>
      <c r="C447" s="283"/>
      <c r="D447" s="284"/>
      <c r="E447" s="297"/>
      <c r="F447" s="285"/>
      <c r="G447" s="285"/>
      <c r="H447" s="285"/>
      <c r="I447" s="282"/>
      <c r="J447" s="282"/>
      <c r="K447" s="282"/>
      <c r="L447" s="278" t="str">
        <f t="shared" si="51"/>
        <v>Em andamento</v>
      </c>
      <c r="M447" s="306">
        <f t="shared" si="52"/>
        <v>0</v>
      </c>
      <c r="N447" s="305" t="str">
        <f t="shared" si="53"/>
        <v>Dentro do prazo</v>
      </c>
      <c r="O447" s="389">
        <f t="shared" si="48"/>
        <v>0</v>
      </c>
      <c r="P447" s="389">
        <f t="shared" si="49"/>
        <v>0</v>
      </c>
      <c r="Q447" s="309">
        <f t="shared" si="50"/>
        <v>0</v>
      </c>
    </row>
    <row r="448" spans="1:17" s="279" customFormat="1" ht="32.25" customHeight="1" x14ac:dyDescent="0.2">
      <c r="A448" s="282"/>
      <c r="B448" s="282"/>
      <c r="C448" s="283"/>
      <c r="D448" s="284"/>
      <c r="E448" s="297"/>
      <c r="F448" s="285"/>
      <c r="G448" s="285"/>
      <c r="H448" s="285"/>
      <c r="I448" s="282"/>
      <c r="J448" s="282"/>
      <c r="K448" s="282"/>
      <c r="L448" s="278" t="str">
        <f t="shared" si="51"/>
        <v>Em andamento</v>
      </c>
      <c r="M448" s="306">
        <f t="shared" si="52"/>
        <v>0</v>
      </c>
      <c r="N448" s="305" t="str">
        <f t="shared" si="53"/>
        <v>Dentro do prazo</v>
      </c>
      <c r="O448" s="389">
        <f t="shared" si="48"/>
        <v>0</v>
      </c>
      <c r="P448" s="389">
        <f t="shared" si="49"/>
        <v>0</v>
      </c>
      <c r="Q448" s="309">
        <f t="shared" si="50"/>
        <v>0</v>
      </c>
    </row>
    <row r="449" spans="1:177" s="279" customFormat="1" ht="32.25" customHeight="1" x14ac:dyDescent="0.2">
      <c r="A449" s="282"/>
      <c r="B449" s="282"/>
      <c r="C449" s="283"/>
      <c r="D449" s="284"/>
      <c r="E449" s="297"/>
      <c r="F449" s="285"/>
      <c r="G449" s="285"/>
      <c r="H449" s="285"/>
      <c r="I449" s="282"/>
      <c r="J449" s="282"/>
      <c r="K449" s="282"/>
      <c r="L449" s="278" t="str">
        <f t="shared" si="51"/>
        <v>Em andamento</v>
      </c>
      <c r="M449" s="306">
        <f t="shared" si="52"/>
        <v>0</v>
      </c>
      <c r="N449" s="305" t="str">
        <f t="shared" si="53"/>
        <v>Dentro do prazo</v>
      </c>
      <c r="O449" s="389">
        <f t="shared" si="48"/>
        <v>0</v>
      </c>
      <c r="P449" s="389">
        <f t="shared" si="49"/>
        <v>0</v>
      </c>
      <c r="Q449" s="309">
        <f t="shared" si="50"/>
        <v>0</v>
      </c>
    </row>
    <row r="450" spans="1:177" s="279" customFormat="1" ht="32.25" customHeight="1" x14ac:dyDescent="0.2">
      <c r="A450" s="282"/>
      <c r="B450" s="282"/>
      <c r="C450" s="283"/>
      <c r="D450" s="284"/>
      <c r="E450" s="297"/>
      <c r="F450" s="285"/>
      <c r="G450" s="285"/>
      <c r="H450" s="285"/>
      <c r="I450" s="282"/>
      <c r="J450" s="282"/>
      <c r="K450" s="282"/>
      <c r="L450" s="278" t="str">
        <f t="shared" si="51"/>
        <v>Em andamento</v>
      </c>
      <c r="M450" s="306">
        <f t="shared" si="52"/>
        <v>0</v>
      </c>
      <c r="N450" s="305" t="str">
        <f t="shared" si="53"/>
        <v>Dentro do prazo</v>
      </c>
      <c r="O450" s="389">
        <f t="shared" si="48"/>
        <v>0</v>
      </c>
      <c r="P450" s="389">
        <f t="shared" si="49"/>
        <v>0</v>
      </c>
      <c r="Q450" s="309">
        <f t="shared" si="50"/>
        <v>0</v>
      </c>
    </row>
    <row r="451" spans="1:177" s="279" customFormat="1" ht="32.25" customHeight="1" x14ac:dyDescent="0.2">
      <c r="A451" s="282"/>
      <c r="B451" s="282"/>
      <c r="C451" s="283"/>
      <c r="D451" s="284"/>
      <c r="E451" s="297"/>
      <c r="F451" s="285"/>
      <c r="G451" s="285"/>
      <c r="H451" s="285"/>
      <c r="I451" s="282"/>
      <c r="J451" s="282"/>
      <c r="K451" s="282"/>
      <c r="L451" s="278" t="str">
        <f t="shared" si="51"/>
        <v>Em andamento</v>
      </c>
      <c r="M451" s="306">
        <f t="shared" si="52"/>
        <v>0</v>
      </c>
      <c r="N451" s="305" t="str">
        <f t="shared" si="53"/>
        <v>Dentro do prazo</v>
      </c>
      <c r="O451" s="389">
        <f t="shared" si="48"/>
        <v>0</v>
      </c>
      <c r="P451" s="389">
        <f t="shared" si="49"/>
        <v>0</v>
      </c>
      <c r="Q451" s="309">
        <f t="shared" si="50"/>
        <v>0</v>
      </c>
    </row>
    <row r="452" spans="1:177" s="279" customFormat="1" ht="32.25" customHeight="1" x14ac:dyDescent="0.2">
      <c r="A452" s="282"/>
      <c r="B452" s="282"/>
      <c r="C452" s="283"/>
      <c r="D452" s="284"/>
      <c r="E452" s="297"/>
      <c r="F452" s="285"/>
      <c r="G452" s="285"/>
      <c r="H452" s="285"/>
      <c r="I452" s="282"/>
      <c r="J452" s="282"/>
      <c r="K452" s="282"/>
      <c r="L452" s="278" t="str">
        <f t="shared" si="51"/>
        <v>Em andamento</v>
      </c>
      <c r="M452" s="306">
        <f t="shared" si="52"/>
        <v>0</v>
      </c>
      <c r="N452" s="305" t="str">
        <f t="shared" si="53"/>
        <v>Dentro do prazo</v>
      </c>
      <c r="O452" s="389">
        <f t="shared" si="48"/>
        <v>0</v>
      </c>
      <c r="P452" s="389">
        <f t="shared" si="49"/>
        <v>0</v>
      </c>
      <c r="Q452" s="309">
        <f t="shared" si="50"/>
        <v>0</v>
      </c>
    </row>
    <row r="453" spans="1:177" s="279" customFormat="1" ht="32.25" customHeight="1" x14ac:dyDescent="0.2">
      <c r="A453" s="282"/>
      <c r="B453" s="282"/>
      <c r="C453" s="283"/>
      <c r="D453" s="284"/>
      <c r="E453" s="297"/>
      <c r="F453" s="285"/>
      <c r="G453" s="285"/>
      <c r="H453" s="285"/>
      <c r="I453" s="282"/>
      <c r="J453" s="282"/>
      <c r="K453" s="282"/>
      <c r="L453" s="278" t="str">
        <f t="shared" si="51"/>
        <v>Em andamento</v>
      </c>
      <c r="M453" s="306">
        <f t="shared" si="52"/>
        <v>0</v>
      </c>
      <c r="N453" s="305" t="str">
        <f t="shared" si="53"/>
        <v>Dentro do prazo</v>
      </c>
      <c r="O453" s="389">
        <f t="shared" si="48"/>
        <v>0</v>
      </c>
      <c r="P453" s="389">
        <f t="shared" si="49"/>
        <v>0</v>
      </c>
      <c r="Q453" s="309">
        <f t="shared" si="50"/>
        <v>0</v>
      </c>
    </row>
    <row r="454" spans="1:177" s="279" customFormat="1" ht="32.25" customHeight="1" x14ac:dyDescent="0.2">
      <c r="A454" s="282"/>
      <c r="B454" s="282"/>
      <c r="C454" s="283"/>
      <c r="D454" s="284"/>
      <c r="E454" s="297"/>
      <c r="F454" s="285"/>
      <c r="G454" s="285"/>
      <c r="H454" s="285"/>
      <c r="I454" s="282"/>
      <c r="J454" s="282"/>
      <c r="K454" s="282"/>
      <c r="L454" s="278" t="str">
        <f t="shared" si="51"/>
        <v>Em andamento</v>
      </c>
      <c r="M454" s="306">
        <f t="shared" si="52"/>
        <v>0</v>
      </c>
      <c r="N454" s="305" t="str">
        <f t="shared" si="53"/>
        <v>Dentro do prazo</v>
      </c>
      <c r="O454" s="389">
        <f t="shared" si="48"/>
        <v>0</v>
      </c>
      <c r="P454" s="389">
        <f t="shared" si="49"/>
        <v>0</v>
      </c>
      <c r="Q454" s="309">
        <f t="shared" si="50"/>
        <v>0</v>
      </c>
    </row>
    <row r="455" spans="1:177" s="279" customFormat="1" ht="32.25" customHeight="1" x14ac:dyDescent="0.2">
      <c r="A455" s="282"/>
      <c r="B455" s="282"/>
      <c r="C455" s="283"/>
      <c r="D455" s="284"/>
      <c r="E455" s="297"/>
      <c r="F455" s="285"/>
      <c r="G455" s="285"/>
      <c r="H455" s="285"/>
      <c r="I455" s="282"/>
      <c r="J455" s="282"/>
      <c r="K455" s="282"/>
      <c r="L455" s="278" t="str">
        <f t="shared" si="51"/>
        <v>Em andamento</v>
      </c>
      <c r="M455" s="306">
        <f t="shared" si="52"/>
        <v>0</v>
      </c>
      <c r="N455" s="305" t="str">
        <f t="shared" si="53"/>
        <v>Dentro do prazo</v>
      </c>
      <c r="O455" s="389">
        <f t="shared" si="48"/>
        <v>0</v>
      </c>
      <c r="P455" s="389">
        <f t="shared" si="49"/>
        <v>0</v>
      </c>
      <c r="Q455" s="309">
        <f t="shared" si="50"/>
        <v>0</v>
      </c>
    </row>
    <row r="456" spans="1:177" s="2" customFormat="1" ht="29.25" customHeight="1" x14ac:dyDescent="0.2">
      <c r="A456" s="282"/>
      <c r="B456" s="282"/>
      <c r="C456" s="283"/>
      <c r="D456" s="284"/>
      <c r="E456" s="297"/>
      <c r="F456" s="285"/>
      <c r="G456" s="285"/>
      <c r="H456" s="285"/>
      <c r="I456" s="282"/>
      <c r="J456" s="282"/>
      <c r="K456" s="282"/>
      <c r="L456" s="278" t="str">
        <f t="shared" si="51"/>
        <v>Em andamento</v>
      </c>
      <c r="M456" s="306">
        <f t="shared" si="52"/>
        <v>0</v>
      </c>
      <c r="N456" s="305" t="str">
        <f t="shared" si="53"/>
        <v>Dentro do prazo</v>
      </c>
      <c r="O456" s="389">
        <f t="shared" si="48"/>
        <v>0</v>
      </c>
      <c r="P456" s="389">
        <f t="shared" si="49"/>
        <v>0</v>
      </c>
      <c r="Q456" s="309">
        <f t="shared" si="50"/>
        <v>0</v>
      </c>
      <c r="R456" s="279"/>
      <c r="S456" s="279"/>
      <c r="T456"/>
    </row>
    <row r="457" spans="1:177" s="2" customFormat="1" ht="29.25" customHeight="1" x14ac:dyDescent="0.2">
      <c r="A457" s="282"/>
      <c r="B457" s="282"/>
      <c r="C457" s="283"/>
      <c r="D457" s="284"/>
      <c r="E457" s="297"/>
      <c r="F457" s="285"/>
      <c r="G457" s="285"/>
      <c r="H457" s="285"/>
      <c r="I457" s="282"/>
      <c r="J457" s="282"/>
      <c r="K457" s="282"/>
      <c r="L457" s="278" t="str">
        <f t="shared" si="51"/>
        <v>Em andamento</v>
      </c>
      <c r="M457" s="306">
        <f t="shared" si="52"/>
        <v>0</v>
      </c>
      <c r="N457" s="305" t="str">
        <f t="shared" si="53"/>
        <v>Dentro do prazo</v>
      </c>
      <c r="O457" s="389">
        <f t="shared" si="48"/>
        <v>0</v>
      </c>
      <c r="P457" s="389">
        <f t="shared" si="49"/>
        <v>0</v>
      </c>
      <c r="Q457" s="309">
        <f t="shared" si="50"/>
        <v>0</v>
      </c>
      <c r="R457" s="279"/>
      <c r="S457" s="279"/>
      <c r="T457"/>
    </row>
    <row r="458" spans="1:177" s="2" customFormat="1" ht="29.25" customHeight="1" x14ac:dyDescent="0.2">
      <c r="A458" s="282"/>
      <c r="B458" s="282"/>
      <c r="C458" s="283"/>
      <c r="D458" s="284"/>
      <c r="E458" s="297"/>
      <c r="F458" s="285"/>
      <c r="G458" s="285"/>
      <c r="H458" s="285"/>
      <c r="I458" s="282"/>
      <c r="J458" s="282"/>
      <c r="K458" s="282"/>
      <c r="L458" s="278" t="str">
        <f t="shared" si="51"/>
        <v>Em andamento</v>
      </c>
      <c r="M458" s="306">
        <f t="shared" si="52"/>
        <v>0</v>
      </c>
      <c r="N458" s="305" t="str">
        <f t="shared" si="53"/>
        <v>Dentro do prazo</v>
      </c>
      <c r="O458" s="389">
        <f t="shared" si="48"/>
        <v>0</v>
      </c>
      <c r="P458" s="389">
        <f t="shared" si="49"/>
        <v>0</v>
      </c>
      <c r="Q458" s="309">
        <f t="shared" si="50"/>
        <v>0</v>
      </c>
      <c r="R458" s="279"/>
      <c r="S458" s="279"/>
      <c r="T458"/>
    </row>
    <row r="459" spans="1:177" s="16" customFormat="1" ht="29.25" customHeight="1" x14ac:dyDescent="0.2">
      <c r="A459" s="282"/>
      <c r="B459" s="282"/>
      <c r="C459" s="283"/>
      <c r="D459" s="284"/>
      <c r="E459" s="297"/>
      <c r="F459" s="285"/>
      <c r="G459" s="285"/>
      <c r="H459" s="285"/>
      <c r="I459" s="282"/>
      <c r="J459" s="282"/>
      <c r="K459" s="282"/>
      <c r="L459" s="278" t="str">
        <f t="shared" si="51"/>
        <v>Em andamento</v>
      </c>
      <c r="M459" s="306">
        <f t="shared" si="52"/>
        <v>0</v>
      </c>
      <c r="N459" s="305" t="str">
        <f t="shared" si="53"/>
        <v>Dentro do prazo</v>
      </c>
      <c r="O459" s="389">
        <f t="shared" si="48"/>
        <v>0</v>
      </c>
      <c r="P459" s="389">
        <f t="shared" si="49"/>
        <v>0</v>
      </c>
      <c r="Q459" s="309">
        <f t="shared" si="50"/>
        <v>0</v>
      </c>
      <c r="R459" s="279"/>
      <c r="S459" s="279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</row>
    <row r="460" spans="1:177" s="2" customFormat="1" ht="29.25" customHeight="1" x14ac:dyDescent="0.2">
      <c r="A460" s="282"/>
      <c r="B460" s="282"/>
      <c r="C460" s="283"/>
      <c r="D460" s="284"/>
      <c r="E460" s="297"/>
      <c r="F460" s="285"/>
      <c r="G460" s="285"/>
      <c r="H460" s="285"/>
      <c r="I460" s="282"/>
      <c r="J460" s="282"/>
      <c r="K460" s="282"/>
      <c r="L460" s="278" t="str">
        <f t="shared" si="51"/>
        <v>Em andamento</v>
      </c>
      <c r="M460" s="306">
        <f t="shared" si="52"/>
        <v>0</v>
      </c>
      <c r="N460" s="305" t="str">
        <f t="shared" si="53"/>
        <v>Dentro do prazo</v>
      </c>
      <c r="O460" s="389">
        <f t="shared" si="48"/>
        <v>0</v>
      </c>
      <c r="P460" s="389">
        <f t="shared" si="49"/>
        <v>0</v>
      </c>
      <c r="Q460" s="309">
        <f t="shared" si="50"/>
        <v>0</v>
      </c>
      <c r="R460" s="279"/>
      <c r="S460" s="279"/>
    </row>
    <row r="461" spans="1:177" s="2" customFormat="1" ht="29.25" customHeight="1" x14ac:dyDescent="0.2">
      <c r="A461" s="282"/>
      <c r="B461" s="282"/>
      <c r="C461" s="283"/>
      <c r="D461" s="284"/>
      <c r="E461" s="297"/>
      <c r="F461" s="285"/>
      <c r="G461" s="285"/>
      <c r="H461" s="285"/>
      <c r="I461" s="282"/>
      <c r="J461" s="282"/>
      <c r="K461" s="282"/>
      <c r="L461" s="278" t="str">
        <f t="shared" si="51"/>
        <v>Em andamento</v>
      </c>
      <c r="M461" s="306">
        <f t="shared" si="52"/>
        <v>0</v>
      </c>
      <c r="N461" s="305" t="str">
        <f t="shared" si="53"/>
        <v>Dentro do prazo</v>
      </c>
      <c r="O461" s="389">
        <f t="shared" si="48"/>
        <v>0</v>
      </c>
      <c r="P461" s="389">
        <f t="shared" si="49"/>
        <v>0</v>
      </c>
      <c r="Q461" s="309">
        <f t="shared" si="50"/>
        <v>0</v>
      </c>
      <c r="R461" s="279"/>
      <c r="S461" s="279"/>
    </row>
    <row r="462" spans="1:177" s="2" customFormat="1" ht="29.25" customHeight="1" x14ac:dyDescent="0.2">
      <c r="A462" s="282"/>
      <c r="B462" s="282"/>
      <c r="C462" s="283"/>
      <c r="D462" s="284"/>
      <c r="E462" s="297"/>
      <c r="F462" s="285"/>
      <c r="G462" s="285"/>
      <c r="H462" s="285"/>
      <c r="I462" s="282"/>
      <c r="J462" s="282"/>
      <c r="K462" s="282"/>
      <c r="L462" s="278" t="str">
        <f t="shared" si="51"/>
        <v>Em andamento</v>
      </c>
      <c r="M462" s="306">
        <f t="shared" si="52"/>
        <v>0</v>
      </c>
      <c r="N462" s="305" t="str">
        <f t="shared" si="53"/>
        <v>Dentro do prazo</v>
      </c>
      <c r="O462" s="389">
        <f t="shared" si="48"/>
        <v>0</v>
      </c>
      <c r="P462" s="389">
        <f t="shared" si="49"/>
        <v>0</v>
      </c>
      <c r="Q462" s="309">
        <f t="shared" si="50"/>
        <v>0</v>
      </c>
      <c r="R462" s="279"/>
      <c r="S462" s="279"/>
    </row>
    <row r="463" spans="1:177" s="2" customFormat="1" ht="29.25" customHeight="1" x14ac:dyDescent="0.2">
      <c r="A463" s="282"/>
      <c r="B463" s="282"/>
      <c r="C463" s="283"/>
      <c r="D463" s="284"/>
      <c r="E463" s="297"/>
      <c r="F463" s="285"/>
      <c r="G463" s="285"/>
      <c r="H463" s="285"/>
      <c r="I463" s="282"/>
      <c r="J463" s="282"/>
      <c r="K463" s="282"/>
      <c r="L463" s="278" t="str">
        <f t="shared" si="51"/>
        <v>Em andamento</v>
      </c>
      <c r="M463" s="306">
        <f t="shared" si="52"/>
        <v>0</v>
      </c>
      <c r="N463" s="305" t="str">
        <f t="shared" si="53"/>
        <v>Dentro do prazo</v>
      </c>
      <c r="O463" s="389">
        <f t="shared" si="48"/>
        <v>0</v>
      </c>
      <c r="P463" s="389">
        <f t="shared" si="49"/>
        <v>0</v>
      </c>
      <c r="Q463" s="309">
        <f t="shared" si="50"/>
        <v>0</v>
      </c>
      <c r="R463" s="279"/>
      <c r="S463" s="279"/>
    </row>
    <row r="464" spans="1:177" s="2" customFormat="1" ht="29.25" customHeight="1" x14ac:dyDescent="0.2">
      <c r="A464" s="282"/>
      <c r="B464" s="282"/>
      <c r="C464" s="283"/>
      <c r="D464" s="284"/>
      <c r="E464" s="297"/>
      <c r="F464" s="285"/>
      <c r="G464" s="285"/>
      <c r="H464" s="285"/>
      <c r="I464" s="282"/>
      <c r="J464" s="282"/>
      <c r="K464" s="282"/>
      <c r="L464" s="278" t="str">
        <f t="shared" si="51"/>
        <v>Em andamento</v>
      </c>
      <c r="M464" s="306">
        <f t="shared" si="52"/>
        <v>0</v>
      </c>
      <c r="N464" s="305" t="str">
        <f t="shared" si="53"/>
        <v>Dentro do prazo</v>
      </c>
      <c r="O464" s="389">
        <f t="shared" si="48"/>
        <v>0</v>
      </c>
      <c r="P464" s="389">
        <f t="shared" si="49"/>
        <v>0</v>
      </c>
      <c r="Q464" s="309">
        <f t="shared" si="50"/>
        <v>0</v>
      </c>
      <c r="R464" s="279"/>
      <c r="S464" s="279"/>
    </row>
    <row r="465" spans="1:19" s="2" customFormat="1" ht="29.25" customHeight="1" x14ac:dyDescent="0.2">
      <c r="A465" s="282"/>
      <c r="B465" s="282"/>
      <c r="C465" s="283"/>
      <c r="D465" s="284"/>
      <c r="E465" s="297"/>
      <c r="F465" s="285"/>
      <c r="G465" s="285"/>
      <c r="H465" s="285"/>
      <c r="I465" s="282"/>
      <c r="J465" s="282"/>
      <c r="K465" s="282"/>
      <c r="L465" s="278" t="str">
        <f t="shared" si="51"/>
        <v>Em andamento</v>
      </c>
      <c r="M465" s="306">
        <f t="shared" si="52"/>
        <v>0</v>
      </c>
      <c r="N465" s="305" t="str">
        <f t="shared" si="53"/>
        <v>Dentro do prazo</v>
      </c>
      <c r="O465" s="389">
        <f t="shared" si="48"/>
        <v>0</v>
      </c>
      <c r="P465" s="389">
        <f t="shared" si="49"/>
        <v>0</v>
      </c>
      <c r="Q465" s="309">
        <f t="shared" si="50"/>
        <v>0</v>
      </c>
      <c r="R465" s="279"/>
      <c r="S465" s="279"/>
    </row>
    <row r="466" spans="1:19" s="2" customFormat="1" ht="29.25" customHeight="1" x14ac:dyDescent="0.2">
      <c r="A466" s="282"/>
      <c r="B466" s="282"/>
      <c r="C466" s="283"/>
      <c r="D466" s="284"/>
      <c r="E466" s="297"/>
      <c r="F466" s="285"/>
      <c r="G466" s="285"/>
      <c r="H466" s="285"/>
      <c r="I466" s="282"/>
      <c r="J466" s="282"/>
      <c r="K466" s="282"/>
      <c r="L466" s="278" t="str">
        <f t="shared" si="51"/>
        <v>Em andamento</v>
      </c>
      <c r="M466" s="306">
        <f t="shared" si="52"/>
        <v>0</v>
      </c>
      <c r="N466" s="305" t="str">
        <f t="shared" si="53"/>
        <v>Dentro do prazo</v>
      </c>
      <c r="O466" s="389">
        <f t="shared" si="48"/>
        <v>0</v>
      </c>
      <c r="P466" s="389">
        <f t="shared" si="49"/>
        <v>0</v>
      </c>
      <c r="Q466" s="309">
        <f t="shared" si="50"/>
        <v>0</v>
      </c>
      <c r="R466" s="279"/>
      <c r="S466" s="279"/>
    </row>
    <row r="467" spans="1:19" s="2" customFormat="1" ht="29.25" customHeight="1" x14ac:dyDescent="0.2">
      <c r="A467" s="282"/>
      <c r="B467" s="282"/>
      <c r="C467" s="283"/>
      <c r="D467" s="284"/>
      <c r="E467" s="297"/>
      <c r="F467" s="285"/>
      <c r="G467" s="285"/>
      <c r="H467" s="285"/>
      <c r="I467" s="282"/>
      <c r="J467" s="282"/>
      <c r="K467" s="282"/>
      <c r="L467" s="278" t="str">
        <f t="shared" si="51"/>
        <v>Em andamento</v>
      </c>
      <c r="M467" s="306">
        <f t="shared" si="52"/>
        <v>0</v>
      </c>
      <c r="N467" s="305" t="str">
        <f t="shared" si="53"/>
        <v>Dentro do prazo</v>
      </c>
      <c r="O467" s="389">
        <f t="shared" si="48"/>
        <v>0</v>
      </c>
      <c r="P467" s="389">
        <f t="shared" si="49"/>
        <v>0</v>
      </c>
      <c r="Q467" s="309">
        <f t="shared" si="50"/>
        <v>0</v>
      </c>
      <c r="R467" s="279"/>
      <c r="S467" s="279"/>
    </row>
    <row r="468" spans="1:19" s="2" customFormat="1" ht="29.25" customHeight="1" thickBot="1" x14ac:dyDescent="0.25">
      <c r="A468" s="396"/>
      <c r="B468" s="396"/>
      <c r="C468" s="397"/>
      <c r="D468" s="398"/>
      <c r="E468" s="399"/>
      <c r="F468" s="400"/>
      <c r="G468" s="400"/>
      <c r="H468" s="400"/>
      <c r="I468" s="396"/>
      <c r="J468" s="396"/>
      <c r="K468" s="396"/>
      <c r="L468" s="401" t="str">
        <f t="shared" si="51"/>
        <v>Em andamento</v>
      </c>
      <c r="M468" s="402">
        <f t="shared" si="52"/>
        <v>0</v>
      </c>
      <c r="N468" s="403" t="str">
        <f t="shared" si="53"/>
        <v>Dentro do prazo</v>
      </c>
      <c r="O468" s="389">
        <f t="shared" si="48"/>
        <v>0</v>
      </c>
      <c r="P468" s="389">
        <f t="shared" si="49"/>
        <v>0</v>
      </c>
      <c r="Q468" s="309">
        <f t="shared" si="50"/>
        <v>0</v>
      </c>
      <c r="R468" s="279"/>
      <c r="S468" s="279"/>
    </row>
    <row r="469" spans="1:19" s="2" customFormat="1" ht="23.25" customHeight="1" x14ac:dyDescent="0.2">
      <c r="A469" s="465" t="s">
        <v>122</v>
      </c>
      <c r="B469" s="465"/>
      <c r="C469" s="465"/>
      <c r="D469" s="465"/>
      <c r="E469" s="465"/>
      <c r="F469" s="465"/>
      <c r="G469" s="465"/>
      <c r="H469" s="465"/>
      <c r="I469" s="465"/>
      <c r="J469" s="465"/>
      <c r="K469" s="465"/>
      <c r="L469" s="465"/>
      <c r="M469" s="465"/>
      <c r="N469" s="465"/>
      <c r="O469" s="390"/>
      <c r="P469" s="390"/>
      <c r="Q469" s="310"/>
    </row>
    <row r="470" spans="1:19" s="2" customFormat="1" ht="15" x14ac:dyDescent="0.2">
      <c r="A470" s="459"/>
      <c r="B470" s="459"/>
      <c r="C470" s="459"/>
      <c r="D470" s="459"/>
      <c r="E470" s="459"/>
      <c r="F470" s="459"/>
      <c r="G470" s="459"/>
      <c r="H470" s="459"/>
      <c r="I470" s="459"/>
      <c r="J470" s="459"/>
      <c r="K470" s="459"/>
      <c r="L470" s="459"/>
      <c r="M470" s="298"/>
      <c r="N470" s="281"/>
      <c r="O470" s="390"/>
      <c r="P470" s="390"/>
      <c r="Q470" s="310"/>
    </row>
    <row r="471" spans="1:19" ht="14.25" customHeight="1" x14ac:dyDescent="0.25">
      <c r="A471" s="464"/>
      <c r="B471" s="456"/>
      <c r="C471" s="456"/>
      <c r="D471" s="456"/>
      <c r="E471" s="456"/>
      <c r="F471" s="456"/>
      <c r="G471" s="456"/>
      <c r="H471" s="456"/>
      <c r="I471" s="456"/>
      <c r="J471" s="456"/>
      <c r="K471" s="456"/>
      <c r="L471" s="456"/>
      <c r="M471" s="456"/>
      <c r="N471" s="456"/>
      <c r="O471" s="456"/>
      <c r="P471" s="456"/>
      <c r="Q471" s="456"/>
    </row>
  </sheetData>
  <sheetProtection algorithmName="SHA-512" hashValue="/IM6kNBdEoK+QBPOvTBMKFt4tjTmSNLO5BFPm+TFj2LDPLzFm+br308TMeBmhnOYmmzM27RzEUUbf7+UztZYdQ==" saltValue="dCHAfL7HE++arm//7rMZNA==" spinCount="100000" sheet="1" objects="1" scenarios="1" formatCells="0" formatColumns="0" formatRows="0" autoFilter="0"/>
  <mergeCells count="5">
    <mergeCell ref="A470:L470"/>
    <mergeCell ref="A1:N1"/>
    <mergeCell ref="A2:N2"/>
    <mergeCell ref="A471:Q471"/>
    <mergeCell ref="A469:N469"/>
  </mergeCells>
  <conditionalFormatting sqref="L4:M468">
    <cfRule type="cellIs" dxfId="4" priority="4" operator="equal">
      <formula>"Concluído"</formula>
    </cfRule>
    <cfRule type="cellIs" dxfId="3" priority="5" operator="equal">
      <formula>"Em andamento"</formula>
    </cfRule>
  </conditionalFormatting>
  <conditionalFormatting sqref="N4:N468">
    <cfRule type="cellIs" dxfId="2" priority="2" operator="equal">
      <formula>"Dentro do prazo"</formula>
    </cfRule>
    <cfRule type="cellIs" dxfId="1" priority="3" operator="equal">
      <formula>"Fora do prazo"</formula>
    </cfRule>
  </conditionalFormatting>
  <conditionalFormatting sqref="L4:M468">
    <cfRule type="cellIs" dxfId="0" priority="1" operator="equal">
      <formula>"Cancelado"</formula>
    </cfRule>
  </conditionalFormatting>
  <dataValidations count="2">
    <dataValidation type="list" allowBlank="1" showInputMessage="1" showErrorMessage="1" sqref="G4:G468" xr:uid="{00000000-0002-0000-0100-000000000000}">
      <formula1>"CCQA, Cetea, Cereal Chocotec, CTC, DG, Fruthotec, Tecnolat, Cancelado"</formula1>
    </dataValidation>
    <dataValidation type="list" allowBlank="1" showInputMessage="1" showErrorMessage="1" sqref="C4:C468" xr:uid="{00000000-0002-0000-0100-000001000000}">
      <formula1>"Fale Conosco, Ouvidoria, SIC"</formula1>
    </dataValidation>
  </dataValidations>
  <printOptions verticalCentered="1"/>
  <pageMargins left="0.39370078740157483" right="0" top="0" bottom="0" header="0.19685039370078741" footer="0"/>
  <pageSetup paperSize="9" scale="50" orientation="landscape" verticalDpi="300" r:id="rId1"/>
  <headerFooter alignWithMargins="0">
    <oddHeader>&amp;R&amp;P/&amp;N</oddHeader>
    <oddFooter>&amp;LFQ-07.53 (anexo ao PQ-07.01) - RA - revisão 01 de 27/04/22 - Página 1/4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3"/>
  <sheetViews>
    <sheetView topLeftCell="A12" zoomScaleNormal="100" zoomScaleSheetLayoutView="80" workbookViewId="0">
      <selection activeCell="N3" sqref="A3:N468"/>
    </sheetView>
  </sheetViews>
  <sheetFormatPr defaultRowHeight="12.75" x14ac:dyDescent="0.2"/>
  <cols>
    <col min="1" max="1" width="16.140625" customWidth="1"/>
    <col min="2" max="2" width="9.140625" style="290"/>
    <col min="3" max="3" width="11.140625" style="290" customWidth="1"/>
    <col min="4" max="9" width="9.140625" style="290"/>
    <col min="10" max="10" width="10.42578125" style="290" customWidth="1"/>
    <col min="11" max="11" width="9.140625" style="290"/>
    <col min="12" max="12" width="11.85546875" style="290" customWidth="1"/>
    <col min="13" max="13" width="10.5703125" style="290" customWidth="1"/>
    <col min="14" max="14" width="9.140625" style="290"/>
  </cols>
  <sheetData>
    <row r="1" spans="1:14" ht="13.5" thickBot="1" x14ac:dyDescent="0.25">
      <c r="A1" s="467" t="s">
        <v>110</v>
      </c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</row>
    <row r="2" spans="1:14" ht="13.5" thickBot="1" x14ac:dyDescent="0.25">
      <c r="A2" s="468" t="str">
        <f>'Página 01'!A2:N2</f>
        <v>(ANO)</v>
      </c>
      <c r="B2" s="469"/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70"/>
    </row>
    <row r="4" spans="1:14" x14ac:dyDescent="0.2">
      <c r="A4" s="287" t="s">
        <v>111</v>
      </c>
      <c r="B4" s="289"/>
      <c r="C4" s="289"/>
      <c r="D4" s="289"/>
      <c r="E4" s="289"/>
    </row>
    <row r="5" spans="1:14" ht="5.25" customHeight="1" x14ac:dyDescent="0.2">
      <c r="A5" s="286"/>
    </row>
    <row r="6" spans="1:14" x14ac:dyDescent="0.2">
      <c r="A6" s="292" t="s">
        <v>92</v>
      </c>
      <c r="B6" s="293" t="s">
        <v>95</v>
      </c>
      <c r="C6" s="293" t="s">
        <v>96</v>
      </c>
      <c r="D6" s="293" t="s">
        <v>97</v>
      </c>
      <c r="E6" s="293" t="s">
        <v>93</v>
      </c>
      <c r="F6" s="293" t="s">
        <v>94</v>
      </c>
      <c r="G6" s="293" t="s">
        <v>98</v>
      </c>
      <c r="H6" s="293" t="s">
        <v>99</v>
      </c>
      <c r="I6" s="293" t="s">
        <v>100</v>
      </c>
      <c r="J6" s="293" t="s">
        <v>101</v>
      </c>
      <c r="K6" s="293" t="s">
        <v>102</v>
      </c>
      <c r="L6" s="293" t="s">
        <v>103</v>
      </c>
      <c r="M6" s="293" t="s">
        <v>104</v>
      </c>
      <c r="N6" s="293" t="s">
        <v>105</v>
      </c>
    </row>
    <row r="7" spans="1:14" x14ac:dyDescent="0.2">
      <c r="A7" s="288" t="s">
        <v>20</v>
      </c>
      <c r="B7" s="291">
        <f>COUNTIFS('Página 01'!G$4:G$468,A7,'Página 01'!Q$4:Q$468,1,'Página 01'!C$4:C$468,"Fale Conosco")</f>
        <v>0</v>
      </c>
      <c r="C7" s="291">
        <f>COUNTIFS('Página 01'!G$4:G$468,A7,'Página 01'!Q$4:Q$468,"2",'Página 01'!C$4:C$468,"Fale Conosco")</f>
        <v>0</v>
      </c>
      <c r="D7" s="291">
        <f>COUNTIFS('Página 01'!G$4:G$468,A7,'Página 01'!Q$4:Q$468,3,'Página 01'!C$4:C$468,"Fale Conosco")</f>
        <v>0</v>
      </c>
      <c r="E7" s="291">
        <f>COUNTIFS('Página 01'!G$4:G$468,A7,'Página 01'!Q$4:Q$468,4,'Página 01'!C$4:C$468,"Fale Conosco")</f>
        <v>0</v>
      </c>
      <c r="F7" s="291">
        <f>COUNTIFS('Página 01'!G$4:G$468,A7,'Página 01'!Q$4:Q$468,5,'Página 01'!C$4:C$468,"Fale Conosco")</f>
        <v>0</v>
      </c>
      <c r="G7" s="291">
        <f>COUNTIFS('Página 01'!G$4:G$468,A7,'Página 01'!Q$4:Q$468,6,'Página 01'!C$4:C$468,"Fale Conosco")</f>
        <v>0</v>
      </c>
      <c r="H7" s="291">
        <f>COUNTIFS('Página 01'!G$4:G$468,A7,'Página 01'!Q$4:Q$468,7,'Página 01'!C$4:C$468,"Fale Conosco")</f>
        <v>0</v>
      </c>
      <c r="I7" s="291">
        <f>COUNTIFS('Página 01'!G$4:G$468,A7,'Página 01'!Q$4:Q$468,8,'Página 01'!C$4:C$468,"Fale Conosco")</f>
        <v>0</v>
      </c>
      <c r="J7" s="291">
        <f>COUNTIFS('Página 01'!G$4:G$468,A7,'Página 01'!Q$4:Q$468,9,'Página 01'!C$4:C$468,"Fale Conosco")</f>
        <v>0</v>
      </c>
      <c r="K7" s="291">
        <f>COUNTIFS('Página 01'!G$4:G$468,A7,'Página 01'!Q$4:Q$468,10,'Página 01'!C$4:C$468,"Fale Conosco")</f>
        <v>0</v>
      </c>
      <c r="L7" s="291">
        <f>COUNTIFS('Página 01'!G$4:G$468,A7,'Página 01'!Q$4:Q$468,11,'Página 01'!C$4:C$468,"Fale Conosco")</f>
        <v>0</v>
      </c>
      <c r="M7" s="291">
        <f>COUNTIFS('Página 01'!G$4:G$468,A7,'Página 01'!Q$4:Q$468,12,'Página 01'!C$4:C$468,"Fale Conosco")</f>
        <v>0</v>
      </c>
      <c r="N7" s="291">
        <f>SUM(B7:M7)</f>
        <v>0</v>
      </c>
    </row>
    <row r="8" spans="1:14" x14ac:dyDescent="0.2">
      <c r="A8" s="288" t="s">
        <v>91</v>
      </c>
      <c r="B8" s="291">
        <f>COUNTIFS('Página 01'!G$4:G$468,A8,'Página 01'!Q$4:Q$468,1,'Página 01'!C$4:C$468,"Fale Conosco")</f>
        <v>0</v>
      </c>
      <c r="C8" s="291">
        <f>COUNTIFS('Página 01'!G$4:G$468,A8,'Página 01'!Q$4:Q$468,2,'Página 01'!C$4:C$468,"Fale Conosco")</f>
        <v>0</v>
      </c>
      <c r="D8" s="291">
        <f>COUNTIFS('Página 01'!G$4:G$468,A8,'Página 01'!Q$4:Q$468,3,'Página 01'!C$4:C$468,"Fale Conosco")</f>
        <v>0</v>
      </c>
      <c r="E8" s="291">
        <f>COUNTIFS('Página 01'!G$4:G$468,A8,'Página 01'!Q$4:Q$468,4,'Página 01'!C$4:C$468,"Fale Conosco")</f>
        <v>0</v>
      </c>
      <c r="F8" s="291">
        <f>COUNTIFS('Página 01'!G$4:G$468,A8,'Página 01'!Q$4:Q$468,5,'Página 01'!C$4:C$468,"Fale Conosco")</f>
        <v>0</v>
      </c>
      <c r="G8" s="291">
        <f>COUNTIFS('Página 01'!G$4:G$468,A8,'Página 01'!Q$4:Q$468,6,'Página 01'!C$4:C$468,"Fale Conosco")</f>
        <v>0</v>
      </c>
      <c r="H8" s="291">
        <f>COUNTIFS('Página 01'!G$4:G$468,A8,'Página 01'!Q$4:Q$468,7,'Página 01'!C$4:C$468,"Fale Conosco")</f>
        <v>0</v>
      </c>
      <c r="I8" s="291">
        <f>COUNTIFS('Página 01'!G$4:G$468,A8,'Página 01'!Q$4:Q$468,8,'Página 01'!C$4:C$468,"Fale Conosco")</f>
        <v>0</v>
      </c>
      <c r="J8" s="291">
        <f>COUNTIFS('Página 01'!G$4:G$468,A8,'Página 01'!Q$4:Q$468,9,'Página 01'!C$4:C$468,"Fale Conosco")</f>
        <v>0</v>
      </c>
      <c r="K8" s="291">
        <f>COUNTIFS('Página 01'!G$4:G$468,A8,'Página 01'!Q$4:Q$468,10,'Página 01'!C$4:C$468,"Fale Conosco")</f>
        <v>0</v>
      </c>
      <c r="L8" s="291">
        <f>COUNTIFS('Página 01'!G$4:G$468,A8,'Página 01'!Q$4:Q$468,11,'Página 01'!C$4:C$468,"Fale Conosco")</f>
        <v>0</v>
      </c>
      <c r="M8" s="291">
        <f>COUNTIFS('Página 01'!G$4:G$468,A8,'Página 01'!Q$4:Q$468,12,'Página 01'!C$4:C$468,"Fale Conosco")</f>
        <v>0</v>
      </c>
      <c r="N8" s="291">
        <f t="shared" ref="N8:N14" si="0">SUM(B8:M8)</f>
        <v>0</v>
      </c>
    </row>
    <row r="9" spans="1:14" x14ac:dyDescent="0.2">
      <c r="A9" s="288" t="s">
        <v>77</v>
      </c>
      <c r="B9" s="291">
        <f>COUNTIFS('Página 01'!G$4:G$468,A9,'Página 01'!Q$4:Q$468,1,'Página 01'!C$4:C$468,"Fale Conosco")</f>
        <v>0</v>
      </c>
      <c r="C9" s="291">
        <f>COUNTIFS('Página 01'!G$4:G$468,A9,'Página 01'!Q$4:Q$468,2,'Página 01'!C$4:C$468,"Fale Conosco")</f>
        <v>0</v>
      </c>
      <c r="D9" s="291">
        <f>COUNTIFS('Página 01'!G$4:G$468,A9,'Página 01'!Q$4:Q$468,3,'Página 01'!C$4:C$468,"Fale Conosco")</f>
        <v>0</v>
      </c>
      <c r="E9" s="291">
        <f>COUNTIFS('Página 01'!G$4:G$468,A9,'Página 01'!Q$4:Q$468,4,'Página 01'!C$4:C$468,"Fale Conosco")</f>
        <v>0</v>
      </c>
      <c r="F9" s="291">
        <f>COUNTIFS('Página 01'!G$4:G$468,A9,'Página 01'!Q$4:Q$468,5,'Página 01'!C$4:C$468,"Fale Conosco")</f>
        <v>0</v>
      </c>
      <c r="G9" s="291">
        <f>COUNTIFS('Página 01'!G$4:G$468,A9,'Página 01'!Q$4:Q$468,6,'Página 01'!C$4:C$468,"Fale Conosco")</f>
        <v>0</v>
      </c>
      <c r="H9" s="291">
        <f>COUNTIFS('Página 01'!G$4:G$468,A9,'Página 01'!Q$4:Q$468,7,'Página 01'!C$4:C$468,"Fale Conosco")</f>
        <v>0</v>
      </c>
      <c r="I9" s="291">
        <f>COUNTIFS('Página 01'!G$4:G$468,A9,'Página 01'!Q$4:Q$468,8,'Página 01'!C$4:C$468,"Fale Conosco")</f>
        <v>0</v>
      </c>
      <c r="J9" s="291">
        <f>COUNTIFS('Página 01'!G$4:G$468,A9,'Página 01'!Q$4:Q$468,9,'Página 01'!C$4:C$468,"Fale Conosco")</f>
        <v>0</v>
      </c>
      <c r="K9" s="291">
        <f>COUNTIFS('Página 01'!G$4:G$468,A9,'Página 01'!Q$4:Q$468,10,'Página 01'!C$4:C$468,"Fale Conosco")</f>
        <v>0</v>
      </c>
      <c r="L9" s="291">
        <f>COUNTIFS('Página 01'!G$4:G$468,A9,'Página 01'!Q$4:Q$468,11,'Página 01'!C$4:C$468,"Fale Conosco")</f>
        <v>0</v>
      </c>
      <c r="M9" s="291">
        <f>COUNTIFS('Página 01'!G$4:G$468,A9,'Página 01'!Q$4:Q$468,12,'Página 01'!C$4:C$468,"Fale Conosco")</f>
        <v>0</v>
      </c>
      <c r="N9" s="291">
        <f t="shared" si="0"/>
        <v>0</v>
      </c>
    </row>
    <row r="10" spans="1:14" hidden="1" x14ac:dyDescent="0.2">
      <c r="A10" s="288" t="s">
        <v>78</v>
      </c>
      <c r="B10" s="291">
        <f>COUNTIFS('Página 01'!G$4:G$468,A10,'Página 01'!Q$4:Q$468,1,'Página 01'!C$4:C$468,"Fale Conosco")</f>
        <v>0</v>
      </c>
      <c r="C10" s="291">
        <f>COUNTIFS('Página 01'!G$4:G$468,A10,'Página 01'!Q$4:Q$468,2,'Página 01'!C$4:C$468,"Fale Conosco")</f>
        <v>0</v>
      </c>
      <c r="D10" s="291">
        <f>COUNTIFS('Página 01'!G$4:G$468,A10,'Página 01'!Q$4:Q$468,3,'Página 01'!C$4:C$468,"Fale Conosco")</f>
        <v>0</v>
      </c>
      <c r="E10" s="291">
        <f>COUNTIFS('Página 01'!G$4:G$468,A10,'Página 01'!Q$4:Q$468,4,'Página 01'!C$4:C$468,"Fale Conosco")</f>
        <v>0</v>
      </c>
      <c r="F10" s="291">
        <f>COUNTIFS('Página 01'!G$4:G$468,A10,'Página 01'!Q$4:Q$468,5,'Página 01'!C$4:C$468,"Fale Conosco")</f>
        <v>0</v>
      </c>
      <c r="G10" s="291">
        <f>COUNTIFS('Página 01'!G$4:G$468,A10,'Página 01'!Q$4:Q$468,6,'Página 01'!C$4:C$468,"Fale Conosco")</f>
        <v>0</v>
      </c>
      <c r="H10" s="291">
        <f>COUNTIFS('Página 01'!G$4:G$468,A10,'Página 01'!Q$4:Q$468,7,'Página 01'!C$4:C$468,"Fale Conosco")</f>
        <v>0</v>
      </c>
      <c r="I10" s="291">
        <f>COUNTIFS('Página 01'!G$4:G$468,A10,'Página 01'!Q$4:Q$468,8,'Página 01'!C$4:C$468,"Fale Conosco")</f>
        <v>0</v>
      </c>
      <c r="J10" s="291">
        <f>COUNTIFS('Página 01'!G$4:G$468,A10,'Página 01'!Q$4:Q$468,9,'Página 01'!C$4:C$468,"Fale Conosco")</f>
        <v>0</v>
      </c>
      <c r="K10" s="291">
        <f>COUNTIFS('Página 01'!G$4:G$468,A10,'Página 01'!Q$4:Q$468,10,'Página 01'!C$4:C$468,"Fale Conosco")</f>
        <v>0</v>
      </c>
      <c r="L10" s="291">
        <f>COUNTIFS('Página 01'!G$4:G$468,A10,'Página 01'!Q$4:Q$468,11,'Página 01'!C$4:C$468,"Fale Conosco")</f>
        <v>0</v>
      </c>
      <c r="M10" s="291">
        <f>COUNTIFS('Página 01'!G$4:G$468,A10,'Página 01'!Q$4:Q$468,12,'Página 01'!C$4:C$468,"Fale Conosco")</f>
        <v>0</v>
      </c>
      <c r="N10" s="291">
        <f t="shared" si="0"/>
        <v>0</v>
      </c>
    </row>
    <row r="11" spans="1:14" x14ac:dyDescent="0.2">
      <c r="A11" s="288" t="s">
        <v>22</v>
      </c>
      <c r="B11" s="291">
        <f>COUNTIFS('Página 01'!G$4:G$468,A11,'Página 01'!Q$4:Q$468,1,'Página 01'!C$4:C$468,"Fale Conosco")</f>
        <v>0</v>
      </c>
      <c r="C11" s="291">
        <f>COUNTIFS('Página 01'!G$4:G$468,A11,'Página 01'!Q$4:Q$468,2,'Página 01'!C$4:C$468,"Fale Conosco")</f>
        <v>0</v>
      </c>
      <c r="D11" s="291">
        <f>COUNTIFS('Página 01'!G$4:G$468,A11,'Página 01'!Q$4:Q$468,3,'Página 01'!C$4:C$468,"Fale Conosco")</f>
        <v>0</v>
      </c>
      <c r="E11" s="291">
        <f>COUNTIFS('Página 01'!G$4:G$468,A11,'Página 01'!Q$4:Q$468,4,'Página 01'!C$4:C$468,"Fale Conosco")</f>
        <v>0</v>
      </c>
      <c r="F11" s="291">
        <f>COUNTIFS('Página 01'!G$4:G$468,A11,'Página 01'!Q$4:Q$468,5,'Página 01'!C$4:C$468,"Fale Conosco")</f>
        <v>0</v>
      </c>
      <c r="G11" s="291">
        <f>COUNTIFS('Página 01'!G$4:G$468,A11,'Página 01'!Q$4:Q$468,6,'Página 01'!C$4:C$468,"Fale Conosco")</f>
        <v>0</v>
      </c>
      <c r="H11" s="291">
        <f>COUNTIFS('Página 01'!G$4:G$468,A11,'Página 01'!Q$4:Q$468,7,'Página 01'!C$4:C$468,"Fale Conosco")</f>
        <v>0</v>
      </c>
      <c r="I11" s="291">
        <f>COUNTIFS('Página 01'!G$4:G$468,A11,'Página 01'!Q$4:Q$468,8,'Página 01'!C$4:C$468,"Fale Conosco")</f>
        <v>0</v>
      </c>
      <c r="J11" s="291">
        <f>COUNTIFS('Página 01'!G$4:G$468,A11,'Página 01'!Q$4:Q$468,9,'Página 01'!C$4:C$468,"Fale Conosco")</f>
        <v>0</v>
      </c>
      <c r="K11" s="291">
        <f>COUNTIFS('Página 01'!G$4:G$468,A11,'Página 01'!Q$4:Q$468,10,'Página 01'!C$4:C$468,"Fale Conosco")</f>
        <v>0</v>
      </c>
      <c r="L11" s="291">
        <f>COUNTIFS('Página 01'!G$4:G$468,A11,'Página 01'!Q$4:Q$468,11,'Página 01'!C$4:C$468,"Fale Conosco")</f>
        <v>0</v>
      </c>
      <c r="M11" s="291">
        <f>COUNTIFS('Página 01'!G$4:G$468,A11,'Página 01'!Q$4:Q$468,12,'Página 01'!C$4:C$468,"Fale Conosco")</f>
        <v>0</v>
      </c>
      <c r="N11" s="291">
        <f t="shared" si="0"/>
        <v>0</v>
      </c>
    </row>
    <row r="12" spans="1:14" x14ac:dyDescent="0.2">
      <c r="A12" s="288" t="s">
        <v>48</v>
      </c>
      <c r="B12" s="291">
        <f>COUNTIFS('Página 01'!G$4:G$468,A12,'Página 01'!Q$4:Q$468,1,'Página 01'!C$4:C$468,"Fale Conosco")</f>
        <v>0</v>
      </c>
      <c r="C12" s="291">
        <f>COUNTIFS('Página 01'!G$4:G$468,A12,'Página 01'!Q$4:Q$468,2,'Página 01'!C$4:C$468,"Fale Conosco")</f>
        <v>0</v>
      </c>
      <c r="D12" s="291">
        <f>COUNTIFS('Página 01'!G$4:G$468,A12,'Página 01'!Q$4:Q$468,3,'Página 01'!C$4:C$468,"Fale Conosco")</f>
        <v>0</v>
      </c>
      <c r="E12" s="291">
        <f>COUNTIFS('Página 01'!G$4:G$468,A12,'Página 01'!Q$4:Q$468,4,'Página 01'!C$4:C$468,"Fale Conosco")</f>
        <v>0</v>
      </c>
      <c r="F12" s="291">
        <f>COUNTIFS('Página 01'!G$4:G$468,A12,'Página 01'!Q$4:Q$468,5,'Página 01'!C$4:C$468,"Fale Conosco")</f>
        <v>0</v>
      </c>
      <c r="G12" s="291">
        <f>COUNTIFS('Página 01'!G$4:G$468,A12,'Página 01'!Q$4:Q$468,6,'Página 01'!C$4:C$468,"Fale Conosco")</f>
        <v>0</v>
      </c>
      <c r="H12" s="291">
        <f>COUNTIFS('Página 01'!G$4:G$468,A12,'Página 01'!Q$4:Q$468,7,'Página 01'!C$4:C$468,"Fale Conosco")</f>
        <v>0</v>
      </c>
      <c r="I12" s="291">
        <f>COUNTIFS('Página 01'!G$4:G$468,A12,'Página 01'!Q$4:Q$468,8,'Página 01'!C$4:C$468,"Fale Conosco")</f>
        <v>0</v>
      </c>
      <c r="J12" s="291">
        <f>COUNTIFS('Página 01'!G$4:G$468,A12,'Página 01'!Q$4:Q$468,9,'Página 01'!C$4:C$468,"Fale Conosco")</f>
        <v>0</v>
      </c>
      <c r="K12" s="291">
        <f>COUNTIFS('Página 01'!G$4:G$468,A12,'Página 01'!Q$4:Q$468,10,'Página 01'!C$4:C$468,"Fale Conosco")</f>
        <v>0</v>
      </c>
      <c r="L12" s="291">
        <f>COUNTIFS('Página 01'!G$4:G$468,A12,'Página 01'!Q$4:Q$468,11,'Página 01'!C$4:C$468,"Fale Conosco")</f>
        <v>0</v>
      </c>
      <c r="M12" s="291">
        <f>COUNTIFS('Página 01'!G$4:G$468,A12,'Página 01'!Q$4:Q$468,12,'Página 01'!C$4:C$468,"Fale Conosco")</f>
        <v>0</v>
      </c>
      <c r="N12" s="291">
        <f t="shared" si="0"/>
        <v>0</v>
      </c>
    </row>
    <row r="13" spans="1:14" x14ac:dyDescent="0.2">
      <c r="A13" s="288" t="s">
        <v>76</v>
      </c>
      <c r="B13" s="291">
        <f>COUNTIFS('Página 01'!G$4:G$468,A13,'Página 01'!Q$4:Q$468,1,'Página 01'!C$4:C$468,"Fale Conosco")</f>
        <v>0</v>
      </c>
      <c r="C13" s="291">
        <f>COUNTIFS('Página 01'!G$4:G$468,A13,'Página 01'!Q$4:Q$468,2,'Página 01'!C$4:C$468,"Fale Conosco")</f>
        <v>0</v>
      </c>
      <c r="D13" s="291">
        <f>COUNTIFS('Página 01'!G$4:G$468,A13,'Página 01'!Q$4:Q$468,3,'Página 01'!C$4:C$468,"Fale Conosco")</f>
        <v>0</v>
      </c>
      <c r="E13" s="291">
        <f>COUNTIFS('Página 01'!G$4:G$468,A13,'Página 01'!Q$4:Q$468,4,'Página 01'!C$4:C$468,"Fale Conosco")</f>
        <v>0</v>
      </c>
      <c r="F13" s="291">
        <f>COUNTIFS('Página 01'!G$4:G$468,A13,'Página 01'!Q$4:Q$468,5,'Página 01'!C$4:C$468,"Fale Conosco")</f>
        <v>0</v>
      </c>
      <c r="G13" s="291">
        <f>COUNTIFS('Página 01'!G$4:G$468,A13,'Página 01'!Q$4:Q$468,6,'Página 01'!C$4:C$468,"Fale Conosco")</f>
        <v>0</v>
      </c>
      <c r="H13" s="291">
        <f>COUNTIFS('Página 01'!G$4:G$468,A13,'Página 01'!Q$4:Q$468,7,'Página 01'!C$4:C$468,"Fale Conosco")</f>
        <v>0</v>
      </c>
      <c r="I13" s="291">
        <f>COUNTIFS('Página 01'!G$4:G$468,A13,'Página 01'!Q$4:Q$468,8,'Página 01'!C$4:C$468,"Fale Conosco")</f>
        <v>0</v>
      </c>
      <c r="J13" s="291">
        <f>COUNTIFS('Página 01'!G$4:G$468,A13,'Página 01'!Q$4:Q$468,9,'Página 01'!C$4:C$468,"Fale Conosco")</f>
        <v>0</v>
      </c>
      <c r="K13" s="291">
        <f>COUNTIFS('Página 01'!G$4:G$468,A13,'Página 01'!Q$4:Q$468,10,'Página 01'!C$4:C$468,"Fale Conosco")</f>
        <v>0</v>
      </c>
      <c r="L13" s="291">
        <f>COUNTIFS('Página 01'!G$4:G$468,A13,'Página 01'!Q$4:Q$468,11,'Página 01'!C$4:C$468,"Fale Conosco")</f>
        <v>0</v>
      </c>
      <c r="M13" s="291">
        <f>COUNTIFS('Página 01'!G$4:G$468,A13,'Página 01'!Q$4:Q$468,12,'Página 01'!C$4:C$468,"Fale Conosco")</f>
        <v>0</v>
      </c>
      <c r="N13" s="291">
        <f t="shared" si="0"/>
        <v>0</v>
      </c>
    </row>
    <row r="14" spans="1:14" x14ac:dyDescent="0.2">
      <c r="A14" s="288" t="s">
        <v>75</v>
      </c>
      <c r="B14" s="291">
        <f>COUNTIFS('Página 01'!G$4:G$468,A14,'Página 01'!Q$4:Q$468,1,'Página 01'!C$4:C$468,"Fale Conosco")</f>
        <v>0</v>
      </c>
      <c r="C14" s="291">
        <f>COUNTIFS('Página 01'!G$4:G$468,A14,'Página 01'!Q$4:Q$468,2,'Página 01'!C$4:C$468,"Fale Conosco")</f>
        <v>0</v>
      </c>
      <c r="D14" s="291">
        <f>COUNTIFS('Página 01'!G$4:G$468,A14,'Página 01'!Q$4:Q$468,3,'Página 01'!C$4:C$468,"Fale Conosco")</f>
        <v>0</v>
      </c>
      <c r="E14" s="291">
        <f>COUNTIFS('Página 01'!G$4:G$468,A14,'Página 01'!Q$4:Q$468,4,'Página 01'!C$4:C$468,"Fale Conosco")</f>
        <v>0</v>
      </c>
      <c r="F14" s="291">
        <f>COUNTIFS('Página 01'!G$4:G$468,A14,'Página 01'!Q$4:Q$468,5,'Página 01'!C$4:C$468,"Fale Conosco")</f>
        <v>0</v>
      </c>
      <c r="G14" s="291">
        <f>COUNTIFS('Página 01'!G$4:G$468,A14,'Página 01'!Q$4:Q$468,6,'Página 01'!C$4:C$468,"Fale Conosco")</f>
        <v>0</v>
      </c>
      <c r="H14" s="291">
        <f>COUNTIFS('Página 01'!G$4:G$468,A14,'Página 01'!Q$4:Q$468,7,'Página 01'!C$4:C$468,"Fale Conosco")</f>
        <v>0</v>
      </c>
      <c r="I14" s="291">
        <f>COUNTIFS('Página 01'!G$4:G$468,A14,'Página 01'!Q$4:Q$468,8,'Página 01'!C$4:C$468,"Fale Conosco")</f>
        <v>0</v>
      </c>
      <c r="J14" s="291">
        <f>COUNTIFS('Página 01'!G$4:G$468,A14,'Página 01'!Q$4:Q$468,9,'Página 01'!C$4:C$468,"Fale Conosco")</f>
        <v>0</v>
      </c>
      <c r="K14" s="291">
        <f>COUNTIFS('Página 01'!G$4:G$468,A14,'Página 01'!Q$4:Q$468,10,'Página 01'!C$4:C$468,"Fale Conosco")</f>
        <v>0</v>
      </c>
      <c r="L14" s="291">
        <f>COUNTIFS('Página 01'!G$4:G$468,A14,'Página 01'!Q$4:Q$468,11,'Página 01'!C$4:C$468,"Fale Conosco")</f>
        <v>0</v>
      </c>
      <c r="M14" s="291">
        <f>COUNTIFS('Página 01'!G$4:G$468,A14,'Página 01'!Q$4:Q$468,12,'Página 01'!C$4:C$468,"Fale Conosco")</f>
        <v>0</v>
      </c>
      <c r="N14" s="291">
        <f t="shared" si="0"/>
        <v>0</v>
      </c>
    </row>
    <row r="15" spans="1:14" x14ac:dyDescent="0.2">
      <c r="A15" s="292" t="s">
        <v>79</v>
      </c>
      <c r="B15" s="293">
        <f>SUM(B7:B14)</f>
        <v>0</v>
      </c>
      <c r="C15" s="293">
        <f t="shared" ref="C15:N15" si="1">SUM(C7:C14)</f>
        <v>0</v>
      </c>
      <c r="D15" s="293">
        <f t="shared" si="1"/>
        <v>0</v>
      </c>
      <c r="E15" s="293">
        <f t="shared" si="1"/>
        <v>0</v>
      </c>
      <c r="F15" s="293">
        <f t="shared" si="1"/>
        <v>0</v>
      </c>
      <c r="G15" s="293">
        <f t="shared" si="1"/>
        <v>0</v>
      </c>
      <c r="H15" s="293">
        <f t="shared" si="1"/>
        <v>0</v>
      </c>
      <c r="I15" s="293">
        <f t="shared" si="1"/>
        <v>0</v>
      </c>
      <c r="J15" s="293">
        <f t="shared" si="1"/>
        <v>0</v>
      </c>
      <c r="K15" s="293">
        <f t="shared" si="1"/>
        <v>0</v>
      </c>
      <c r="L15" s="293">
        <f t="shared" si="1"/>
        <v>0</v>
      </c>
      <c r="M15" s="293">
        <f t="shared" si="1"/>
        <v>0</v>
      </c>
      <c r="N15" s="293">
        <f t="shared" si="1"/>
        <v>0</v>
      </c>
    </row>
    <row r="16" spans="1:14" ht="6.75" customHeight="1" x14ac:dyDescent="0.2"/>
    <row r="17" spans="1:14" x14ac:dyDescent="0.2">
      <c r="A17" s="287" t="s">
        <v>112</v>
      </c>
      <c r="B17" s="289"/>
      <c r="C17" s="289"/>
      <c r="D17" s="289"/>
      <c r="E17" s="289"/>
    </row>
    <row r="18" spans="1:14" ht="5.25" customHeight="1" x14ac:dyDescent="0.2"/>
    <row r="19" spans="1:14" x14ac:dyDescent="0.2">
      <c r="A19" s="292" t="s">
        <v>92</v>
      </c>
      <c r="B19" s="293" t="s">
        <v>95</v>
      </c>
      <c r="C19" s="293" t="s">
        <v>96</v>
      </c>
      <c r="D19" s="293" t="s">
        <v>97</v>
      </c>
      <c r="E19" s="293" t="s">
        <v>93</v>
      </c>
      <c r="F19" s="293" t="s">
        <v>94</v>
      </c>
      <c r="G19" s="293" t="s">
        <v>98</v>
      </c>
      <c r="H19" s="293" t="s">
        <v>99</v>
      </c>
      <c r="I19" s="293" t="s">
        <v>100</v>
      </c>
      <c r="J19" s="293" t="s">
        <v>101</v>
      </c>
      <c r="K19" s="293" t="s">
        <v>102</v>
      </c>
      <c r="L19" s="293" t="s">
        <v>103</v>
      </c>
      <c r="M19" s="293" t="s">
        <v>104</v>
      </c>
      <c r="N19" s="293" t="s">
        <v>105</v>
      </c>
    </row>
    <row r="20" spans="1:14" x14ac:dyDescent="0.2">
      <c r="A20" s="288" t="s">
        <v>20</v>
      </c>
      <c r="B20" s="291">
        <f>COUNTIFS('Página 01'!G$4:G$468,'Página 02_Fale Conosco'!A20,'Página 01'!C$4:C$468,"Fale Conosco",'Página 01'!L$4:L$468,"Concluído",'Página 01'!N$4:N$468,"Dentro do prazo",'Página 01'!P$4:P$468,"1")</f>
        <v>0</v>
      </c>
      <c r="C20" s="291">
        <f>COUNTIFS('Página 01'!G$4:G$468,'Página 02_Fale Conosco'!A20,'Página 01'!C$4:C$468,"Fale Conosco",'Página 01'!L$4:L$468,"Concluído",'Página 01'!N$4:N$468,"Dentro do prazo",'Página 01'!P$4:P$468,"2")</f>
        <v>0</v>
      </c>
      <c r="D20" s="291">
        <f>COUNTIFS('Página 01'!G$4:G$468,'Página 02_Fale Conosco'!A20,'Página 01'!C$4:C$468,"Fale Conosco",'Página 01'!L$4:L$468,"Concluído",'Página 01'!N$4:N$468,"Dentro do prazo",'Página 01'!P$4:P$468,"3")</f>
        <v>0</v>
      </c>
      <c r="E20" s="291">
        <f>COUNTIFS('Página 01'!G$4:G$468,'Página 02_Fale Conosco'!A20,'Página 01'!C$4:C$468,"Fale Conosco",'Página 01'!L$4:L$468,"Concluído",'Página 01'!N$4:N$468,"Dentro do prazo",'Página 01'!P$4:P$468,"4")</f>
        <v>0</v>
      </c>
      <c r="F20" s="291">
        <f>COUNTIFS('Página 01'!G$4:G$468,'Página 02_Fale Conosco'!A20,'Página 01'!C$4:C$468,"Fale Conosco",'Página 01'!L$4:L$468,"Concluído",'Página 01'!N$4:N$468,"Dentro do prazo",'Página 01'!P$4:P$468,"5")</f>
        <v>0</v>
      </c>
      <c r="G20" s="291">
        <f>COUNTIFS('Página 01'!G$4:G$468,'Página 02_Fale Conosco'!A20,'Página 01'!C$4:C$468,"Fale Conosco",'Página 01'!L$4:L$468,"Concluído",'Página 01'!N$4:N$468,"Dentro do prazo",'Página 01'!P$4:P$468,"6")</f>
        <v>0</v>
      </c>
      <c r="H20" s="291">
        <f>COUNTIFS('Página 01'!G$4:G$468,'Página 02_Fale Conosco'!A20,'Página 01'!C$4:C$468,"Fale Conosco",'Página 01'!L$4:L$468,"Concluído",'Página 01'!N$4:N$468,"Dentro do prazo",'Página 01'!P$4:P$468,"7")</f>
        <v>0</v>
      </c>
      <c r="I20" s="291">
        <f>COUNTIFS('Página 01'!G$4:G$468,'Página 02_Fale Conosco'!A20,'Página 01'!C$4:C$468,"Fale Conosco",'Página 01'!L$4:L$468,"Concluído",'Página 01'!N$4:N$468,"Dentro do prazo",'Página 01'!P$4:P$468,"8")</f>
        <v>0</v>
      </c>
      <c r="J20" s="291">
        <f>COUNTIFS('Página 01'!G$4:G$468,'Página 02_Fale Conosco'!A20,'Página 01'!C$4:C$468,"Fale Conosco",'Página 01'!L$4:L$468,"Concluído",'Página 01'!N$4:N$468,"Dentro do prazo",'Página 01'!P$4:P$468,"9")</f>
        <v>0</v>
      </c>
      <c r="K20" s="291">
        <f>COUNTIFS('Página 01'!G$4:G$468,'Página 02_Fale Conosco'!A20,'Página 01'!C$4:C$468,"Fale Conosco",'Página 01'!L$4:L$468,"Concluído",'Página 01'!N$4:N$468,"Dentro do prazo",'Página 01'!P$4:P$468,"10")</f>
        <v>0</v>
      </c>
      <c r="L20" s="291">
        <f>COUNTIFS('Página 01'!G$4:G$468,'Página 02_Fale Conosco'!A20,'Página 01'!C$4:C$468,"Fale Conosco",'Página 01'!L$4:L$468,"Concluído",'Página 01'!N$4:N$468,"Dentro do prazo",'Página 01'!P$4:P$468,"11")</f>
        <v>0</v>
      </c>
      <c r="M20" s="291">
        <f>COUNTIFS('Página 01'!G$4:G$468,'Página 02_Fale Conosco'!A20,'Página 01'!C$4:C$468,"Fale Conosco",'Página 01'!L$4:L$468,"Concluído",'Página 01'!N$4:N$468,"Dentro do prazo",'Página 01'!P$4:P$468,"12")</f>
        <v>0</v>
      </c>
      <c r="N20" s="291">
        <f>SUM(B20:M20)</f>
        <v>0</v>
      </c>
    </row>
    <row r="21" spans="1:14" x14ac:dyDescent="0.2">
      <c r="A21" s="288" t="s">
        <v>91</v>
      </c>
      <c r="B21" s="291">
        <f>COUNTIFS('Página 01'!G$4:G$468,'Página 02_Fale Conosco'!A21,'Página 01'!C$4:C$468,"Fale Conosco",'Página 01'!L$4:L$468,"Concluído",'Página 01'!N$4:N$468,"Dentro do prazo",'Página 01'!P$4:P$468,"1")</f>
        <v>0</v>
      </c>
      <c r="C21" s="291">
        <f>COUNTIFS('Página 01'!G$4:G$468,'Página 02_Fale Conosco'!A21,'Página 01'!C$4:C$468,"Fale Conosco",'Página 01'!L$4:L$468,"Concluído",'Página 01'!N$4:N$468,"Dentro do prazo",'Página 01'!P$4:P$468,"2")</f>
        <v>0</v>
      </c>
      <c r="D21" s="291">
        <f>COUNTIFS('Página 01'!G$4:G$468,'Página 02_Fale Conosco'!A21,'Página 01'!C$4:C$468,"Fale Conosco",'Página 01'!L$4:L$468,"Concluído",'Página 01'!N$4:N$468,"Dentro do prazo",'Página 01'!P$4:P$468,"3")</f>
        <v>0</v>
      </c>
      <c r="E21" s="291">
        <f>COUNTIFS('Página 01'!G$4:G$468,'Página 02_Fale Conosco'!A21,'Página 01'!C$4:C$468,"Fale Conosco",'Página 01'!L$4:L$468,"Concluído",'Página 01'!N$4:N$468,"Dentro do prazo",'Página 01'!P$4:P$468,"4")</f>
        <v>0</v>
      </c>
      <c r="F21" s="291">
        <f>COUNTIFS('Página 01'!G$4:G$468,'Página 02_Fale Conosco'!A21,'Página 01'!C$4:C$468,"Fale Conosco",'Página 01'!L$4:L$468,"Concluído",'Página 01'!N$4:N$468,"Dentro do prazo",'Página 01'!P$4:P$468,"5")</f>
        <v>0</v>
      </c>
      <c r="G21" s="291">
        <f>COUNTIFS('Página 01'!G$4:G$468,'Página 02_Fale Conosco'!A21,'Página 01'!C$4:C$468,"Fale Conosco",'Página 01'!L$4:L$468,"Concluído",'Página 01'!N$4:N$468,"Dentro do prazo",'Página 01'!P$4:P$468,"6")</f>
        <v>0</v>
      </c>
      <c r="H21" s="291">
        <f>COUNTIFS('Página 01'!G$4:G$468,'Página 02_Fale Conosco'!A21,'Página 01'!C$4:C$468,"Fale Conosco",'Página 01'!L$4:L$468,"Concluído",'Página 01'!N$4:N$468,"Dentro do prazo",'Página 01'!P$4:P$468,"7")</f>
        <v>0</v>
      </c>
      <c r="I21" s="291">
        <f>COUNTIFS('Página 01'!G$4:G$468,'Página 02_Fale Conosco'!A21,'Página 01'!C$4:C$468,"Fale Conosco",'Página 01'!L$4:L$468,"Concluído",'Página 01'!N$4:N$468,"Dentro do prazo",'Página 01'!P$4:P$468,"8")</f>
        <v>0</v>
      </c>
      <c r="J21" s="291">
        <f>COUNTIFS('Página 01'!G$4:G$468,'Página 02_Fale Conosco'!A21,'Página 01'!C$4:C$468,"Fale Conosco",'Página 01'!L$4:L$468,"Concluído",'Página 01'!N$4:N$468,"Dentro do prazo",'Página 01'!P$4:P$468,"9")</f>
        <v>0</v>
      </c>
      <c r="K21" s="291">
        <f>COUNTIFS('Página 01'!G$4:G$468,'Página 02_Fale Conosco'!A21,'Página 01'!C$4:C$468,"Fale Conosco",'Página 01'!L$4:L$468,"Concluído",'Página 01'!N$4:N$468,"Dentro do prazo",'Página 01'!P$4:P$468,"10")</f>
        <v>0</v>
      </c>
      <c r="L21" s="291">
        <f>COUNTIFS('Página 01'!G$4:G$468,'Página 02_Fale Conosco'!A21,'Página 01'!C$4:C$468,"Fale Conosco",'Página 01'!L$4:L$468,"Concluído",'Página 01'!N$4:N$468,"Dentro do prazo",'Página 01'!P$4:P$468,"11")</f>
        <v>0</v>
      </c>
      <c r="M21" s="291">
        <f>COUNTIFS('Página 01'!G$4:G$468,'Página 02_Fale Conosco'!A21,'Página 01'!C$4:C$468,"Fale Conosco",'Página 01'!L$4:L$468,"Concluído",'Página 01'!N$4:N$468,"Dentro do prazo",'Página 01'!P$4:P$468,"12")</f>
        <v>0</v>
      </c>
      <c r="N21" s="291">
        <f t="shared" ref="N21:N27" si="2">SUM(B21:M21)</f>
        <v>0</v>
      </c>
    </row>
    <row r="22" spans="1:14" x14ac:dyDescent="0.2">
      <c r="A22" s="288" t="s">
        <v>77</v>
      </c>
      <c r="B22" s="291">
        <f>COUNTIFS('Página 01'!G$4:G$468,'Página 02_Fale Conosco'!A22,'Página 01'!C$4:C$468,"Fale Conosco",'Página 01'!L$4:L$468,"Concluído",'Página 01'!N$4:N$468,"Dentro do prazo",'Página 01'!P$4:P$468,"1")</f>
        <v>0</v>
      </c>
      <c r="C22" s="291">
        <f>COUNTIFS('Página 01'!G$4:G$468,'Página 02_Fale Conosco'!A22,'Página 01'!C$4:C$468,"Fale Conosco",'Página 01'!L$4:L$468,"Concluído",'Página 01'!N$4:N$468,"Dentro do prazo",'Página 01'!P$4:P$468,"2")</f>
        <v>0</v>
      </c>
      <c r="D22" s="291">
        <f>COUNTIFS('Página 01'!G$4:G$468,'Página 02_Fale Conosco'!A22,'Página 01'!C$4:C$468,"Fale Conosco",'Página 01'!L$4:L$468,"Concluído",'Página 01'!N$4:N$468,"Dentro do prazo",'Página 01'!P$4:P$468,"3")</f>
        <v>0</v>
      </c>
      <c r="E22" s="291">
        <f>COUNTIFS('Página 01'!G$4:G$468,'Página 02_Fale Conosco'!A22,'Página 01'!C$4:C$468,"Fale Conosco",'Página 01'!L$4:L$468,"Concluído",'Página 01'!N$4:N$468,"Dentro do prazo",'Página 01'!P$4:P$468,"4")</f>
        <v>0</v>
      </c>
      <c r="F22" s="291">
        <f>COUNTIFS('Página 01'!G$4:G$468,'Página 02_Fale Conosco'!A22,'Página 01'!C$4:C$468,"Fale Conosco",'Página 01'!L$4:L$468,"Concluído",'Página 01'!N$4:N$468,"Dentro do prazo",'Página 01'!P$4:P$468,"5")</f>
        <v>0</v>
      </c>
      <c r="G22" s="291">
        <f>COUNTIFS('Página 01'!G$4:G$468,'Página 02_Fale Conosco'!A22,'Página 01'!C$4:C$468,"Fale Conosco",'Página 01'!L$4:L$468,"Concluído",'Página 01'!N$4:N$468,"Dentro do prazo",'Página 01'!P$4:P$468,"6")</f>
        <v>0</v>
      </c>
      <c r="H22" s="291">
        <f>COUNTIFS('Página 01'!G$4:G$468,'Página 02_Fale Conosco'!A22,'Página 01'!C$4:C$468,"Fale Conosco",'Página 01'!L$4:L$468,"Concluído",'Página 01'!N$4:N$468,"Dentro do prazo",'Página 01'!P$4:P$468,"7")</f>
        <v>0</v>
      </c>
      <c r="I22" s="291">
        <f>COUNTIFS('Página 01'!G$4:G$468,'Página 02_Fale Conosco'!A22,'Página 01'!C$4:C$468,"Fale Conosco",'Página 01'!L$4:L$468,"Concluído",'Página 01'!N$4:N$468,"Dentro do prazo",'Página 01'!P$4:P$468,"8")</f>
        <v>0</v>
      </c>
      <c r="J22" s="291">
        <f>COUNTIFS('Página 01'!G$4:G$468,'Página 02_Fale Conosco'!A22,'Página 01'!C$4:C$468,"Fale Conosco",'Página 01'!L$4:L$468,"Concluído",'Página 01'!N$4:N$468,"Dentro do prazo",'Página 01'!P$4:P$468,"9")</f>
        <v>0</v>
      </c>
      <c r="K22" s="291">
        <f>COUNTIFS('Página 01'!G$4:G$468,'Página 02_Fale Conosco'!A22,'Página 01'!C$4:C$468,"Fale Conosco",'Página 01'!L$4:L$468,"Concluído",'Página 01'!N$4:N$468,"Dentro do prazo",'Página 01'!P$4:P$468,"10")</f>
        <v>0</v>
      </c>
      <c r="L22" s="291">
        <f>COUNTIFS('Página 01'!G$4:G$468,'Página 02_Fale Conosco'!A22,'Página 01'!C$4:C$468,"Fale Conosco",'Página 01'!L$4:L$468,"Concluído",'Página 01'!N$4:N$468,"Dentro do prazo",'Página 01'!P$4:P$468,"11")</f>
        <v>0</v>
      </c>
      <c r="M22" s="291">
        <f>COUNTIFS('Página 01'!G$4:G$468,'Página 02_Fale Conosco'!A22,'Página 01'!C$4:C$468,"Fale Conosco",'Página 01'!L$4:L$468,"Concluído",'Página 01'!N$4:N$468,"Dentro do prazo",'Página 01'!P$4:P$468,"12")</f>
        <v>0</v>
      </c>
      <c r="N22" s="291">
        <f t="shared" si="2"/>
        <v>0</v>
      </c>
    </row>
    <row r="23" spans="1:14" hidden="1" x14ac:dyDescent="0.2">
      <c r="A23" s="288" t="s">
        <v>78</v>
      </c>
      <c r="B23" s="291">
        <f>COUNTIFS('Página 01'!G$4:G$468,'Página 02_Fale Conosco'!A23,'Página 01'!C$4:C$468,"Fale Conosco",'Página 01'!L$4:L$468,"Concluído",'Página 01'!N$4:N$468,"Dentro do prazo",'Página 01'!P$4:P$468,"1")</f>
        <v>0</v>
      </c>
      <c r="C23" s="291">
        <f>COUNTIFS('Página 01'!G$4:G$468,'Página 02_Fale Conosco'!A23,'Página 01'!C$4:C$468,"Fale Conosco",'Página 01'!L$4:L$468,"Concluído",'Página 01'!N$4:N$468,"Dentro do prazo",'Página 01'!P$4:P$468,"2")</f>
        <v>0</v>
      </c>
      <c r="D23" s="291">
        <f>COUNTIFS('Página 01'!G$4:G$468,'Página 02_Fale Conosco'!A23,'Página 01'!C$4:C$468,"Fale Conosco",'Página 01'!L$4:L$468,"Concluído",'Página 01'!N$4:N$468,"Dentro do prazo",'Página 01'!P$4:P$468,"3")</f>
        <v>0</v>
      </c>
      <c r="E23" s="291">
        <f>COUNTIFS('Página 01'!G$4:G$468,'Página 02_Fale Conosco'!A23,'Página 01'!C$4:C$468,"Fale Conosco",'Página 01'!L$4:L$468,"Concluído",'Página 01'!N$4:N$468,"Dentro do prazo",'Página 01'!P$4:P$468,"4")</f>
        <v>0</v>
      </c>
      <c r="F23" s="291">
        <f>COUNTIFS('Página 01'!G$4:G$468,'Página 02_Fale Conosco'!A23,'Página 01'!C$4:C$468,"Fale Conosco",'Página 01'!L$4:L$468,"Concluído",'Página 01'!N$4:N$468,"Dentro do prazo",'Página 01'!P$4:P$468,"5")</f>
        <v>0</v>
      </c>
      <c r="G23" s="291">
        <f>COUNTIFS('Página 01'!G$4:G$468,'Página 02_Fale Conosco'!A23,'Página 01'!C$4:C$468,"Fale Conosco",'Página 01'!L$4:L$468,"Concluído",'Página 01'!N$4:N$468,"Dentro do prazo",'Página 01'!P$4:P$468,"6")</f>
        <v>0</v>
      </c>
      <c r="H23" s="291">
        <f>COUNTIFS('Página 01'!G$4:G$468,'Página 02_Fale Conosco'!A23,'Página 01'!C$4:C$468,"Fale Conosco",'Página 01'!L$4:L$468,"Concluído",'Página 01'!N$4:N$468,"Dentro do prazo",'Página 01'!P$4:P$468,"7")</f>
        <v>0</v>
      </c>
      <c r="I23" s="291">
        <f>COUNTIFS('Página 01'!G$4:G$468,'Página 02_Fale Conosco'!A23,'Página 01'!C$4:C$468,"Fale Conosco",'Página 01'!L$4:L$468,"Concluído",'Página 01'!N$4:N$468,"Dentro do prazo",'Página 01'!P$4:P$468,"8")</f>
        <v>0</v>
      </c>
      <c r="J23" s="291">
        <f>COUNTIFS('Página 01'!G$4:G$468,'Página 02_Fale Conosco'!A23,'Página 01'!C$4:C$468,"Fale Conosco",'Página 01'!L$4:L$468,"Concluído",'Página 01'!N$4:N$468,"Dentro do prazo",'Página 01'!P$4:P$468,"9")</f>
        <v>0</v>
      </c>
      <c r="K23" s="291">
        <f>COUNTIFS('Página 01'!G$4:G$468,'Página 02_Fale Conosco'!A23,'Página 01'!C$4:C$468,"Fale Conosco",'Página 01'!L$4:L$468,"Concluído",'Página 01'!N$4:N$468,"Dentro do prazo",'Página 01'!P$4:P$468,"10")</f>
        <v>0</v>
      </c>
      <c r="L23" s="291">
        <f>COUNTIFS('Página 01'!G$4:G$468,'Página 02_Fale Conosco'!A23,'Página 01'!C$4:C$468,"Fale Conosco",'Página 01'!L$4:L$468,"Concluído",'Página 01'!N$4:N$468,"Dentro do prazo",'Página 01'!P$4:P$468,"11")</f>
        <v>0</v>
      </c>
      <c r="M23" s="291">
        <f>COUNTIFS('Página 01'!G$4:G$468,'Página 02_Fale Conosco'!A23,'Página 01'!C$4:C$468,"Fale Conosco",'Página 01'!L$4:L$468,"Concluído",'Página 01'!N$4:N$468,"Dentro do prazo",'Página 01'!P$4:P$468,"12")</f>
        <v>0</v>
      </c>
      <c r="N23" s="291">
        <f t="shared" si="2"/>
        <v>0</v>
      </c>
    </row>
    <row r="24" spans="1:14" x14ac:dyDescent="0.2">
      <c r="A24" s="288" t="s">
        <v>22</v>
      </c>
      <c r="B24" s="291">
        <f>COUNTIFS('Página 01'!G$4:G$468,'Página 02_Fale Conosco'!A24,'Página 01'!C$4:C$468,"Fale Conosco",'Página 01'!L$4:L$468,"Concluído",'Página 01'!N$4:N$468,"Dentro do prazo",'Página 01'!P$4:P$468,"1")</f>
        <v>0</v>
      </c>
      <c r="C24" s="291">
        <f>COUNTIFS('Página 01'!G$4:G$468,'Página 02_Fale Conosco'!A24,'Página 01'!C$4:C$468,"Fale Conosco",'Página 01'!L$4:L$468,"Concluído",'Página 01'!N$4:N$468,"Dentro do prazo",'Página 01'!P$4:P$468,"2")</f>
        <v>0</v>
      </c>
      <c r="D24" s="291">
        <f>COUNTIFS('Página 01'!G$4:G$468,'Página 02_Fale Conosco'!A24,'Página 01'!C$4:C$468,"Fale Conosco",'Página 01'!L$4:L$468,"Concluído",'Página 01'!N$4:N$468,"Dentro do prazo",'Página 01'!P$4:P$468,"3")</f>
        <v>0</v>
      </c>
      <c r="E24" s="291">
        <f>COUNTIFS('Página 01'!G$4:G$468,'Página 02_Fale Conosco'!A24,'Página 01'!C$4:C$468,"Fale Conosco",'Página 01'!L$4:L$468,"Concluído",'Página 01'!N$4:N$468,"Dentro do prazo",'Página 01'!P$4:P$468,"4")</f>
        <v>0</v>
      </c>
      <c r="F24" s="291">
        <f>COUNTIFS('Página 01'!G$4:G$468,'Página 02_Fale Conosco'!A24,'Página 01'!C$4:C$468,"Fale Conosco",'Página 01'!L$4:L$468,"Concluído",'Página 01'!N$4:N$468,"Dentro do prazo",'Página 01'!P$4:P$468,"5")</f>
        <v>0</v>
      </c>
      <c r="G24" s="291">
        <f>COUNTIFS('Página 01'!G$4:G$468,'Página 02_Fale Conosco'!A24,'Página 01'!C$4:C$468,"Fale Conosco",'Página 01'!L$4:L$468,"Concluído",'Página 01'!N$4:N$468,"Dentro do prazo",'Página 01'!P$4:P$468,"6")</f>
        <v>0</v>
      </c>
      <c r="H24" s="291">
        <f>COUNTIFS('Página 01'!G$4:G$468,'Página 02_Fale Conosco'!A24,'Página 01'!C$4:C$468,"Fale Conosco",'Página 01'!L$4:L$468,"Concluído",'Página 01'!N$4:N$468,"Dentro do prazo",'Página 01'!P$4:P$468,"7")</f>
        <v>0</v>
      </c>
      <c r="I24" s="291">
        <f>COUNTIFS('Página 01'!G$4:G$468,'Página 02_Fale Conosco'!A24,'Página 01'!C$4:C$468,"Fale Conosco",'Página 01'!L$4:L$468,"Concluído",'Página 01'!N$4:N$468,"Dentro do prazo",'Página 01'!P$4:P$468,"8")</f>
        <v>0</v>
      </c>
      <c r="J24" s="291">
        <f>COUNTIFS('Página 01'!G$4:G$468,'Página 02_Fale Conosco'!A24,'Página 01'!C$4:C$468,"Fale Conosco",'Página 01'!L$4:L$468,"Concluído",'Página 01'!N$4:N$468,"Dentro do prazo",'Página 01'!P$4:P$468,"9")</f>
        <v>0</v>
      </c>
      <c r="K24" s="291">
        <f>COUNTIFS('Página 01'!G$4:G$468,'Página 02_Fale Conosco'!A24,'Página 01'!C$4:C$468,"Fale Conosco",'Página 01'!L$4:L$468,"Concluído",'Página 01'!N$4:N$468,"Dentro do prazo",'Página 01'!P$4:P$468,"10")</f>
        <v>0</v>
      </c>
      <c r="L24" s="291">
        <f>COUNTIFS('Página 01'!G$4:G$468,'Página 02_Fale Conosco'!A24,'Página 01'!C$4:C$468,"Fale Conosco",'Página 01'!L$4:L$468,"Concluído",'Página 01'!N$4:N$468,"Dentro do prazo",'Página 01'!P$4:P$468,"11")</f>
        <v>0</v>
      </c>
      <c r="M24" s="291">
        <f>COUNTIFS('Página 01'!G$4:G$468,'Página 02_Fale Conosco'!A24,'Página 01'!C$4:C$468,"Fale Conosco",'Página 01'!L$4:L$468,"Concluído",'Página 01'!N$4:N$468,"Dentro do prazo",'Página 01'!P$4:P$468,"12")</f>
        <v>0</v>
      </c>
      <c r="N24" s="291">
        <f t="shared" si="2"/>
        <v>0</v>
      </c>
    </row>
    <row r="25" spans="1:14" x14ac:dyDescent="0.2">
      <c r="A25" s="288" t="s">
        <v>48</v>
      </c>
      <c r="B25" s="291">
        <f>COUNTIFS('Página 01'!G$4:G$468,'Página 02_Fale Conosco'!A25,'Página 01'!C$4:C$468,"Fale Conosco",'Página 01'!L$4:L$468,"Concluído",'Página 01'!N$4:N$468,"Dentro do prazo",'Página 01'!P$4:P$468,"1")</f>
        <v>0</v>
      </c>
      <c r="C25" s="291">
        <f>COUNTIFS('Página 01'!G$4:G$468,'Página 02_Fale Conosco'!A25,'Página 01'!C$4:C$468,"Fale Conosco",'Página 01'!L$4:L$468,"Concluído",'Página 01'!N$4:N$468,"Dentro do prazo",'Página 01'!P$4:P$468,"2")</f>
        <v>0</v>
      </c>
      <c r="D25" s="291">
        <f>COUNTIFS('Página 01'!G$4:G$468,'Página 02_Fale Conosco'!A25,'Página 01'!C$4:C$468,"Fale Conosco",'Página 01'!L$4:L$468,"Concluído",'Página 01'!N$4:N$468,"Dentro do prazo",'Página 01'!P$4:P$468,"3")</f>
        <v>0</v>
      </c>
      <c r="E25" s="291">
        <f>COUNTIFS('Página 01'!G$4:G$468,'Página 02_Fale Conosco'!A25,'Página 01'!C$4:C$468,"Fale Conosco",'Página 01'!L$4:L$468,"Concluído",'Página 01'!N$4:N$468,"Dentro do prazo",'Página 01'!P$4:P$468,"4")</f>
        <v>0</v>
      </c>
      <c r="F25" s="291">
        <f>COUNTIFS('Página 01'!G$4:G$468,'Página 02_Fale Conosco'!A25,'Página 01'!C$4:C$468,"Fale Conosco",'Página 01'!L$4:L$468,"Concluído",'Página 01'!N$4:N$468,"Dentro do prazo",'Página 01'!P$4:P$468,"5")</f>
        <v>0</v>
      </c>
      <c r="G25" s="291">
        <f>COUNTIFS('Página 01'!G$4:G$468,'Página 02_Fale Conosco'!A25,'Página 01'!C$4:C$468,"Fale Conosco",'Página 01'!L$4:L$468,"Concluído",'Página 01'!N$4:N$468,"Dentro do prazo",'Página 01'!P$4:P$468,"6")</f>
        <v>0</v>
      </c>
      <c r="H25" s="291">
        <f>COUNTIFS('Página 01'!G$4:G$468,'Página 02_Fale Conosco'!A25,'Página 01'!C$4:C$468,"Fale Conosco",'Página 01'!L$4:L$468,"Concluído",'Página 01'!N$4:N$468,"Dentro do prazo",'Página 01'!P$4:P$468,"7")</f>
        <v>0</v>
      </c>
      <c r="I25" s="291">
        <f>COUNTIFS('Página 01'!G$4:G$468,'Página 02_Fale Conosco'!A25,'Página 01'!C$4:C$468,"Fale Conosco",'Página 01'!L$4:L$468,"Concluído",'Página 01'!N$4:N$468,"Dentro do prazo",'Página 01'!P$4:P$468,"8")</f>
        <v>0</v>
      </c>
      <c r="J25" s="291">
        <f>COUNTIFS('Página 01'!G$4:G$468,'Página 02_Fale Conosco'!A25,'Página 01'!C$4:C$468,"Fale Conosco",'Página 01'!L$4:L$468,"Concluído",'Página 01'!N$4:N$468,"Dentro do prazo",'Página 01'!P$4:P$468,"9")</f>
        <v>0</v>
      </c>
      <c r="K25" s="291">
        <f>COUNTIFS('Página 01'!G$4:G$468,'Página 02_Fale Conosco'!A25,'Página 01'!C$4:C$468,"Fale Conosco",'Página 01'!L$4:L$468,"Concluído",'Página 01'!N$4:N$468,"Dentro do prazo",'Página 01'!P$4:P$468,"10")</f>
        <v>0</v>
      </c>
      <c r="L25" s="291">
        <f>COUNTIFS('Página 01'!G$4:G$468,'Página 02_Fale Conosco'!A25,'Página 01'!C$4:C$468,"Fale Conosco",'Página 01'!L$4:L$468,"Concluído",'Página 01'!N$4:N$468,"Dentro do prazo",'Página 01'!P$4:P$468,"11")</f>
        <v>0</v>
      </c>
      <c r="M25" s="291">
        <f>COUNTIFS('Página 01'!G$4:G$468,'Página 02_Fale Conosco'!A25,'Página 01'!C$4:C$468,"Fale Conosco",'Página 01'!L$4:L$468,"Concluído",'Página 01'!N$4:N$468,"Dentro do prazo",'Página 01'!P$4:P$468,"12")</f>
        <v>0</v>
      </c>
      <c r="N25" s="291">
        <f t="shared" si="2"/>
        <v>0</v>
      </c>
    </row>
    <row r="26" spans="1:14" x14ac:dyDescent="0.2">
      <c r="A26" s="288" t="s">
        <v>76</v>
      </c>
      <c r="B26" s="291">
        <f>COUNTIFS('Página 01'!G$4:G$468,'Página 02_Fale Conosco'!A26,'Página 01'!C$4:C$468,"Fale Conosco",'Página 01'!L$4:L$468,"Concluído",'Página 01'!N$4:N$468,"Dentro do prazo",'Página 01'!P$4:P$468,"1")</f>
        <v>0</v>
      </c>
      <c r="C26" s="291">
        <f>COUNTIFS('Página 01'!G$4:G$468,'Página 02_Fale Conosco'!A26,'Página 01'!C$4:C$468,"Fale Conosco",'Página 01'!L$4:L$468,"Concluído",'Página 01'!N$4:N$468,"Dentro do prazo",'Página 01'!P$4:P$468,"2")</f>
        <v>0</v>
      </c>
      <c r="D26" s="291">
        <f>COUNTIFS('Página 01'!G$4:G$468,'Página 02_Fale Conosco'!A26,'Página 01'!C$4:C$468,"Fale Conosco",'Página 01'!L$4:L$468,"Concluído",'Página 01'!N$4:N$468,"Dentro do prazo",'Página 01'!P$4:P$468,"3")</f>
        <v>0</v>
      </c>
      <c r="E26" s="291">
        <f>COUNTIFS('Página 01'!G$4:G$468,'Página 02_Fale Conosco'!A26,'Página 01'!C$4:C$468,"Fale Conosco",'Página 01'!L$4:L$468,"Concluído",'Página 01'!N$4:N$468,"Dentro do prazo",'Página 01'!P$4:P$468,"4")</f>
        <v>0</v>
      </c>
      <c r="F26" s="291">
        <f>COUNTIFS('Página 01'!G$4:G$468,'Página 02_Fale Conosco'!A26,'Página 01'!C$4:C$468,"Fale Conosco",'Página 01'!L$4:L$468,"Concluído",'Página 01'!N$4:N$468,"Dentro do prazo",'Página 01'!P$4:P$468,"5")</f>
        <v>0</v>
      </c>
      <c r="G26" s="291">
        <f>COUNTIFS('Página 01'!G$4:G$468,'Página 02_Fale Conosco'!A26,'Página 01'!C$4:C$468,"Fale Conosco",'Página 01'!L$4:L$468,"Concluído",'Página 01'!N$4:N$468,"Dentro do prazo",'Página 01'!P$4:P$468,"6")</f>
        <v>0</v>
      </c>
      <c r="H26" s="291">
        <f>COUNTIFS('Página 01'!G$4:G$468,'Página 02_Fale Conosco'!A26,'Página 01'!C$4:C$468,"Fale Conosco",'Página 01'!L$4:L$468,"Concluído",'Página 01'!N$4:N$468,"Dentro do prazo",'Página 01'!P$4:P$468,"7")</f>
        <v>0</v>
      </c>
      <c r="I26" s="291">
        <f>COUNTIFS('Página 01'!G$4:G$468,'Página 02_Fale Conosco'!A26,'Página 01'!C$4:C$468,"Fale Conosco",'Página 01'!L$4:L$468,"Concluído",'Página 01'!N$4:N$468,"Dentro do prazo",'Página 01'!P$4:P$468,"8")</f>
        <v>0</v>
      </c>
      <c r="J26" s="291">
        <f>COUNTIFS('Página 01'!G$4:G$468,'Página 02_Fale Conosco'!A26,'Página 01'!C$4:C$468,"Fale Conosco",'Página 01'!L$4:L$468,"Concluído",'Página 01'!N$4:N$468,"Dentro do prazo",'Página 01'!P$4:P$468,"9")</f>
        <v>0</v>
      </c>
      <c r="K26" s="291">
        <f>COUNTIFS('Página 01'!G$4:G$468,'Página 02_Fale Conosco'!A26,'Página 01'!C$4:C$468,"Fale Conosco",'Página 01'!L$4:L$468,"Concluído",'Página 01'!N$4:N$468,"Dentro do prazo",'Página 01'!P$4:P$468,"10")</f>
        <v>0</v>
      </c>
      <c r="L26" s="291">
        <f>COUNTIFS('Página 01'!G$4:G$468,'Página 02_Fale Conosco'!A26,'Página 01'!C$4:C$468,"Fale Conosco",'Página 01'!L$4:L$468,"Concluído",'Página 01'!N$4:N$468,"Dentro do prazo",'Página 01'!P$4:P$468,"11")</f>
        <v>0</v>
      </c>
      <c r="M26" s="291">
        <f>COUNTIFS('Página 01'!G$4:G$468,'Página 02_Fale Conosco'!A26,'Página 01'!C$4:C$468,"Fale Conosco",'Página 01'!L$4:L$468,"Concluído",'Página 01'!N$4:N$468,"Dentro do prazo",'Página 01'!P$4:P$468,"12")</f>
        <v>0</v>
      </c>
      <c r="N26" s="291">
        <f t="shared" si="2"/>
        <v>0</v>
      </c>
    </row>
    <row r="27" spans="1:14" x14ac:dyDescent="0.2">
      <c r="A27" s="288" t="s">
        <v>75</v>
      </c>
      <c r="B27" s="291">
        <f>COUNTIFS('Página 01'!G$4:G$468,'Página 02_Fale Conosco'!A27,'Página 01'!C$4:C$468,"Fale Conosco",'Página 01'!L$4:L$468,"Concluído",'Página 01'!N$4:N$468,"Dentro do prazo",'Página 01'!P$4:P$468,"1")</f>
        <v>0</v>
      </c>
      <c r="C27" s="291">
        <f>COUNTIFS('Página 01'!G$4:G$468,'Página 02_Fale Conosco'!A27,'Página 01'!C$4:C$468,"Fale Conosco",'Página 01'!L$4:L$468,"Concluído",'Página 01'!N$4:N$468,"Dentro do prazo",'Página 01'!P$4:P$468,"2")</f>
        <v>0</v>
      </c>
      <c r="D27" s="291">
        <f>COUNTIFS('Página 01'!G$4:G$468,'Página 02_Fale Conosco'!A27,'Página 01'!C$4:C$468,"Fale Conosco",'Página 01'!L$4:L$468,"Concluído",'Página 01'!N$4:N$468,"Dentro do prazo",'Página 01'!P$4:P$468,"3")</f>
        <v>0</v>
      </c>
      <c r="E27" s="291">
        <f>COUNTIFS('Página 01'!G$4:G$468,'Página 02_Fale Conosco'!A27,'Página 01'!C$4:C$468,"Fale Conosco",'Página 01'!L$4:L$468,"Concluído",'Página 01'!N$4:N$468,"Dentro do prazo",'Página 01'!P$4:P$468,"4")</f>
        <v>0</v>
      </c>
      <c r="F27" s="291">
        <f>COUNTIFS('Página 01'!G$4:G$468,'Página 02_Fale Conosco'!A27,'Página 01'!C$4:C$468,"Fale Conosco",'Página 01'!L$4:L$468,"Concluído",'Página 01'!N$4:N$468,"Dentro do prazo",'Página 01'!P$4:P$468,"5")</f>
        <v>0</v>
      </c>
      <c r="G27" s="291">
        <f>COUNTIFS('Página 01'!G$4:G$468,'Página 02_Fale Conosco'!A27,'Página 01'!C$4:C$468,"Fale Conosco",'Página 01'!L$4:L$468,"Concluído",'Página 01'!N$4:N$468,"Dentro do prazo",'Página 01'!P$4:P$468,"6")</f>
        <v>0</v>
      </c>
      <c r="H27" s="291">
        <f>COUNTIFS('Página 01'!G$4:G$468,'Página 02_Fale Conosco'!A27,'Página 01'!C$4:C$468,"Fale Conosco",'Página 01'!L$4:L$468,"Concluído",'Página 01'!N$4:N$468,"Dentro do prazo",'Página 01'!P$4:P$468,"7")</f>
        <v>0</v>
      </c>
      <c r="I27" s="291">
        <f>COUNTIFS('Página 01'!G$4:G$468,'Página 02_Fale Conosco'!A27,'Página 01'!C$4:C$468,"Fale Conosco",'Página 01'!L$4:L$468,"Concluído",'Página 01'!N$4:N$468,"Dentro do prazo",'Página 01'!P$4:P$468,"8")</f>
        <v>0</v>
      </c>
      <c r="J27" s="291">
        <f>COUNTIFS('Página 01'!G$4:G$468,'Página 02_Fale Conosco'!A27,'Página 01'!C$4:C$468,"Fale Conosco",'Página 01'!L$4:L$468,"Concluído",'Página 01'!N$4:N$468,"Dentro do prazo",'Página 01'!P$4:P$468,"9")</f>
        <v>0</v>
      </c>
      <c r="K27" s="291">
        <f>COUNTIFS('Página 01'!G$4:G$468,'Página 02_Fale Conosco'!A27,'Página 01'!C$4:C$468,"Fale Conosco",'Página 01'!L$4:L$468,"Concluído",'Página 01'!N$4:N$468,"Dentro do prazo",'Página 01'!P$4:P$468,"10")</f>
        <v>0</v>
      </c>
      <c r="L27" s="291">
        <f>COUNTIFS('Página 01'!G$4:G$468,'Página 02_Fale Conosco'!A27,'Página 01'!C$4:C$468,"Fale Conosco",'Página 01'!L$4:L$468,"Concluído",'Página 01'!N$4:N$468,"Dentro do prazo",'Página 01'!P$4:P$468,"11")</f>
        <v>0</v>
      </c>
      <c r="M27" s="291">
        <f>COUNTIFS('Página 01'!G$4:G$468,'Página 02_Fale Conosco'!A27,'Página 01'!C$4:C$468,"Fale Conosco",'Página 01'!L$4:L$468,"Concluído",'Página 01'!N$4:N$468,"Dentro do prazo",'Página 01'!P$4:P$468,"12")</f>
        <v>0</v>
      </c>
      <c r="N27" s="291">
        <f t="shared" si="2"/>
        <v>0</v>
      </c>
    </row>
    <row r="28" spans="1:14" x14ac:dyDescent="0.2">
      <c r="A28" s="292" t="s">
        <v>79</v>
      </c>
      <c r="B28" s="293">
        <f>SUM(B20:B27)</f>
        <v>0</v>
      </c>
      <c r="C28" s="293">
        <f t="shared" ref="C28:N28" si="3">SUM(C20:C27)</f>
        <v>0</v>
      </c>
      <c r="D28" s="293">
        <f t="shared" si="3"/>
        <v>0</v>
      </c>
      <c r="E28" s="293">
        <f t="shared" si="3"/>
        <v>0</v>
      </c>
      <c r="F28" s="293">
        <f t="shared" si="3"/>
        <v>0</v>
      </c>
      <c r="G28" s="293">
        <f t="shared" si="3"/>
        <v>0</v>
      </c>
      <c r="H28" s="293">
        <f t="shared" si="3"/>
        <v>0</v>
      </c>
      <c r="I28" s="293">
        <f t="shared" si="3"/>
        <v>0</v>
      </c>
      <c r="J28" s="293">
        <f t="shared" si="3"/>
        <v>0</v>
      </c>
      <c r="K28" s="293">
        <f t="shared" si="3"/>
        <v>0</v>
      </c>
      <c r="L28" s="293">
        <f t="shared" si="3"/>
        <v>0</v>
      </c>
      <c r="M28" s="293">
        <f t="shared" si="3"/>
        <v>0</v>
      </c>
      <c r="N28" s="293">
        <f t="shared" si="3"/>
        <v>0</v>
      </c>
    </row>
    <row r="29" spans="1:14" ht="6.75" customHeight="1" x14ac:dyDescent="0.2"/>
    <row r="30" spans="1:14" x14ac:dyDescent="0.2">
      <c r="A30" s="466" t="s">
        <v>113</v>
      </c>
      <c r="B30" s="466"/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6"/>
      <c r="N30" s="466"/>
    </row>
    <row r="31" spans="1:14" ht="6.75" customHeight="1" x14ac:dyDescent="0.2">
      <c r="A31" s="286"/>
    </row>
    <row r="32" spans="1:14" x14ac:dyDescent="0.2">
      <c r="A32" s="292" t="s">
        <v>92</v>
      </c>
      <c r="B32" s="293" t="s">
        <v>95</v>
      </c>
      <c r="C32" s="293" t="s">
        <v>96</v>
      </c>
      <c r="D32" s="293" t="s">
        <v>97</v>
      </c>
      <c r="E32" s="293" t="s">
        <v>93</v>
      </c>
      <c r="F32" s="293" t="s">
        <v>94</v>
      </c>
      <c r="G32" s="293" t="s">
        <v>98</v>
      </c>
      <c r="H32" s="293" t="s">
        <v>99</v>
      </c>
      <c r="I32" s="293" t="s">
        <v>100</v>
      </c>
      <c r="J32" s="293" t="s">
        <v>101</v>
      </c>
      <c r="K32" s="293" t="s">
        <v>102</v>
      </c>
      <c r="L32" s="293" t="s">
        <v>103</v>
      </c>
      <c r="M32" s="293" t="s">
        <v>104</v>
      </c>
      <c r="N32" s="293" t="s">
        <v>105</v>
      </c>
    </row>
    <row r="33" spans="1:14" x14ac:dyDescent="0.2">
      <c r="A33" s="288" t="s">
        <v>20</v>
      </c>
      <c r="B33" s="382" t="str">
        <f>IFERROR((B20/B7)*100,"-")</f>
        <v>-</v>
      </c>
      <c r="C33" s="382" t="str">
        <f t="shared" ref="C33:N33" si="4">IFERROR((C20/C7)*100,"-")</f>
        <v>-</v>
      </c>
      <c r="D33" s="382" t="str">
        <f t="shared" si="4"/>
        <v>-</v>
      </c>
      <c r="E33" s="382" t="str">
        <f t="shared" si="4"/>
        <v>-</v>
      </c>
      <c r="F33" s="382" t="str">
        <f t="shared" si="4"/>
        <v>-</v>
      </c>
      <c r="G33" s="382" t="str">
        <f t="shared" si="4"/>
        <v>-</v>
      </c>
      <c r="H33" s="382" t="str">
        <f t="shared" si="4"/>
        <v>-</v>
      </c>
      <c r="I33" s="382" t="str">
        <f t="shared" si="4"/>
        <v>-</v>
      </c>
      <c r="J33" s="382" t="str">
        <f t="shared" si="4"/>
        <v>-</v>
      </c>
      <c r="K33" s="382" t="str">
        <f t="shared" si="4"/>
        <v>-</v>
      </c>
      <c r="L33" s="382" t="str">
        <f t="shared" si="4"/>
        <v>-</v>
      </c>
      <c r="M33" s="382" t="str">
        <f t="shared" si="4"/>
        <v>-</v>
      </c>
      <c r="N33" s="291" t="str">
        <f t="shared" si="4"/>
        <v>-</v>
      </c>
    </row>
    <row r="34" spans="1:14" x14ac:dyDescent="0.2">
      <c r="A34" s="288" t="s">
        <v>91</v>
      </c>
      <c r="B34" s="382" t="str">
        <f t="shared" ref="B34:N41" si="5">IFERROR((B21/B8)*100,"-")</f>
        <v>-</v>
      </c>
      <c r="C34" s="382" t="str">
        <f t="shared" si="5"/>
        <v>-</v>
      </c>
      <c r="D34" s="382" t="str">
        <f t="shared" si="5"/>
        <v>-</v>
      </c>
      <c r="E34" s="382" t="str">
        <f t="shared" si="5"/>
        <v>-</v>
      </c>
      <c r="F34" s="382" t="str">
        <f t="shared" si="5"/>
        <v>-</v>
      </c>
      <c r="G34" s="382" t="str">
        <f t="shared" si="5"/>
        <v>-</v>
      </c>
      <c r="H34" s="382" t="str">
        <f t="shared" si="5"/>
        <v>-</v>
      </c>
      <c r="I34" s="382" t="str">
        <f t="shared" si="5"/>
        <v>-</v>
      </c>
      <c r="J34" s="382" t="str">
        <f t="shared" si="5"/>
        <v>-</v>
      </c>
      <c r="K34" s="382" t="str">
        <f t="shared" si="5"/>
        <v>-</v>
      </c>
      <c r="L34" s="382" t="str">
        <f t="shared" si="5"/>
        <v>-</v>
      </c>
      <c r="M34" s="382" t="str">
        <f t="shared" si="5"/>
        <v>-</v>
      </c>
      <c r="N34" s="291" t="str">
        <f t="shared" si="5"/>
        <v>-</v>
      </c>
    </row>
    <row r="35" spans="1:14" x14ac:dyDescent="0.2">
      <c r="A35" s="288" t="s">
        <v>77</v>
      </c>
      <c r="B35" s="382" t="str">
        <f t="shared" si="5"/>
        <v>-</v>
      </c>
      <c r="C35" s="382" t="str">
        <f t="shared" si="5"/>
        <v>-</v>
      </c>
      <c r="D35" s="382" t="str">
        <f t="shared" si="5"/>
        <v>-</v>
      </c>
      <c r="E35" s="382" t="str">
        <f t="shared" si="5"/>
        <v>-</v>
      </c>
      <c r="F35" s="382" t="str">
        <f t="shared" si="5"/>
        <v>-</v>
      </c>
      <c r="G35" s="382" t="str">
        <f t="shared" si="5"/>
        <v>-</v>
      </c>
      <c r="H35" s="382" t="str">
        <f t="shared" si="5"/>
        <v>-</v>
      </c>
      <c r="I35" s="382" t="str">
        <f t="shared" si="5"/>
        <v>-</v>
      </c>
      <c r="J35" s="382" t="str">
        <f t="shared" si="5"/>
        <v>-</v>
      </c>
      <c r="K35" s="382" t="str">
        <f t="shared" si="5"/>
        <v>-</v>
      </c>
      <c r="L35" s="382" t="str">
        <f t="shared" si="5"/>
        <v>-</v>
      </c>
      <c r="M35" s="382" t="str">
        <f t="shared" si="5"/>
        <v>-</v>
      </c>
      <c r="N35" s="291" t="str">
        <f t="shared" si="5"/>
        <v>-</v>
      </c>
    </row>
    <row r="36" spans="1:14" hidden="1" x14ac:dyDescent="0.2">
      <c r="A36" s="288" t="s">
        <v>78</v>
      </c>
      <c r="B36" s="382" t="str">
        <f t="shared" si="5"/>
        <v>-</v>
      </c>
      <c r="C36" s="382" t="str">
        <f t="shared" si="5"/>
        <v>-</v>
      </c>
      <c r="D36" s="382" t="str">
        <f t="shared" si="5"/>
        <v>-</v>
      </c>
      <c r="E36" s="382" t="str">
        <f t="shared" si="5"/>
        <v>-</v>
      </c>
      <c r="F36" s="382" t="str">
        <f t="shared" si="5"/>
        <v>-</v>
      </c>
      <c r="G36" s="382" t="str">
        <f t="shared" si="5"/>
        <v>-</v>
      </c>
      <c r="H36" s="382" t="str">
        <f t="shared" si="5"/>
        <v>-</v>
      </c>
      <c r="I36" s="382" t="str">
        <f t="shared" si="5"/>
        <v>-</v>
      </c>
      <c r="J36" s="382" t="str">
        <f t="shared" si="5"/>
        <v>-</v>
      </c>
      <c r="K36" s="382" t="str">
        <f t="shared" si="5"/>
        <v>-</v>
      </c>
      <c r="L36" s="382" t="str">
        <f t="shared" si="5"/>
        <v>-</v>
      </c>
      <c r="M36" s="382" t="str">
        <f t="shared" si="5"/>
        <v>-</v>
      </c>
      <c r="N36" s="291" t="str">
        <f t="shared" si="5"/>
        <v>-</v>
      </c>
    </row>
    <row r="37" spans="1:14" x14ac:dyDescent="0.2">
      <c r="A37" s="288" t="s">
        <v>22</v>
      </c>
      <c r="B37" s="382" t="str">
        <f t="shared" si="5"/>
        <v>-</v>
      </c>
      <c r="C37" s="382" t="str">
        <f t="shared" si="5"/>
        <v>-</v>
      </c>
      <c r="D37" s="382" t="str">
        <f t="shared" si="5"/>
        <v>-</v>
      </c>
      <c r="E37" s="382" t="str">
        <f t="shared" si="5"/>
        <v>-</v>
      </c>
      <c r="F37" s="382" t="str">
        <f t="shared" si="5"/>
        <v>-</v>
      </c>
      <c r="G37" s="382" t="str">
        <f t="shared" si="5"/>
        <v>-</v>
      </c>
      <c r="H37" s="382" t="str">
        <f t="shared" si="5"/>
        <v>-</v>
      </c>
      <c r="I37" s="382" t="str">
        <f t="shared" si="5"/>
        <v>-</v>
      </c>
      <c r="J37" s="382" t="str">
        <f t="shared" si="5"/>
        <v>-</v>
      </c>
      <c r="K37" s="382" t="str">
        <f t="shared" si="5"/>
        <v>-</v>
      </c>
      <c r="L37" s="382" t="str">
        <f t="shared" si="5"/>
        <v>-</v>
      </c>
      <c r="M37" s="382" t="str">
        <f t="shared" si="5"/>
        <v>-</v>
      </c>
      <c r="N37" s="291" t="str">
        <f t="shared" si="5"/>
        <v>-</v>
      </c>
    </row>
    <row r="38" spans="1:14" x14ac:dyDescent="0.2">
      <c r="A38" s="288" t="s">
        <v>48</v>
      </c>
      <c r="B38" s="382" t="str">
        <f t="shared" si="5"/>
        <v>-</v>
      </c>
      <c r="C38" s="382" t="str">
        <f t="shared" si="5"/>
        <v>-</v>
      </c>
      <c r="D38" s="382" t="str">
        <f t="shared" si="5"/>
        <v>-</v>
      </c>
      <c r="E38" s="382" t="str">
        <f t="shared" si="5"/>
        <v>-</v>
      </c>
      <c r="F38" s="382" t="str">
        <f t="shared" si="5"/>
        <v>-</v>
      </c>
      <c r="G38" s="382" t="str">
        <f t="shared" si="5"/>
        <v>-</v>
      </c>
      <c r="H38" s="382" t="str">
        <f t="shared" si="5"/>
        <v>-</v>
      </c>
      <c r="I38" s="382" t="str">
        <f t="shared" si="5"/>
        <v>-</v>
      </c>
      <c r="J38" s="382" t="str">
        <f t="shared" si="5"/>
        <v>-</v>
      </c>
      <c r="K38" s="382" t="str">
        <f t="shared" si="5"/>
        <v>-</v>
      </c>
      <c r="L38" s="382" t="str">
        <f t="shared" si="5"/>
        <v>-</v>
      </c>
      <c r="M38" s="382" t="str">
        <f t="shared" si="5"/>
        <v>-</v>
      </c>
      <c r="N38" s="291" t="str">
        <f t="shared" si="5"/>
        <v>-</v>
      </c>
    </row>
    <row r="39" spans="1:14" x14ac:dyDescent="0.2">
      <c r="A39" s="288" t="s">
        <v>76</v>
      </c>
      <c r="B39" s="382" t="str">
        <f t="shared" si="5"/>
        <v>-</v>
      </c>
      <c r="C39" s="382" t="str">
        <f t="shared" si="5"/>
        <v>-</v>
      </c>
      <c r="D39" s="382" t="str">
        <f t="shared" si="5"/>
        <v>-</v>
      </c>
      <c r="E39" s="382" t="str">
        <f t="shared" si="5"/>
        <v>-</v>
      </c>
      <c r="F39" s="382" t="str">
        <f t="shared" si="5"/>
        <v>-</v>
      </c>
      <c r="G39" s="382" t="str">
        <f t="shared" si="5"/>
        <v>-</v>
      </c>
      <c r="H39" s="382" t="str">
        <f t="shared" si="5"/>
        <v>-</v>
      </c>
      <c r="I39" s="382" t="str">
        <f t="shared" si="5"/>
        <v>-</v>
      </c>
      <c r="J39" s="382" t="str">
        <f t="shared" si="5"/>
        <v>-</v>
      </c>
      <c r="K39" s="382" t="str">
        <f t="shared" si="5"/>
        <v>-</v>
      </c>
      <c r="L39" s="382" t="str">
        <f t="shared" si="5"/>
        <v>-</v>
      </c>
      <c r="M39" s="382" t="str">
        <f t="shared" si="5"/>
        <v>-</v>
      </c>
      <c r="N39" s="291" t="str">
        <f t="shared" si="5"/>
        <v>-</v>
      </c>
    </row>
    <row r="40" spans="1:14" x14ac:dyDescent="0.2">
      <c r="A40" s="288" t="s">
        <v>75</v>
      </c>
      <c r="B40" s="382" t="str">
        <f t="shared" si="5"/>
        <v>-</v>
      </c>
      <c r="C40" s="382" t="str">
        <f t="shared" si="5"/>
        <v>-</v>
      </c>
      <c r="D40" s="382" t="str">
        <f t="shared" si="5"/>
        <v>-</v>
      </c>
      <c r="E40" s="382" t="str">
        <f t="shared" si="5"/>
        <v>-</v>
      </c>
      <c r="F40" s="382" t="str">
        <f t="shared" si="5"/>
        <v>-</v>
      </c>
      <c r="G40" s="382" t="str">
        <f t="shared" si="5"/>
        <v>-</v>
      </c>
      <c r="H40" s="382" t="str">
        <f t="shared" si="5"/>
        <v>-</v>
      </c>
      <c r="I40" s="382" t="str">
        <f t="shared" si="5"/>
        <v>-</v>
      </c>
      <c r="J40" s="382" t="str">
        <f t="shared" si="5"/>
        <v>-</v>
      </c>
      <c r="K40" s="382" t="str">
        <f t="shared" si="5"/>
        <v>-</v>
      </c>
      <c r="L40" s="382" t="str">
        <f t="shared" si="5"/>
        <v>-</v>
      </c>
      <c r="M40" s="382" t="str">
        <f t="shared" si="5"/>
        <v>-</v>
      </c>
      <c r="N40" s="291" t="str">
        <f t="shared" si="5"/>
        <v>-</v>
      </c>
    </row>
    <row r="41" spans="1:14" x14ac:dyDescent="0.2">
      <c r="A41" s="292" t="s">
        <v>79</v>
      </c>
      <c r="B41" s="293" t="str">
        <f t="shared" si="5"/>
        <v>-</v>
      </c>
      <c r="C41" s="293" t="str">
        <f>IFERROR((C28/C15)*100,"-")</f>
        <v>-</v>
      </c>
      <c r="D41" s="293" t="str">
        <f t="shared" si="5"/>
        <v>-</v>
      </c>
      <c r="E41" s="293" t="str">
        <f t="shared" si="5"/>
        <v>-</v>
      </c>
      <c r="F41" s="293" t="str">
        <f t="shared" si="5"/>
        <v>-</v>
      </c>
      <c r="G41" s="293" t="str">
        <f t="shared" si="5"/>
        <v>-</v>
      </c>
      <c r="H41" s="293" t="str">
        <f t="shared" si="5"/>
        <v>-</v>
      </c>
      <c r="I41" s="293" t="str">
        <f t="shared" si="5"/>
        <v>-</v>
      </c>
      <c r="J41" s="293" t="str">
        <f t="shared" si="5"/>
        <v>-</v>
      </c>
      <c r="K41" s="293" t="str">
        <f t="shared" si="5"/>
        <v>-</v>
      </c>
      <c r="L41" s="293" t="str">
        <f t="shared" si="5"/>
        <v>-</v>
      </c>
      <c r="M41" s="293" t="str">
        <f t="shared" si="5"/>
        <v>-</v>
      </c>
      <c r="N41" s="293" t="str">
        <f>IFERROR((N28/N15)*100,"-")</f>
        <v>-</v>
      </c>
    </row>
    <row r="42" spans="1:14" ht="7.5" customHeight="1" x14ac:dyDescent="0.2"/>
    <row r="43" spans="1:14" x14ac:dyDescent="0.2">
      <c r="A43" s="471" t="s">
        <v>123</v>
      </c>
      <c r="B43" s="471"/>
      <c r="C43" s="471"/>
      <c r="D43" s="471"/>
      <c r="E43" s="471"/>
      <c r="F43" s="471"/>
      <c r="G43" s="471"/>
      <c r="H43" s="471"/>
      <c r="I43" s="471"/>
      <c r="J43" s="471"/>
      <c r="K43" s="471"/>
      <c r="L43" s="471"/>
      <c r="M43" s="471"/>
      <c r="N43" s="471"/>
    </row>
  </sheetData>
  <sheetProtection password="BD8C" sheet="1" objects="1" scenarios="1"/>
  <sortState xmlns:xlrd2="http://schemas.microsoft.com/office/spreadsheetml/2017/richdata2" ref="A4:A11">
    <sortCondition ref="A4"/>
  </sortState>
  <mergeCells count="4">
    <mergeCell ref="A30:N30"/>
    <mergeCell ref="A1:N1"/>
    <mergeCell ref="A2:N2"/>
    <mergeCell ref="A43:N43"/>
  </mergeCells>
  <pageMargins left="0.51181102362204722" right="0.51181102362204722" top="0.78740157480314965" bottom="0.78740157480314965" header="0.31496062992125984" footer="0.31496062992125984"/>
  <pageSetup paperSize="9" scale="89" orientation="landscape" verticalDpi="300" r:id="rId1"/>
  <headerFooter>
    <oddFooter>&amp;LFQ-07.53 (anexo ao PQ-07.01) - RA - 01 de 27/04/22 – Página 2/4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3"/>
  <sheetViews>
    <sheetView topLeftCell="A21" zoomScaleNormal="100" zoomScaleSheetLayoutView="90" workbookViewId="0">
      <selection activeCell="R22" sqref="R22"/>
    </sheetView>
  </sheetViews>
  <sheetFormatPr defaultRowHeight="12.75" x14ac:dyDescent="0.2"/>
  <cols>
    <col min="1" max="1" width="14.85546875" bestFit="1" customWidth="1"/>
    <col min="2" max="9" width="9.140625" style="290"/>
    <col min="10" max="10" width="10.42578125" style="290" customWidth="1"/>
    <col min="11" max="11" width="9.140625" style="290"/>
    <col min="12" max="12" width="11.85546875" style="290" customWidth="1"/>
    <col min="13" max="13" width="10.5703125" style="290" customWidth="1"/>
    <col min="14" max="14" width="9.140625" style="290"/>
  </cols>
  <sheetData>
    <row r="1" spans="1:14" ht="13.5" thickBot="1" x14ac:dyDescent="0.25">
      <c r="A1" s="467" t="s">
        <v>106</v>
      </c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</row>
    <row r="2" spans="1:14" ht="16.5" customHeight="1" thickBot="1" x14ac:dyDescent="0.25">
      <c r="A2" s="468" t="str">
        <f>'Página 01'!A2:N2</f>
        <v>(ANO)</v>
      </c>
      <c r="B2" s="469"/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70"/>
    </row>
    <row r="3" spans="1:14" ht="7.5" customHeight="1" x14ac:dyDescent="0.2">
      <c r="A3" s="296"/>
      <c r="B3" s="296"/>
      <c r="C3" s="296"/>
      <c r="D3" s="296"/>
      <c r="E3" s="296"/>
      <c r="F3" s="296"/>
      <c r="G3" s="296"/>
      <c r="H3" s="296"/>
      <c r="I3" s="296"/>
      <c r="J3" s="296"/>
      <c r="K3" s="296"/>
      <c r="L3" s="296"/>
      <c r="M3" s="296"/>
      <c r="N3" s="296"/>
    </row>
    <row r="4" spans="1:14" x14ac:dyDescent="0.2">
      <c r="A4" s="287" t="s">
        <v>107</v>
      </c>
      <c r="B4" s="289"/>
      <c r="C4" s="289"/>
      <c r="D4" s="289"/>
      <c r="E4" s="289"/>
    </row>
    <row r="5" spans="1:14" ht="5.25" customHeight="1" x14ac:dyDescent="0.2">
      <c r="A5" s="286"/>
    </row>
    <row r="6" spans="1:14" x14ac:dyDescent="0.2">
      <c r="A6" s="294" t="s">
        <v>92</v>
      </c>
      <c r="B6" s="295" t="s">
        <v>95</v>
      </c>
      <c r="C6" s="295" t="s">
        <v>96</v>
      </c>
      <c r="D6" s="295" t="s">
        <v>97</v>
      </c>
      <c r="E6" s="295" t="s">
        <v>93</v>
      </c>
      <c r="F6" s="295" t="s">
        <v>94</v>
      </c>
      <c r="G6" s="295" t="s">
        <v>98</v>
      </c>
      <c r="H6" s="295" t="s">
        <v>99</v>
      </c>
      <c r="I6" s="295" t="s">
        <v>100</v>
      </c>
      <c r="J6" s="295" t="s">
        <v>101</v>
      </c>
      <c r="K6" s="295" t="s">
        <v>102</v>
      </c>
      <c r="L6" s="295" t="s">
        <v>103</v>
      </c>
      <c r="M6" s="295" t="s">
        <v>104</v>
      </c>
      <c r="N6" s="295" t="s">
        <v>105</v>
      </c>
    </row>
    <row r="7" spans="1:14" x14ac:dyDescent="0.2">
      <c r="A7" s="288" t="s">
        <v>20</v>
      </c>
      <c r="B7" s="291">
        <f>COUNTIFS('Página 01'!G$4:G$468,A7,'Página 01'!Q$4:Q$468,1,'Página 01'!C$4:C$468,"Ouvidoria")</f>
        <v>0</v>
      </c>
      <c r="C7" s="291">
        <f>COUNTIFS('Página 01'!G$4:G$468,A7,'Página 01'!Q$4:Q$468,2,'Página 01'!C$4:C$468,"Ouvidoria")</f>
        <v>0</v>
      </c>
      <c r="D7" s="291">
        <f>COUNTIFS('Página 01'!G$4:G$468,A7,'Página 01'!Q$4:Q$468,3,'Página 01'!C$4:C$468,"Ouvidoria")</f>
        <v>0</v>
      </c>
      <c r="E7" s="291">
        <f>COUNTIFS('Página 01'!G$4:G$468,A7,'Página 01'!Q$4:Q$468,4,'Página 01'!C$4:C$468,"Ouvidoria")</f>
        <v>0</v>
      </c>
      <c r="F7" s="291">
        <f>COUNTIFS('Página 01'!G$4:G$468,A7,'Página 01'!Q$4:Q$468,5,'Página 01'!C$4:C$468,"Ouvidoria")</f>
        <v>0</v>
      </c>
      <c r="G7" s="291">
        <f>COUNTIFS('Página 01'!G$4:G$468,A7,'Página 01'!Q$4:Q$468,6,'Página 01'!C$4:C$468,"Ouvidoria")</f>
        <v>0</v>
      </c>
      <c r="H7" s="291">
        <f>COUNTIFS('Página 01'!G$4:G$468,A7,'Página 01'!Q$4:Q$468,7,'Página 01'!C$4:C$468,"Ouvidoria")</f>
        <v>0</v>
      </c>
      <c r="I7" s="291">
        <f>COUNTIFS('Página 01'!G$4:G$468,A7,'Página 01'!Q$4:Q$468,8,'Página 01'!C$4:C$468,"Ouvidoria")</f>
        <v>0</v>
      </c>
      <c r="J7" s="291">
        <f>COUNTIFS('Página 01'!G$4:G$468,A7,'Página 01'!Q$4:Q$468,9,'Página 01'!C$4:C$468,"Ouvidoria")</f>
        <v>0</v>
      </c>
      <c r="K7" s="291">
        <f>COUNTIFS('Página 01'!G$4:G$468,A7,'Página 01'!Q$4:Q$468,10,'Página 01'!C$4:C$468,"Ouvidoria")</f>
        <v>0</v>
      </c>
      <c r="L7" s="291">
        <f>COUNTIFS('Página 01'!G$4:G$468,A7,'Página 01'!Q$4:Q$468,11,'Página 01'!C$4:C$468,"Ouvidoria")</f>
        <v>0</v>
      </c>
      <c r="M7" s="291">
        <f>COUNTIFS('Página 01'!G$4:G$468,A7,'Página 01'!Q$4:Q$468,12,'Página 01'!C$4:C$468,"Ouvidoria")</f>
        <v>0</v>
      </c>
      <c r="N7" s="291">
        <f>SUM(B7:M7)</f>
        <v>0</v>
      </c>
    </row>
    <row r="8" spans="1:14" x14ac:dyDescent="0.2">
      <c r="A8" s="288" t="s">
        <v>91</v>
      </c>
      <c r="B8" s="291">
        <f>COUNTIFS('Página 01'!G$4:G$468,A8,'Página 01'!Q$4:Q$468,1,'Página 01'!C$4:C$468,"Ouvidoria")</f>
        <v>0</v>
      </c>
      <c r="C8" s="291">
        <f>COUNTIFS('Página 01'!G$4:G$468,A8,'Página 01'!Q$4:Q$468,2,'Página 01'!C$4:C$468,"Ouvidoria")</f>
        <v>0</v>
      </c>
      <c r="D8" s="291">
        <f>COUNTIFS('Página 01'!G$4:G$468,A8,'Página 01'!Q$4:Q$468,3,'Página 01'!C$4:C$468,"Ouvidoria")</f>
        <v>0</v>
      </c>
      <c r="E8" s="291">
        <f>COUNTIFS('Página 01'!G$4:G$468,A8,'Página 01'!Q$4:Q$468,4,'Página 01'!C$4:C$468,"Ouvidoria")</f>
        <v>0</v>
      </c>
      <c r="F8" s="291">
        <f>COUNTIFS('Página 01'!G$4:G$468,A8,'Página 01'!Q$4:Q$468,5,'Página 01'!C$4:C$468,"Ouvidoria")</f>
        <v>0</v>
      </c>
      <c r="G8" s="291">
        <f>COUNTIFS('Página 01'!G$4:G$468,A8,'Página 01'!Q$4:Q$468,6,'Página 01'!C$4:C$468,"Ouvidoria")</f>
        <v>0</v>
      </c>
      <c r="H8" s="291">
        <f>COUNTIFS('Página 01'!G$4:G$468,A8,'Página 01'!Q$4:Q$468,7,'Página 01'!C$4:C$468,"Ouvidoria")</f>
        <v>0</v>
      </c>
      <c r="I8" s="291">
        <f>COUNTIFS('Página 01'!G$4:G$468,A8,'Página 01'!Q$4:Q$468,8,'Página 01'!C$4:C$468,"Ouvidoria")</f>
        <v>0</v>
      </c>
      <c r="J8" s="291">
        <f>COUNTIFS('Página 01'!G$4:G$468,A8,'Página 01'!Q$4:Q$468,9,'Página 01'!C$4:C$468,"Ouvidoria")</f>
        <v>0</v>
      </c>
      <c r="K8" s="291">
        <f>COUNTIFS('Página 01'!G$4:G$468,A8,'Página 01'!Q$4:Q$468,10,'Página 01'!C$4:C$468,"Ouvidoria")</f>
        <v>0</v>
      </c>
      <c r="L8" s="291">
        <f>COUNTIFS('Página 01'!G$4:G$468,A8,'Página 01'!Q$4:Q$468,11,'Página 01'!C$4:C$468,"Ouvidoria")</f>
        <v>0</v>
      </c>
      <c r="M8" s="291">
        <f>COUNTIFS('Página 01'!G$4:G$468,A8,'Página 01'!Q$4:Q$468,12,'Página 01'!C$4:C$468,"Ouvidoria")</f>
        <v>0</v>
      </c>
      <c r="N8" s="291">
        <f t="shared" ref="N8:N14" si="0">SUM(B8:M8)</f>
        <v>0</v>
      </c>
    </row>
    <row r="9" spans="1:14" x14ac:dyDescent="0.2">
      <c r="A9" s="288" t="s">
        <v>77</v>
      </c>
      <c r="B9" s="291">
        <f>COUNTIFS('Página 01'!G$4:G$468,A9,'Página 01'!Q$4:Q$468,1,'Página 01'!C$4:C$468,"Ouvidoria")</f>
        <v>0</v>
      </c>
      <c r="C9" s="291">
        <f>COUNTIFS('Página 01'!G$4:G$468,A9,'Página 01'!Q$4:Q$468,2,'Página 01'!C$4:C$468,"Ouvidoria")</f>
        <v>0</v>
      </c>
      <c r="D9" s="291">
        <f>COUNTIFS('Página 01'!G$4:G$468,A9,'Página 01'!Q$4:Q$468,3,'Página 01'!C$4:C$468,"Ouvidoria")</f>
        <v>0</v>
      </c>
      <c r="E9" s="291">
        <f>COUNTIFS('Página 01'!G$4:G$468,A9,'Página 01'!Q$4:Q$468,4,'Página 01'!C$4:C$468,"Ouvidoria")</f>
        <v>0</v>
      </c>
      <c r="F9" s="291">
        <f>COUNTIFS('Página 01'!G$4:G$468,A9,'Página 01'!Q$4:Q$468,5,'Página 01'!C$4:C$468,"Ouvidoria")</f>
        <v>0</v>
      </c>
      <c r="G9" s="291">
        <f>COUNTIFS('Página 01'!G$4:G$468,A9,'Página 01'!Q$4:Q$468,6,'Página 01'!C$4:C$468,"Ouvidoria")</f>
        <v>0</v>
      </c>
      <c r="H9" s="291">
        <f>COUNTIFS('Página 01'!G$4:G$468,A9,'Página 01'!Q$4:Q$468,7,'Página 01'!C$4:C$468,"Ouvidoria")</f>
        <v>0</v>
      </c>
      <c r="I9" s="291">
        <f>COUNTIFS('Página 01'!G$4:G$468,A9,'Página 01'!Q$4:Q$468,8,'Página 01'!C$4:C$468,"Ouvidoria")</f>
        <v>0</v>
      </c>
      <c r="J9" s="291">
        <f>COUNTIFS('Página 01'!G$4:G$468,A9,'Página 01'!Q$4:Q$468,9,'Página 01'!C$4:C$468,"Ouvidoria")</f>
        <v>0</v>
      </c>
      <c r="K9" s="291">
        <f>COUNTIFS('Página 01'!G$4:G$468,A9,'Página 01'!Q$4:Q$468,10,'Página 01'!C$4:C$468,"Ouvidoria")</f>
        <v>0</v>
      </c>
      <c r="L9" s="291">
        <f>COUNTIFS('Página 01'!G$4:G$468,A9,'Página 01'!Q$4:Q$468,11,'Página 01'!C$4:C$468,"Ouvidoria")</f>
        <v>0</v>
      </c>
      <c r="M9" s="291">
        <f>COUNTIFS('Página 01'!G$4:G$468,A9,'Página 01'!Q$4:Q$468,12,'Página 01'!C$4:C$468,"Ouvidoria")</f>
        <v>0</v>
      </c>
      <c r="N9" s="291">
        <f t="shared" si="0"/>
        <v>0</v>
      </c>
    </row>
    <row r="10" spans="1:14" hidden="1" x14ac:dyDescent="0.2">
      <c r="A10" s="288" t="s">
        <v>78</v>
      </c>
      <c r="B10" s="291">
        <f>COUNTIFS('Página 01'!G$4:G$468,A10,'Página 01'!Q$4:Q$468,1,'Página 01'!C$4:C$468,"Ouvidoria")</f>
        <v>0</v>
      </c>
      <c r="C10" s="291">
        <f>COUNTIFS('Página 01'!G$4:G$468,A10,'Página 01'!Q$4:Q$468,2,'Página 01'!C$4:C$468,"Ouvidoria")</f>
        <v>0</v>
      </c>
      <c r="D10" s="291">
        <f>COUNTIFS('Página 01'!G$4:G$468,A10,'Página 01'!Q$4:Q$468,3,'Página 01'!C$4:C$468,"Ouvidoria")</f>
        <v>0</v>
      </c>
      <c r="E10" s="291">
        <f>COUNTIFS('Página 01'!G$4:G$468,A10,'Página 01'!Q$4:Q$468,4,'Página 01'!C$4:C$468,"Ouvidoria")</f>
        <v>0</v>
      </c>
      <c r="F10" s="291">
        <f>COUNTIFS('Página 01'!G$4:G$468,A10,'Página 01'!Q$4:Q$468,5,'Página 01'!C$4:C$468,"Ouvidoria")</f>
        <v>0</v>
      </c>
      <c r="G10" s="291">
        <f>COUNTIFS('Página 01'!G$4:G$468,A10,'Página 01'!Q$4:Q$468,6,'Página 01'!C$4:C$468,"Ouvidoria")</f>
        <v>0</v>
      </c>
      <c r="H10" s="291">
        <f>COUNTIFS('Página 01'!G$4:G$468,A10,'Página 01'!Q$4:Q$468,7,'Página 01'!C$4:C$468,"Ouvidoria")</f>
        <v>0</v>
      </c>
      <c r="I10" s="291">
        <f>COUNTIFS('Página 01'!G$4:G$468,A10,'Página 01'!Q$4:Q$468,8,'Página 01'!C$4:C$468,"Ouvidoria")</f>
        <v>0</v>
      </c>
      <c r="J10" s="291">
        <f>COUNTIFS('Página 01'!G$4:G$468,A10,'Página 01'!Q$4:Q$468,9,'Página 01'!C$4:C$468,"Ouvidoria")</f>
        <v>0</v>
      </c>
      <c r="K10" s="291">
        <f>COUNTIFS('Página 01'!G$4:G$468,A10,'Página 01'!Q$4:Q$468,10,'Página 01'!C$4:C$468,"Ouvidoria")</f>
        <v>0</v>
      </c>
      <c r="L10" s="291">
        <f>COUNTIFS('Página 01'!G$4:G$468,A10,'Página 01'!Q$4:Q$468,11,'Página 01'!C$4:C$468,"Ouvidoria")</f>
        <v>0</v>
      </c>
      <c r="M10" s="291">
        <f>COUNTIFS('Página 01'!G$4:G$468,A10,'Página 01'!Q$4:Q$468,12,'Página 01'!C$4:C$468,"Ouvidoria")</f>
        <v>0</v>
      </c>
      <c r="N10" s="291">
        <f t="shared" si="0"/>
        <v>0</v>
      </c>
    </row>
    <row r="11" spans="1:14" x14ac:dyDescent="0.2">
      <c r="A11" s="288" t="s">
        <v>22</v>
      </c>
      <c r="B11" s="291">
        <f>COUNTIFS('Página 01'!G$4:G$468,A11,'Página 01'!Q$4:Q$468,1,'Página 01'!C$4:C$468,"Ouvidoria")</f>
        <v>0</v>
      </c>
      <c r="C11" s="291">
        <f>COUNTIFS('Página 01'!G$4:G$468,A11,'Página 01'!Q$4:Q$468,2,'Página 01'!C$4:C$468,"Ouvidoria")</f>
        <v>0</v>
      </c>
      <c r="D11" s="291">
        <f>COUNTIFS('Página 01'!G$4:G$468,A11,'Página 01'!Q$4:Q$468,3,'Página 01'!C$4:C$468,"Ouvidoria")</f>
        <v>0</v>
      </c>
      <c r="E11" s="291">
        <f>COUNTIFS('Página 01'!G$4:G$468,A11,'Página 01'!Q$4:Q$468,4,'Página 01'!C$4:C$468,"Ouvidoria")</f>
        <v>0</v>
      </c>
      <c r="F11" s="291">
        <f>COUNTIFS('Página 01'!G$4:G$468,A11,'Página 01'!Q$4:Q$468,5,'Página 01'!C$4:C$468,"Ouvidoria")</f>
        <v>0</v>
      </c>
      <c r="G11" s="291">
        <f>COUNTIFS('Página 01'!G$4:G$468,A11,'Página 01'!Q$4:Q$468,6,'Página 01'!C$4:C$468,"Ouvidoria")</f>
        <v>0</v>
      </c>
      <c r="H11" s="291">
        <f>COUNTIFS('Página 01'!G$4:G$468,A11,'Página 01'!Q$4:Q$468,7,'Página 01'!C$4:C$468,"Ouvidoria")</f>
        <v>0</v>
      </c>
      <c r="I11" s="291">
        <f>COUNTIFS('Página 01'!G$4:G$468,A11,'Página 01'!Q$4:Q$468,8,'Página 01'!C$4:C$468,"Ouvidoria")</f>
        <v>0</v>
      </c>
      <c r="J11" s="291">
        <f>COUNTIFS('Página 01'!G$4:G$468,A11,'Página 01'!Q$4:Q$468,9,'Página 01'!C$4:C$468,"Ouvidoria")</f>
        <v>0</v>
      </c>
      <c r="K11" s="291">
        <f>COUNTIFS('Página 01'!G$4:G$468,A11,'Página 01'!Q$4:Q$468,10,'Página 01'!C$4:C$468,"Ouvidoria")</f>
        <v>0</v>
      </c>
      <c r="L11" s="291">
        <f>COUNTIFS('Página 01'!G$4:G$468,A11,'Página 01'!Q$4:Q$468,11,'Página 01'!C$4:C$468,"Ouvidoria")</f>
        <v>0</v>
      </c>
      <c r="M11" s="291">
        <f>COUNTIFS('Página 01'!G$4:G$468,A11,'Página 01'!Q$4:Q$468,12,'Página 01'!C$4:C$468,"Ouvidoria")</f>
        <v>0</v>
      </c>
      <c r="N11" s="291">
        <f t="shared" si="0"/>
        <v>0</v>
      </c>
    </row>
    <row r="12" spans="1:14" x14ac:dyDescent="0.2">
      <c r="A12" s="288" t="s">
        <v>48</v>
      </c>
      <c r="B12" s="291">
        <f>COUNTIFS('Página 01'!G$4:G$468,A12,'Página 01'!Q$4:Q$468,1,'Página 01'!C$4:C$468,"Ouvidoria")</f>
        <v>0</v>
      </c>
      <c r="C12" s="291">
        <f>COUNTIFS('Página 01'!G$4:G$468,A12,'Página 01'!Q$4:Q$468,2,'Página 01'!C$4:C$468,"Ouvidoria")</f>
        <v>0</v>
      </c>
      <c r="D12" s="291">
        <f>COUNTIFS('Página 01'!G$4:G$468,A12,'Página 01'!Q$4:Q$468,3,'Página 01'!C$4:C$468,"Ouvidoria")</f>
        <v>0</v>
      </c>
      <c r="E12" s="291">
        <f>COUNTIFS('Página 01'!G$4:G$468,A12,'Página 01'!Q$4:Q$468,4,'Página 01'!C$4:C$468,"Ouvidoria")</f>
        <v>0</v>
      </c>
      <c r="F12" s="291">
        <f>COUNTIFS('Página 01'!G$4:G$468,A12,'Página 01'!Q$4:Q$468,5,'Página 01'!C$4:C$468,"Ouvidoria")</f>
        <v>0</v>
      </c>
      <c r="G12" s="291">
        <f>COUNTIFS('Página 01'!G$4:G$468,A12,'Página 01'!Q$4:Q$468,6,'Página 01'!C$4:C$468,"Ouvidoria")</f>
        <v>0</v>
      </c>
      <c r="H12" s="291">
        <f>COUNTIFS('Página 01'!G$4:G$468,A12,'Página 01'!Q$4:Q$468,7,'Página 01'!C$4:C$468,"Ouvidoria")</f>
        <v>0</v>
      </c>
      <c r="I12" s="291">
        <f>COUNTIFS('Página 01'!G$4:G$468,A12,'Página 01'!Q$4:Q$468,8,'Página 01'!C$4:C$468,"Ouvidoria")</f>
        <v>0</v>
      </c>
      <c r="J12" s="291">
        <f>COUNTIFS('Página 01'!G$4:G$468,A12,'Página 01'!Q$4:Q$468,9,'Página 01'!C$4:C$468,"Ouvidoria")</f>
        <v>0</v>
      </c>
      <c r="K12" s="291">
        <f>COUNTIFS('Página 01'!G$4:G$468,A12,'Página 01'!Q$4:Q$468,10,'Página 01'!C$4:C$468,"Ouvidoria")</f>
        <v>0</v>
      </c>
      <c r="L12" s="291">
        <f>COUNTIFS('Página 01'!G$4:G$468,A12,'Página 01'!Q$4:Q$468,11,'Página 01'!C$4:C$468,"Ouvidoria")</f>
        <v>0</v>
      </c>
      <c r="M12" s="291">
        <f>COUNTIFS('Página 01'!G$4:G$468,A12,'Página 01'!Q$4:Q$468,12,'Página 01'!C$4:C$468,"Ouvidoria")</f>
        <v>0</v>
      </c>
      <c r="N12" s="291">
        <f t="shared" si="0"/>
        <v>0</v>
      </c>
    </row>
    <row r="13" spans="1:14" x14ac:dyDescent="0.2">
      <c r="A13" s="288" t="s">
        <v>76</v>
      </c>
      <c r="B13" s="291">
        <f>COUNTIFS('Página 01'!G$4:G$468,A13,'Página 01'!Q$4:Q$468,1,'Página 01'!C$4:C$468,"Ouvidoria")</f>
        <v>0</v>
      </c>
      <c r="C13" s="291">
        <f>COUNTIFS('Página 01'!G$4:G$468,A13,'Página 01'!Q$4:Q$468,2,'Página 01'!C$4:C$468,"Ouvidoria")</f>
        <v>0</v>
      </c>
      <c r="D13" s="291">
        <f>COUNTIFS('Página 01'!G$4:G$468,A13,'Página 01'!Q$4:Q$468,3,'Página 01'!C$4:C$468,"Ouvidoria")</f>
        <v>0</v>
      </c>
      <c r="E13" s="291">
        <f>COUNTIFS('Página 01'!G$4:G$468,A13,'Página 01'!Q$4:Q$468,4,'Página 01'!C$4:C$468,"Ouvidoria")</f>
        <v>0</v>
      </c>
      <c r="F13" s="291">
        <f>COUNTIFS('Página 01'!G$4:G$468,A13,'Página 01'!Q$4:Q$468,5,'Página 01'!C$4:C$468,"Ouvidoria")</f>
        <v>0</v>
      </c>
      <c r="G13" s="291">
        <f>COUNTIFS('Página 01'!G$4:G$468,A13,'Página 01'!Q$4:Q$468,6,'Página 01'!C$4:C$468,"Ouvidoria")</f>
        <v>0</v>
      </c>
      <c r="H13" s="291">
        <f>COUNTIFS('Página 01'!G$4:G$468,A13,'Página 01'!Q$4:Q$468,7,'Página 01'!C$4:C$468,"Ouvidoria")</f>
        <v>0</v>
      </c>
      <c r="I13" s="291">
        <f>COUNTIFS('Página 01'!G$4:G$468,A13,'Página 01'!Q$4:Q$468,8,'Página 01'!C$4:C$468,"Ouvidoria")</f>
        <v>0</v>
      </c>
      <c r="J13" s="291">
        <f>COUNTIFS('Página 01'!G$4:G$468,A13,'Página 01'!Q$4:Q$468,9,'Página 01'!C$4:C$468,"Ouvidoria")</f>
        <v>0</v>
      </c>
      <c r="K13" s="291">
        <f>COUNTIFS('Página 01'!G$4:G$468,A13,'Página 01'!Q$4:Q$468,10,'Página 01'!C$4:C$468,"Ouvidoria")</f>
        <v>0</v>
      </c>
      <c r="L13" s="291">
        <f>COUNTIFS('Página 01'!G$4:G$468,A13,'Página 01'!Q$4:Q$468,11,'Página 01'!C$4:C$468,"Ouvidoria")</f>
        <v>0</v>
      </c>
      <c r="M13" s="291">
        <f>COUNTIFS('Página 01'!G$4:G$468,A13,'Página 01'!Q$4:Q$468,12,'Página 01'!C$4:C$468,"Ouvidoria")</f>
        <v>0</v>
      </c>
      <c r="N13" s="291">
        <f t="shared" si="0"/>
        <v>0</v>
      </c>
    </row>
    <row r="14" spans="1:14" x14ac:dyDescent="0.2">
      <c r="A14" s="288" t="s">
        <v>75</v>
      </c>
      <c r="B14" s="291">
        <f>COUNTIFS('Página 01'!G$4:G$468,A14,'Página 01'!Q$4:Q$468,1,'Página 01'!C$4:C$468,"Ouvidoria")</f>
        <v>0</v>
      </c>
      <c r="C14" s="291">
        <f>COUNTIFS('Página 01'!G$4:G$468,A14,'Página 01'!Q$4:Q$468,2,'Página 01'!C$4:C$468,"Ouvidoria")</f>
        <v>0</v>
      </c>
      <c r="D14" s="291">
        <f>COUNTIFS('Página 01'!G$4:G$468,A14,'Página 01'!Q$4:Q$468,3,'Página 01'!C$4:C$468,"Ouvidoria")</f>
        <v>0</v>
      </c>
      <c r="E14" s="291">
        <f>COUNTIFS('Página 01'!G$4:G$468,A14,'Página 01'!Q$4:Q$468,4,'Página 01'!C$4:C$468,"Ouvidoria")</f>
        <v>0</v>
      </c>
      <c r="F14" s="291">
        <f>COUNTIFS('Página 01'!G$4:G$468,A14,'Página 01'!Q$4:Q$468,5,'Página 01'!C$4:C$468,"Ouvidoria")</f>
        <v>0</v>
      </c>
      <c r="G14" s="291">
        <f>COUNTIFS('Página 01'!G$4:G$468,A14,'Página 01'!Q$4:Q$468,6,'Página 01'!C$4:C$468,"Ouvidoria")</f>
        <v>0</v>
      </c>
      <c r="H14" s="291">
        <f>COUNTIFS('Página 01'!G$4:G$468,A14,'Página 01'!Q$4:Q$468,7,'Página 01'!C$4:C$468,"Ouvidoria")</f>
        <v>0</v>
      </c>
      <c r="I14" s="291">
        <f>COUNTIFS('Página 01'!G$4:G$468,A14,'Página 01'!Q$4:Q$468,8,'Página 01'!C$4:C$468,"Ouvidoria")</f>
        <v>0</v>
      </c>
      <c r="J14" s="291">
        <f>COUNTIFS('Página 01'!G$4:G$468,A14,'Página 01'!Q$4:Q$468,9,'Página 01'!C$4:C$468,"Ouvidoria")</f>
        <v>0</v>
      </c>
      <c r="K14" s="291">
        <f>COUNTIFS('Página 01'!G$4:G$468,A14,'Página 01'!Q$4:Q$468,10,'Página 01'!C$4:C$468,"Ouvidoria")</f>
        <v>0</v>
      </c>
      <c r="L14" s="291">
        <f>COUNTIFS('Página 01'!G$4:G$468,A14,'Página 01'!Q$4:Q$468,11,'Página 01'!C$4:C$468,"Ouvidoria")</f>
        <v>0</v>
      </c>
      <c r="M14" s="291">
        <f>COUNTIFS('Página 01'!G$4:G$468,A14,'Página 01'!Q$4:Q$468,12,'Página 01'!C$4:C$468,"Ouvidoria")</f>
        <v>0</v>
      </c>
      <c r="N14" s="291">
        <f t="shared" si="0"/>
        <v>0</v>
      </c>
    </row>
    <row r="15" spans="1:14" x14ac:dyDescent="0.2">
      <c r="A15" s="294" t="s">
        <v>79</v>
      </c>
      <c r="B15" s="295">
        <f>SUM(B7:B14)</f>
        <v>0</v>
      </c>
      <c r="C15" s="295">
        <f t="shared" ref="C15:N15" si="1">SUM(C7:C14)</f>
        <v>0</v>
      </c>
      <c r="D15" s="295">
        <f t="shared" si="1"/>
        <v>0</v>
      </c>
      <c r="E15" s="295">
        <f t="shared" si="1"/>
        <v>0</v>
      </c>
      <c r="F15" s="295">
        <f t="shared" si="1"/>
        <v>0</v>
      </c>
      <c r="G15" s="295">
        <f t="shared" si="1"/>
        <v>0</v>
      </c>
      <c r="H15" s="295">
        <f t="shared" si="1"/>
        <v>0</v>
      </c>
      <c r="I15" s="295">
        <f t="shared" si="1"/>
        <v>0</v>
      </c>
      <c r="J15" s="295">
        <f t="shared" si="1"/>
        <v>0</v>
      </c>
      <c r="K15" s="295">
        <f t="shared" si="1"/>
        <v>0</v>
      </c>
      <c r="L15" s="295">
        <f t="shared" si="1"/>
        <v>0</v>
      </c>
      <c r="M15" s="295">
        <f t="shared" si="1"/>
        <v>0</v>
      </c>
      <c r="N15" s="295">
        <f t="shared" si="1"/>
        <v>0</v>
      </c>
    </row>
    <row r="16" spans="1:14" ht="6.75" customHeight="1" x14ac:dyDescent="0.2"/>
    <row r="17" spans="1:14" x14ac:dyDescent="0.2">
      <c r="A17" s="287" t="s">
        <v>108</v>
      </c>
      <c r="B17" s="289"/>
      <c r="C17" s="289"/>
      <c r="D17" s="289"/>
      <c r="E17" s="289"/>
    </row>
    <row r="18" spans="1:14" ht="4.5" customHeight="1" x14ac:dyDescent="0.2"/>
    <row r="19" spans="1:14" x14ac:dyDescent="0.2">
      <c r="A19" s="294" t="s">
        <v>92</v>
      </c>
      <c r="B19" s="295" t="s">
        <v>95</v>
      </c>
      <c r="C19" s="295" t="s">
        <v>96</v>
      </c>
      <c r="D19" s="295" t="s">
        <v>97</v>
      </c>
      <c r="E19" s="295" t="s">
        <v>93</v>
      </c>
      <c r="F19" s="295" t="s">
        <v>94</v>
      </c>
      <c r="G19" s="295" t="s">
        <v>98</v>
      </c>
      <c r="H19" s="295" t="s">
        <v>99</v>
      </c>
      <c r="I19" s="295" t="s">
        <v>100</v>
      </c>
      <c r="J19" s="295" t="s">
        <v>101</v>
      </c>
      <c r="K19" s="295" t="s">
        <v>102</v>
      </c>
      <c r="L19" s="295" t="s">
        <v>103</v>
      </c>
      <c r="M19" s="295" t="s">
        <v>104</v>
      </c>
      <c r="N19" s="295" t="s">
        <v>105</v>
      </c>
    </row>
    <row r="20" spans="1:14" x14ac:dyDescent="0.2">
      <c r="A20" s="288" t="s">
        <v>20</v>
      </c>
      <c r="B20" s="291">
        <f>COUNTIFS('Página 01'!G$4:G$468,'Página 03_Ouvidoria'!A20,'Página 01'!L$4:L$468,"Concluído",'Página 01'!N$4:N$468,"Dentro do prazo",'Página 01'!P$4:P$468,1,'Página 01'!C$4:C$468,"Ouvidoria")</f>
        <v>0</v>
      </c>
      <c r="C20" s="291">
        <f>COUNTIFS('Página 01'!G$4:G$468,'Página 03_Ouvidoria'!A20,'Página 01'!L$4:L$468,"Concluído",'Página 01'!N$4:N$468,"Dentro do prazo",'Página 01'!P$4:P$468,2,'Página 01'!C$4:C$468,"Ouvidoria")</f>
        <v>0</v>
      </c>
      <c r="D20" s="291">
        <f>COUNTIFS('Página 01'!G$4:G$468,'Página 03_Ouvidoria'!A20,'Página 01'!L$4:L$468,"Concluído",'Página 01'!N$4:N$468,"Dentro do prazo",'Página 01'!P$4:P$468,3,'Página 01'!C$4:C$468,"Ouvidoria")</f>
        <v>0</v>
      </c>
      <c r="E20" s="291">
        <f>COUNTIFS('Página 01'!G$4:G$468,'Página 03_Ouvidoria'!A20,'Página 01'!L$4:L$468,"Concluído",'Página 01'!N$4:N$468,"Dentro do prazo",'Página 01'!P$4:P$468,4,'Página 01'!C$4:C$468,"Ouvidoria")</f>
        <v>0</v>
      </c>
      <c r="F20" s="291">
        <f>COUNTIFS('Página 01'!G$4:G$468,'Página 03_Ouvidoria'!A20,'Página 01'!L$4:L$468,"Concluído",'Página 01'!N$4:N$468,"Dentro do prazo",'Página 01'!P$4:P$468,5,'Página 01'!C$4:C$468,"Ouvidoria")</f>
        <v>0</v>
      </c>
      <c r="G20" s="291">
        <f>COUNTIFS('Página 01'!G$4:G$468,'Página 03_Ouvidoria'!A20,'Página 01'!L$4:L$468,"Concluído",'Página 01'!N$4:N$468,"Dentro do prazo",'Página 01'!P$4:P$468,6,'Página 01'!C$4:C$468,"Ouvidoria")</f>
        <v>0</v>
      </c>
      <c r="H20" s="291">
        <f>COUNTIFS('Página 01'!G$4:G$468,'Página 03_Ouvidoria'!A20,'Página 01'!L$4:L$468,"Concluído",'Página 01'!N$4:N$468,"Dentro do prazo",'Página 01'!P$4:P$468,7,'Página 01'!C$4:C$468,"Ouvidoria")</f>
        <v>0</v>
      </c>
      <c r="I20" s="291">
        <f>COUNTIFS('Página 01'!G$4:G$468,'Página 03_Ouvidoria'!A20,'Página 01'!L$4:L$468,"Concluído",'Página 01'!N$4:N$468,"Dentro do prazo",'Página 01'!P$4:P$468,8,'Página 01'!C$4:C$468,"Ouvidoria")</f>
        <v>0</v>
      </c>
      <c r="J20" s="291">
        <f>COUNTIFS('Página 01'!G$4:G$468,'Página 03_Ouvidoria'!A20,'Página 01'!L$4:L$468,"Concluído",'Página 01'!N$4:N$468,"Dentro do prazo",'Página 01'!P$4:P$468,9,'Página 01'!C$4:C$468,"Ouvidoria")</f>
        <v>0</v>
      </c>
      <c r="K20" s="291">
        <f>COUNTIFS('Página 01'!G$4:G$468,'Página 03_Ouvidoria'!A20,'Página 01'!L$4:L$468,"Concluído",'Página 01'!N$4:N$468,"Dentro do prazo",'Página 01'!P$4:P$468,10,'Página 01'!C$4:C$468,"Ouvidoria")</f>
        <v>0</v>
      </c>
      <c r="L20" s="291">
        <f>COUNTIFS('Página 01'!G$4:G$468,'Página 03_Ouvidoria'!A20,'Página 01'!L$4:L$468,"Concluído",'Página 01'!N$4:N$468,"Dentro do prazo",'Página 01'!P$4:P$468,11,'Página 01'!C$4:C$468,"Ouvidoria")</f>
        <v>0</v>
      </c>
      <c r="M20" s="291">
        <f>COUNTIFS('Página 01'!G$4:G$468,'Página 03_Ouvidoria'!A20,'Página 01'!L$4:L$468,"Concluído",'Página 01'!N$4:N$468,"Dentro do prazo",'Página 01'!P$4:P$468,12,'Página 01'!C$4:C$468,"Ouvidoria")</f>
        <v>0</v>
      </c>
      <c r="N20" s="291">
        <f>SUM(B20:M20)</f>
        <v>0</v>
      </c>
    </row>
    <row r="21" spans="1:14" x14ac:dyDescent="0.2">
      <c r="A21" s="288" t="s">
        <v>91</v>
      </c>
      <c r="B21" s="291">
        <f>COUNTIFS('Página 01'!G$4:G$468,'Página 03_Ouvidoria'!A21,'Página 01'!L$4:L$468,"Concluído",'Página 01'!N$4:N$468,"Dentro do prazo",'Página 01'!P$4:P$468,1,'Página 01'!C$4:C$468,"Ouvidoria")</f>
        <v>0</v>
      </c>
      <c r="C21" s="291">
        <f>COUNTIFS('Página 01'!G$4:G$468,'Página 03_Ouvidoria'!A21,'Página 01'!L$4:L$468,"Concluído",'Página 01'!N$4:N$468,"Dentro do prazo",'Página 01'!P$4:P$468,2,'Página 01'!C$4:C$468,"Ouvidoria")</f>
        <v>0</v>
      </c>
      <c r="D21" s="291">
        <f>COUNTIFS('Página 01'!G$4:G$468,'Página 03_Ouvidoria'!A21,'Página 01'!L$4:L$468,"Concluído",'Página 01'!N$4:N$468,"Dentro do prazo",'Página 01'!P$4:P$468,3,'Página 01'!C$4:C$468,"Ouvidoria")</f>
        <v>0</v>
      </c>
      <c r="E21" s="291">
        <f>COUNTIFS('Página 01'!G$4:G$468,'Página 03_Ouvidoria'!A21,'Página 01'!L$4:L$468,"Concluído",'Página 01'!N$4:N$468,"Dentro do prazo",'Página 01'!P$4:P$468,4,'Página 01'!C$4:C$468,"Ouvidoria")</f>
        <v>0</v>
      </c>
      <c r="F21" s="291">
        <f>COUNTIFS('Página 01'!G$4:G$468,'Página 03_Ouvidoria'!A21,'Página 01'!L$4:L$468,"Concluído",'Página 01'!N$4:N$468,"Dentro do prazo",'Página 01'!P$4:P$468,5,'Página 01'!C$4:C$468,"Ouvidoria")</f>
        <v>0</v>
      </c>
      <c r="G21" s="291">
        <f>COUNTIFS('Página 01'!G$4:G$468,'Página 03_Ouvidoria'!A21,'Página 01'!L$4:L$468,"Concluído",'Página 01'!N$4:N$468,"Dentro do prazo",'Página 01'!P$4:P$468,6,'Página 01'!C$4:C$468,"Ouvidoria")</f>
        <v>0</v>
      </c>
      <c r="H21" s="291">
        <f>COUNTIFS('Página 01'!G$4:G$468,'Página 03_Ouvidoria'!A21,'Página 01'!L$4:L$468,"Concluído",'Página 01'!N$4:N$468,"Dentro do prazo",'Página 01'!P$4:P$468,7,'Página 01'!C$4:C$468,"Ouvidoria")</f>
        <v>0</v>
      </c>
      <c r="I21" s="291">
        <f>COUNTIFS('Página 01'!G$4:G$468,'Página 03_Ouvidoria'!A21,'Página 01'!L$4:L$468,"Concluído",'Página 01'!N$4:N$468,"Dentro do prazo",'Página 01'!P$4:P$468,8,'Página 01'!C$4:C$468,"Ouvidoria")</f>
        <v>0</v>
      </c>
      <c r="J21" s="291">
        <f>COUNTIFS('Página 01'!G$4:G$468,'Página 03_Ouvidoria'!A21,'Página 01'!L$4:L$468,"Concluído",'Página 01'!N$4:N$468,"Dentro do prazo",'Página 01'!P$4:P$468,9,'Página 01'!C$4:C$468,"Ouvidoria")</f>
        <v>0</v>
      </c>
      <c r="K21" s="291">
        <f>COUNTIFS('Página 01'!G$4:G$468,'Página 03_Ouvidoria'!A21,'Página 01'!L$4:L$468,"Concluído",'Página 01'!N$4:N$468,"Dentro do prazo",'Página 01'!P$4:P$468,10,'Página 01'!C$4:C$468,"Ouvidoria")</f>
        <v>0</v>
      </c>
      <c r="L21" s="291">
        <f>COUNTIFS('Página 01'!G$4:G$468,'Página 03_Ouvidoria'!A21,'Página 01'!L$4:L$468,"Concluído",'Página 01'!N$4:N$468,"Dentro do prazo",'Página 01'!P$4:P$468,11,'Página 01'!C$4:C$468,"Ouvidoria")</f>
        <v>0</v>
      </c>
      <c r="M21" s="291">
        <f>COUNTIFS('Página 01'!G$4:G$468,'Página 03_Ouvidoria'!A21,'Página 01'!L$4:L$468,"Concluído",'Página 01'!N$4:N$468,"Dentro do prazo",'Página 01'!P$4:P$468,12,'Página 01'!C$4:C$468,"Ouvidoria")</f>
        <v>0</v>
      </c>
      <c r="N21" s="291">
        <f t="shared" ref="N21:N27" si="2">SUM(B21:M21)</f>
        <v>0</v>
      </c>
    </row>
    <row r="22" spans="1:14" x14ac:dyDescent="0.2">
      <c r="A22" s="288" t="s">
        <v>77</v>
      </c>
      <c r="B22" s="291">
        <f>COUNTIFS('Página 01'!G$4:G$468,'Página 03_Ouvidoria'!A22,'Página 01'!L$4:L$468,"Concluído",'Página 01'!N$4:N$468,"Dentro do prazo",'Página 01'!P$4:P$468,1,'Página 01'!C$4:C$468,"Ouvidoria")</f>
        <v>0</v>
      </c>
      <c r="C22" s="291">
        <f>COUNTIFS('Página 01'!G$4:G$468,'Página 03_Ouvidoria'!A22,'Página 01'!L$4:L$468,"Concluído",'Página 01'!N$4:N$468,"Dentro do prazo",'Página 01'!P$4:P$468,2,'Página 01'!C$4:C$468,"Ouvidoria")</f>
        <v>0</v>
      </c>
      <c r="D22" s="291">
        <f>COUNTIFS('Página 01'!G$4:G$468,'Página 03_Ouvidoria'!A22,'Página 01'!L$4:L$468,"Concluído",'Página 01'!N$4:N$468,"Dentro do prazo",'Página 01'!P$4:P$468,3,'Página 01'!C$4:C$468,"Ouvidoria")</f>
        <v>0</v>
      </c>
      <c r="E22" s="291">
        <f>COUNTIFS('Página 01'!G$4:G$468,'Página 03_Ouvidoria'!A22,'Página 01'!L$4:L$468,"Concluído",'Página 01'!N$4:N$468,"Dentro do prazo",'Página 01'!P$4:P$468,4,'Página 01'!C$4:C$468,"Ouvidoria")</f>
        <v>0</v>
      </c>
      <c r="F22" s="291">
        <f>COUNTIFS('Página 01'!G$4:G$468,'Página 03_Ouvidoria'!A22,'Página 01'!L$4:L$468,"Concluído",'Página 01'!N$4:N$468,"Dentro do prazo",'Página 01'!P$4:P$468,5,'Página 01'!C$4:C$468,"Ouvidoria")</f>
        <v>0</v>
      </c>
      <c r="G22" s="291">
        <f>COUNTIFS('Página 01'!G$4:G$468,'Página 03_Ouvidoria'!A22,'Página 01'!L$4:L$468,"Concluído",'Página 01'!N$4:N$468,"Dentro do prazo",'Página 01'!P$4:P$468,6,'Página 01'!C$4:C$468,"Ouvidoria")</f>
        <v>0</v>
      </c>
      <c r="H22" s="291">
        <f>COUNTIFS('Página 01'!G$4:G$468,'Página 03_Ouvidoria'!A22,'Página 01'!L$4:L$468,"Concluído",'Página 01'!N$4:N$468,"Dentro do prazo",'Página 01'!P$4:P$468,7,'Página 01'!C$4:C$468,"Ouvidoria")</f>
        <v>0</v>
      </c>
      <c r="I22" s="291">
        <f>COUNTIFS('Página 01'!G$4:G$468,'Página 03_Ouvidoria'!A22,'Página 01'!L$4:L$468,"Concluído",'Página 01'!N$4:N$468,"Dentro do prazo",'Página 01'!P$4:P$468,8,'Página 01'!C$4:C$468,"Ouvidoria")</f>
        <v>0</v>
      </c>
      <c r="J22" s="291">
        <f>COUNTIFS('Página 01'!G$4:G$468,'Página 03_Ouvidoria'!A22,'Página 01'!L$4:L$468,"Concluído",'Página 01'!N$4:N$468,"Dentro do prazo",'Página 01'!P$4:P$468,9,'Página 01'!C$4:C$468,"Ouvidoria")</f>
        <v>0</v>
      </c>
      <c r="K22" s="291">
        <f>COUNTIFS('Página 01'!G$4:G$468,'Página 03_Ouvidoria'!A22,'Página 01'!L$4:L$468,"Concluído",'Página 01'!N$4:N$468,"Dentro do prazo",'Página 01'!P$4:P$468,10,'Página 01'!C$4:C$468,"Ouvidoria")</f>
        <v>0</v>
      </c>
      <c r="L22" s="291">
        <f>COUNTIFS('Página 01'!G$4:G$468,'Página 03_Ouvidoria'!A22,'Página 01'!L$4:L$468,"Concluído",'Página 01'!N$4:N$468,"Dentro do prazo",'Página 01'!P$4:P$468,11,'Página 01'!C$4:C$468,"Ouvidoria")</f>
        <v>0</v>
      </c>
      <c r="M22" s="291">
        <f>COUNTIFS('Página 01'!G$4:G$468,'Página 03_Ouvidoria'!A22,'Página 01'!L$4:L$468,"Concluído",'Página 01'!N$4:N$468,"Dentro do prazo",'Página 01'!P$4:P$468,12,'Página 01'!C$4:C$468,"Ouvidoria")</f>
        <v>0</v>
      </c>
      <c r="N22" s="291">
        <f t="shared" si="2"/>
        <v>0</v>
      </c>
    </row>
    <row r="23" spans="1:14" hidden="1" x14ac:dyDescent="0.2">
      <c r="A23" s="288" t="s">
        <v>78</v>
      </c>
      <c r="B23" s="291">
        <f>COUNTIFS('Página 01'!G$4:G$468,'Página 03_Ouvidoria'!A23,'Página 01'!L$4:L$468,"Concluído",'Página 01'!N$4:N$468,"Dentro do prazo",'Página 01'!P$4:P$468,1,'Página 01'!C$4:C$468,"Ouvidoria")</f>
        <v>0</v>
      </c>
      <c r="C23" s="291">
        <f>COUNTIFS('Página 01'!G$4:G$468,'Página 03_Ouvidoria'!A23,'Página 01'!L$4:L$468,"Concluído",'Página 01'!N$4:N$468,"Dentro do prazo",'Página 01'!P$4:P$468,2,'Página 01'!C$4:C$468,"Ouvidoria")</f>
        <v>0</v>
      </c>
      <c r="D23" s="291">
        <f>COUNTIFS('Página 01'!G$4:G$468,'Página 03_Ouvidoria'!A23,'Página 01'!L$4:L$468,"Concluído",'Página 01'!N$4:N$468,"Dentro do prazo",'Página 01'!P$4:P$468,3,'Página 01'!C$4:C$468,"Ouvidoria")</f>
        <v>0</v>
      </c>
      <c r="E23" s="291">
        <f>COUNTIFS('Página 01'!G$4:G$468,'Página 03_Ouvidoria'!A23,'Página 01'!L$4:L$468,"Concluído",'Página 01'!N$4:N$468,"Dentro do prazo",'Página 01'!P$4:P$468,4,'Página 01'!C$4:C$468,"Ouvidoria")</f>
        <v>0</v>
      </c>
      <c r="F23" s="291">
        <f>COUNTIFS('Página 01'!G$4:G$468,'Página 03_Ouvidoria'!A23,'Página 01'!L$4:L$468,"Concluído",'Página 01'!N$4:N$468,"Dentro do prazo",'Página 01'!P$4:P$468,5,'Página 01'!C$4:C$468,"Ouvidoria")</f>
        <v>0</v>
      </c>
      <c r="G23" s="291">
        <f>COUNTIFS('Página 01'!G$4:G$468,'Página 03_Ouvidoria'!A23,'Página 01'!L$4:L$468,"Concluído",'Página 01'!N$4:N$468,"Dentro do prazo",'Página 01'!P$4:P$468,6,'Página 01'!C$4:C$468,"Ouvidoria")</f>
        <v>0</v>
      </c>
      <c r="H23" s="291">
        <f>COUNTIFS('Página 01'!G$4:G$468,'Página 03_Ouvidoria'!A23,'Página 01'!L$4:L$468,"Concluído",'Página 01'!N$4:N$468,"Dentro do prazo",'Página 01'!P$4:P$468,7,'Página 01'!C$4:C$468,"Ouvidoria")</f>
        <v>0</v>
      </c>
      <c r="I23" s="291">
        <f>COUNTIFS('Página 01'!G$4:G$468,'Página 03_Ouvidoria'!A23,'Página 01'!L$4:L$468,"Concluído",'Página 01'!N$4:N$468,"Dentro do prazo",'Página 01'!P$4:P$468,8,'Página 01'!C$4:C$468,"Ouvidoria")</f>
        <v>0</v>
      </c>
      <c r="J23" s="291">
        <f>COUNTIFS('Página 01'!G$4:G$468,'Página 03_Ouvidoria'!A23,'Página 01'!L$4:L$468,"Concluído",'Página 01'!N$4:N$468,"Dentro do prazo",'Página 01'!P$4:P$468,9,'Página 01'!C$4:C$468,"Ouvidoria")</f>
        <v>0</v>
      </c>
      <c r="K23" s="291">
        <f>COUNTIFS('Página 01'!G$4:G$468,'Página 03_Ouvidoria'!A23,'Página 01'!L$4:L$468,"Concluído",'Página 01'!N$4:N$468,"Dentro do prazo",'Página 01'!P$4:P$468,10,'Página 01'!C$4:C$468,"Ouvidoria")</f>
        <v>0</v>
      </c>
      <c r="L23" s="291">
        <f>COUNTIFS('Página 01'!G$4:G$468,'Página 03_Ouvidoria'!A23,'Página 01'!L$4:L$468,"Concluído",'Página 01'!N$4:N$468,"Dentro do prazo",'Página 01'!P$4:P$468,11,'Página 01'!C$4:C$468,"Ouvidoria")</f>
        <v>0</v>
      </c>
      <c r="M23" s="291">
        <f>COUNTIFS('Página 01'!G$4:G$468,'Página 03_Ouvidoria'!A23,'Página 01'!L$4:L$468,"Concluído",'Página 01'!N$4:N$468,"Dentro do prazo",'Página 01'!P$4:P$468,12,'Página 01'!C$4:C$468,"Ouvidoria")</f>
        <v>0</v>
      </c>
      <c r="N23" s="291">
        <f t="shared" si="2"/>
        <v>0</v>
      </c>
    </row>
    <row r="24" spans="1:14" x14ac:dyDescent="0.2">
      <c r="A24" s="288" t="s">
        <v>22</v>
      </c>
      <c r="B24" s="291">
        <f>COUNTIFS('Página 01'!G$4:G$468,'Página 03_Ouvidoria'!A24,'Página 01'!L$4:L$468,"Concluído",'Página 01'!N$4:N$468,"Dentro do prazo",'Página 01'!P$4:P$468,1,'Página 01'!C$4:C$468,"Ouvidoria")</f>
        <v>0</v>
      </c>
      <c r="C24" s="291">
        <f>COUNTIFS('Página 01'!G$4:G$468,'Página 03_Ouvidoria'!A24,'Página 01'!L$4:L$468,"Concluído",'Página 01'!N$4:N$468,"Dentro do prazo",'Página 01'!P$4:P$468,2,'Página 01'!C$4:C$468,"Ouvidoria")</f>
        <v>0</v>
      </c>
      <c r="D24" s="291">
        <f>COUNTIFS('Página 01'!G$4:G$468,'Página 03_Ouvidoria'!A24,'Página 01'!L$4:L$468,"Concluído",'Página 01'!N$4:N$468,"Dentro do prazo",'Página 01'!P$4:P$468,3,'Página 01'!C$4:C$468,"Ouvidoria")</f>
        <v>0</v>
      </c>
      <c r="E24" s="291">
        <f>COUNTIFS('Página 01'!G$4:G$468,'Página 03_Ouvidoria'!A24,'Página 01'!L$4:L$468,"Concluído",'Página 01'!N$4:N$468,"Dentro do prazo",'Página 01'!P$4:P$468,4,'Página 01'!C$4:C$468,"Ouvidoria")</f>
        <v>0</v>
      </c>
      <c r="F24" s="291">
        <f>COUNTIFS('Página 01'!G$4:G$468,'Página 03_Ouvidoria'!A24,'Página 01'!L$4:L$468,"Concluído",'Página 01'!N$4:N$468,"Dentro do prazo",'Página 01'!P$4:P$468,5,'Página 01'!C$4:C$468,"Ouvidoria")</f>
        <v>0</v>
      </c>
      <c r="G24" s="291">
        <f>COUNTIFS('Página 01'!G$4:G$468,'Página 03_Ouvidoria'!A24,'Página 01'!L$4:L$468,"Concluído",'Página 01'!N$4:N$468,"Dentro do prazo",'Página 01'!P$4:P$468,6,'Página 01'!C$4:C$468,"Ouvidoria")</f>
        <v>0</v>
      </c>
      <c r="H24" s="291">
        <f>COUNTIFS('Página 01'!G$4:G$468,'Página 03_Ouvidoria'!A24,'Página 01'!L$4:L$468,"Concluído",'Página 01'!N$4:N$468,"Dentro do prazo",'Página 01'!P$4:P$468,7,'Página 01'!C$4:C$468,"Ouvidoria")</f>
        <v>0</v>
      </c>
      <c r="I24" s="291">
        <f>COUNTIFS('Página 01'!G$4:G$468,'Página 03_Ouvidoria'!A24,'Página 01'!L$4:L$468,"Concluído",'Página 01'!N$4:N$468,"Dentro do prazo",'Página 01'!P$4:P$468,8,'Página 01'!C$4:C$468,"Ouvidoria")</f>
        <v>0</v>
      </c>
      <c r="J24" s="291">
        <f>COUNTIFS('Página 01'!G$4:G$468,'Página 03_Ouvidoria'!A24,'Página 01'!L$4:L$468,"Concluído",'Página 01'!N$4:N$468,"Dentro do prazo",'Página 01'!P$4:P$468,9,'Página 01'!C$4:C$468,"Ouvidoria")</f>
        <v>0</v>
      </c>
      <c r="K24" s="291">
        <f>COUNTIFS('Página 01'!G$4:G$468,'Página 03_Ouvidoria'!A24,'Página 01'!L$4:L$468,"Concluído",'Página 01'!N$4:N$468,"Dentro do prazo",'Página 01'!P$4:P$468,10,'Página 01'!C$4:C$468,"Ouvidoria")</f>
        <v>0</v>
      </c>
      <c r="L24" s="291">
        <f>COUNTIFS('Página 01'!G$4:G$468,'Página 03_Ouvidoria'!A24,'Página 01'!L$4:L$468,"Concluído",'Página 01'!N$4:N$468,"Dentro do prazo",'Página 01'!P$4:P$468,11,'Página 01'!C$4:C$468,"Ouvidoria")</f>
        <v>0</v>
      </c>
      <c r="M24" s="291">
        <f>COUNTIFS('Página 01'!G$4:G$468,'Página 03_Ouvidoria'!A24,'Página 01'!L$4:L$468,"Concluído",'Página 01'!N$4:N$468,"Dentro do prazo",'Página 01'!P$4:P$468,12,'Página 01'!C$4:C$468,"Ouvidoria")</f>
        <v>0</v>
      </c>
      <c r="N24" s="291">
        <f t="shared" si="2"/>
        <v>0</v>
      </c>
    </row>
    <row r="25" spans="1:14" x14ac:dyDescent="0.2">
      <c r="A25" s="288" t="s">
        <v>48</v>
      </c>
      <c r="B25" s="291">
        <f>COUNTIFS('Página 01'!G$4:G$468,'Página 03_Ouvidoria'!A25,'Página 01'!L$4:L$468,"Concluído",'Página 01'!N$4:N$468,"Dentro do prazo",'Página 01'!P$4:P$468,1,'Página 01'!C$4:C$468,"Ouvidoria")</f>
        <v>0</v>
      </c>
      <c r="C25" s="291">
        <f>COUNTIFS('Página 01'!G$4:G$468,'Página 03_Ouvidoria'!A25,'Página 01'!L$4:L$468,"Concluído",'Página 01'!N$4:N$468,"Dentro do prazo",'Página 01'!P$4:P$468,2,'Página 01'!C$4:C$468,"Ouvidoria")</f>
        <v>0</v>
      </c>
      <c r="D25" s="291">
        <f>COUNTIFS('Página 01'!G$4:G$468,'Página 03_Ouvidoria'!A25,'Página 01'!L$4:L$468,"Concluído",'Página 01'!N$4:N$468,"Dentro do prazo",'Página 01'!P$4:P$468,3,'Página 01'!C$4:C$468,"Ouvidoria")</f>
        <v>0</v>
      </c>
      <c r="E25" s="291">
        <f>COUNTIFS('Página 01'!G$4:G$468,'Página 03_Ouvidoria'!A25,'Página 01'!L$4:L$468,"Concluído",'Página 01'!N$4:N$468,"Dentro do prazo",'Página 01'!P$4:P$468,4,'Página 01'!C$4:C$468,"Ouvidoria")</f>
        <v>0</v>
      </c>
      <c r="F25" s="291">
        <f>COUNTIFS('Página 01'!G$4:G$468,'Página 03_Ouvidoria'!A25,'Página 01'!L$4:L$468,"Concluído",'Página 01'!N$4:N$468,"Dentro do prazo",'Página 01'!P$4:P$468,5,'Página 01'!C$4:C$468,"Ouvidoria")</f>
        <v>0</v>
      </c>
      <c r="G25" s="291">
        <f>COUNTIFS('Página 01'!G$4:G$468,'Página 03_Ouvidoria'!A25,'Página 01'!L$4:L$468,"Concluído",'Página 01'!N$4:N$468,"Dentro do prazo",'Página 01'!P$4:P$468,6,'Página 01'!C$4:C$468,"Ouvidoria")</f>
        <v>0</v>
      </c>
      <c r="H25" s="291">
        <f>COUNTIFS('Página 01'!G$4:G$468,'Página 03_Ouvidoria'!A25,'Página 01'!L$4:L$468,"Concluído",'Página 01'!N$4:N$468,"Dentro do prazo",'Página 01'!P$4:P$468,7,'Página 01'!C$4:C$468,"Ouvidoria")</f>
        <v>0</v>
      </c>
      <c r="I25" s="291">
        <f>COUNTIFS('Página 01'!G$4:G$468,'Página 03_Ouvidoria'!A25,'Página 01'!L$4:L$468,"Concluído",'Página 01'!N$4:N$468,"Dentro do prazo",'Página 01'!P$4:P$468,8,'Página 01'!C$4:C$468,"Ouvidoria")</f>
        <v>0</v>
      </c>
      <c r="J25" s="291">
        <f>COUNTIFS('Página 01'!G$4:G$468,'Página 03_Ouvidoria'!A25,'Página 01'!L$4:L$468,"Concluído",'Página 01'!N$4:N$468,"Dentro do prazo",'Página 01'!P$4:P$468,9,'Página 01'!C$4:C$468,"Ouvidoria")</f>
        <v>0</v>
      </c>
      <c r="K25" s="291">
        <f>COUNTIFS('Página 01'!G$4:G$468,'Página 03_Ouvidoria'!A25,'Página 01'!L$4:L$468,"Concluído",'Página 01'!N$4:N$468,"Dentro do prazo",'Página 01'!P$4:P$468,10,'Página 01'!C$4:C$468,"Ouvidoria")</f>
        <v>0</v>
      </c>
      <c r="L25" s="291">
        <f>COUNTIFS('Página 01'!G$4:G$468,'Página 03_Ouvidoria'!A25,'Página 01'!L$4:L$468,"Concluído",'Página 01'!N$4:N$468,"Dentro do prazo",'Página 01'!P$4:P$468,11,'Página 01'!C$4:C$468,"Ouvidoria")</f>
        <v>0</v>
      </c>
      <c r="M25" s="291">
        <f>COUNTIFS('Página 01'!G$4:G$468,'Página 03_Ouvidoria'!A25,'Página 01'!L$4:L$468,"Concluído",'Página 01'!N$4:N$468,"Dentro do prazo",'Página 01'!P$4:P$468,12,'Página 01'!C$4:C$468,"Ouvidoria")</f>
        <v>0</v>
      </c>
      <c r="N25" s="291">
        <f t="shared" si="2"/>
        <v>0</v>
      </c>
    </row>
    <row r="26" spans="1:14" x14ac:dyDescent="0.2">
      <c r="A26" s="288" t="s">
        <v>76</v>
      </c>
      <c r="B26" s="291">
        <f>COUNTIFS('Página 01'!G$4:G$468,'Página 03_Ouvidoria'!A26,'Página 01'!L$4:L$468,"Concluído",'Página 01'!N$4:N$468,"Dentro do prazo",'Página 01'!P$4:P$468,1,'Página 01'!C$4:C$468,"Ouvidoria")</f>
        <v>0</v>
      </c>
      <c r="C26" s="291">
        <f>COUNTIFS('Página 01'!G$4:G$468,'Página 03_Ouvidoria'!A26,'Página 01'!L$4:L$468,"Concluído",'Página 01'!N$4:N$468,"Dentro do prazo",'Página 01'!P$4:P$468,2,'Página 01'!C$4:C$468,"Ouvidoria")</f>
        <v>0</v>
      </c>
      <c r="D26" s="291">
        <f>COUNTIFS('Página 01'!G$4:G$468,'Página 03_Ouvidoria'!A26,'Página 01'!L$4:L$468,"Concluído",'Página 01'!N$4:N$468,"Dentro do prazo",'Página 01'!P$4:P$468,3,'Página 01'!C$4:C$468,"Ouvidoria")</f>
        <v>0</v>
      </c>
      <c r="E26" s="291">
        <f>COUNTIFS('Página 01'!G$4:G$468,'Página 03_Ouvidoria'!A26,'Página 01'!L$4:L$468,"Concluído",'Página 01'!N$4:N$468,"Dentro do prazo",'Página 01'!P$4:P$468,4,'Página 01'!C$4:C$468,"Ouvidoria")</f>
        <v>0</v>
      </c>
      <c r="F26" s="291">
        <f>COUNTIFS('Página 01'!G$4:G$468,'Página 03_Ouvidoria'!A26,'Página 01'!L$4:L$468,"Concluído",'Página 01'!N$4:N$468,"Dentro do prazo",'Página 01'!P$4:P$468,5,'Página 01'!C$4:C$468,"Ouvidoria")</f>
        <v>0</v>
      </c>
      <c r="G26" s="291">
        <f>COUNTIFS('Página 01'!G$4:G$468,'Página 03_Ouvidoria'!A26,'Página 01'!L$4:L$468,"Concluído",'Página 01'!N$4:N$468,"Dentro do prazo",'Página 01'!P$4:P$468,6,'Página 01'!C$4:C$468,"Ouvidoria")</f>
        <v>0</v>
      </c>
      <c r="H26" s="291">
        <f>COUNTIFS('Página 01'!G$4:G$468,'Página 03_Ouvidoria'!A26,'Página 01'!L$4:L$468,"Concluído",'Página 01'!N$4:N$468,"Dentro do prazo",'Página 01'!P$4:P$468,7,'Página 01'!C$4:C$468,"Ouvidoria")</f>
        <v>0</v>
      </c>
      <c r="I26" s="291">
        <f>COUNTIFS('Página 01'!G$4:G$468,'Página 03_Ouvidoria'!A26,'Página 01'!L$4:L$468,"Concluído",'Página 01'!N$4:N$468,"Dentro do prazo",'Página 01'!P$4:P$468,8,'Página 01'!C$4:C$468,"Ouvidoria")</f>
        <v>0</v>
      </c>
      <c r="J26" s="291">
        <f>COUNTIFS('Página 01'!G$4:G$468,'Página 03_Ouvidoria'!A26,'Página 01'!L$4:L$468,"Concluído",'Página 01'!N$4:N$468,"Dentro do prazo",'Página 01'!P$4:P$468,9,'Página 01'!C$4:C$468,"Ouvidoria")</f>
        <v>0</v>
      </c>
      <c r="K26" s="291">
        <f>COUNTIFS('Página 01'!G$4:G$468,'Página 03_Ouvidoria'!A26,'Página 01'!L$4:L$468,"Concluído",'Página 01'!N$4:N$468,"Dentro do prazo",'Página 01'!P$4:P$468,10,'Página 01'!C$4:C$468,"Ouvidoria")</f>
        <v>0</v>
      </c>
      <c r="L26" s="291">
        <f>COUNTIFS('Página 01'!G$4:G$468,'Página 03_Ouvidoria'!A26,'Página 01'!L$4:L$468,"Concluído",'Página 01'!N$4:N$468,"Dentro do prazo",'Página 01'!P$4:P$468,11,'Página 01'!C$4:C$468,"Ouvidoria")</f>
        <v>0</v>
      </c>
      <c r="M26" s="291">
        <f>COUNTIFS('Página 01'!G$4:G$468,'Página 03_Ouvidoria'!A26,'Página 01'!L$4:L$468,"Concluído",'Página 01'!N$4:N$468,"Dentro do prazo",'Página 01'!P$4:P$468,12,'Página 01'!C$4:C$468,"Ouvidoria")</f>
        <v>0</v>
      </c>
      <c r="N26" s="291">
        <f t="shared" si="2"/>
        <v>0</v>
      </c>
    </row>
    <row r="27" spans="1:14" x14ac:dyDescent="0.2">
      <c r="A27" s="288" t="s">
        <v>75</v>
      </c>
      <c r="B27" s="291">
        <f>COUNTIFS('Página 01'!G$4:G$468,'Página 03_Ouvidoria'!A27,'Página 01'!L$4:L$468,"Concluído",'Página 01'!N$4:N$468,"Dentro do prazo",'Página 01'!P$4:P$468,1,'Página 01'!C$4:C$468,"Ouvidoria")</f>
        <v>0</v>
      </c>
      <c r="C27" s="291">
        <f>COUNTIFS('Página 01'!G$4:G$468,'Página 03_Ouvidoria'!A27,'Página 01'!L$4:L$468,"Concluído",'Página 01'!N$4:N$468,"Dentro do prazo",'Página 01'!P$4:P$468,2,'Página 01'!C$4:C$468,"Ouvidoria")</f>
        <v>0</v>
      </c>
      <c r="D27" s="291">
        <f>COUNTIFS('Página 01'!G$4:G$468,'Página 03_Ouvidoria'!A27,'Página 01'!L$4:L$468,"Concluído",'Página 01'!N$4:N$468,"Dentro do prazo",'Página 01'!P$4:P$468,3,'Página 01'!C$4:C$468,"Ouvidoria")</f>
        <v>0</v>
      </c>
      <c r="E27" s="291">
        <f>COUNTIFS('Página 01'!G$4:G$468,'Página 03_Ouvidoria'!A27,'Página 01'!L$4:L$468,"Concluído",'Página 01'!N$4:N$468,"Dentro do prazo",'Página 01'!P$4:P$468,4,'Página 01'!C$4:C$468,"Ouvidoria")</f>
        <v>0</v>
      </c>
      <c r="F27" s="291">
        <f>COUNTIFS('Página 01'!G$4:G$468,'Página 03_Ouvidoria'!A27,'Página 01'!L$4:L$468,"Concluído",'Página 01'!N$4:N$468,"Dentro do prazo",'Página 01'!P$4:P$468,5,'Página 01'!C$4:C$468,"Ouvidoria")</f>
        <v>0</v>
      </c>
      <c r="G27" s="291">
        <f>COUNTIFS('Página 01'!G$4:G$468,'Página 03_Ouvidoria'!A27,'Página 01'!L$4:L$468,"Concluído",'Página 01'!N$4:N$468,"Dentro do prazo",'Página 01'!P$4:P$468,6,'Página 01'!C$4:C$468,"Ouvidoria")</f>
        <v>0</v>
      </c>
      <c r="H27" s="291">
        <f>COUNTIFS('Página 01'!G$4:G$468,'Página 03_Ouvidoria'!A27,'Página 01'!L$4:L$468,"Concluído",'Página 01'!N$4:N$468,"Dentro do prazo",'Página 01'!P$4:P$468,7,'Página 01'!C$4:C$468,"Ouvidoria")</f>
        <v>0</v>
      </c>
      <c r="I27" s="291">
        <f>COUNTIFS('Página 01'!G$4:G$468,'Página 03_Ouvidoria'!A27,'Página 01'!L$4:L$468,"Concluído",'Página 01'!N$4:N$468,"Dentro do prazo",'Página 01'!P$4:P$468,8,'Página 01'!C$4:C$468,"Ouvidoria")</f>
        <v>0</v>
      </c>
      <c r="J27" s="291">
        <f>COUNTIFS('Página 01'!G$4:G$468,'Página 03_Ouvidoria'!A27,'Página 01'!L$4:L$468,"Concluído",'Página 01'!N$4:N$468,"Dentro do prazo",'Página 01'!P$4:P$468,9,'Página 01'!C$4:C$468,"Ouvidoria")</f>
        <v>0</v>
      </c>
      <c r="K27" s="291">
        <f>COUNTIFS('Página 01'!G$4:G$468,'Página 03_Ouvidoria'!A27,'Página 01'!L$4:L$468,"Concluído",'Página 01'!N$4:N$468,"Dentro do prazo",'Página 01'!P$4:P$468,10,'Página 01'!C$4:C$468,"Ouvidoria")</f>
        <v>0</v>
      </c>
      <c r="L27" s="291">
        <f>COUNTIFS('Página 01'!G$4:G$468,'Página 03_Ouvidoria'!A27,'Página 01'!L$4:L$468,"Concluído",'Página 01'!N$4:N$468,"Dentro do prazo",'Página 01'!P$4:P$468,11,'Página 01'!C$4:C$468,"Ouvidoria")</f>
        <v>0</v>
      </c>
      <c r="M27" s="291">
        <f>COUNTIFS('Página 01'!G$4:G$468,'Página 03_Ouvidoria'!A27,'Página 01'!L$4:L$468,"Concluído",'Página 01'!N$4:N$468,"Dentro do prazo",'Página 01'!P$4:P$468,12,'Página 01'!C$4:C$468,"Ouvidoria")</f>
        <v>0</v>
      </c>
      <c r="N27" s="291">
        <f t="shared" si="2"/>
        <v>0</v>
      </c>
    </row>
    <row r="28" spans="1:14" x14ac:dyDescent="0.2">
      <c r="A28" s="294" t="s">
        <v>79</v>
      </c>
      <c r="B28" s="295">
        <f>SUM(B20:B27)</f>
        <v>0</v>
      </c>
      <c r="C28" s="295">
        <f t="shared" ref="C28:N28" si="3">SUM(C20:C27)</f>
        <v>0</v>
      </c>
      <c r="D28" s="295">
        <f t="shared" si="3"/>
        <v>0</v>
      </c>
      <c r="E28" s="295">
        <f t="shared" si="3"/>
        <v>0</v>
      </c>
      <c r="F28" s="295">
        <f t="shared" si="3"/>
        <v>0</v>
      </c>
      <c r="G28" s="295">
        <f t="shared" si="3"/>
        <v>0</v>
      </c>
      <c r="H28" s="295">
        <f t="shared" si="3"/>
        <v>0</v>
      </c>
      <c r="I28" s="295">
        <f t="shared" si="3"/>
        <v>0</v>
      </c>
      <c r="J28" s="295">
        <f t="shared" si="3"/>
        <v>0</v>
      </c>
      <c r="K28" s="295">
        <f t="shared" si="3"/>
        <v>0</v>
      </c>
      <c r="L28" s="295">
        <f t="shared" si="3"/>
        <v>0</v>
      </c>
      <c r="M28" s="295">
        <f t="shared" si="3"/>
        <v>0</v>
      </c>
      <c r="N28" s="295">
        <f t="shared" si="3"/>
        <v>0</v>
      </c>
    </row>
    <row r="29" spans="1:14" ht="5.25" customHeight="1" x14ac:dyDescent="0.2"/>
    <row r="30" spans="1:14" x14ac:dyDescent="0.2">
      <c r="A30" s="466" t="s">
        <v>109</v>
      </c>
      <c r="B30" s="466"/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6"/>
      <c r="N30" s="466"/>
    </row>
    <row r="31" spans="1:14" ht="4.5" customHeight="1" x14ac:dyDescent="0.2">
      <c r="A31" s="286"/>
    </row>
    <row r="32" spans="1:14" x14ac:dyDescent="0.2">
      <c r="A32" s="294" t="s">
        <v>92</v>
      </c>
      <c r="B32" s="295" t="s">
        <v>95</v>
      </c>
      <c r="C32" s="295" t="s">
        <v>96</v>
      </c>
      <c r="D32" s="295" t="s">
        <v>97</v>
      </c>
      <c r="E32" s="295" t="s">
        <v>93</v>
      </c>
      <c r="F32" s="295" t="s">
        <v>94</v>
      </c>
      <c r="G32" s="295" t="s">
        <v>98</v>
      </c>
      <c r="H32" s="295" t="s">
        <v>99</v>
      </c>
      <c r="I32" s="295" t="s">
        <v>100</v>
      </c>
      <c r="J32" s="295" t="s">
        <v>101</v>
      </c>
      <c r="K32" s="295" t="s">
        <v>102</v>
      </c>
      <c r="L32" s="295" t="s">
        <v>103</v>
      </c>
      <c r="M32" s="295" t="s">
        <v>104</v>
      </c>
      <c r="N32" s="295" t="s">
        <v>105</v>
      </c>
    </row>
    <row r="33" spans="1:14" x14ac:dyDescent="0.2">
      <c r="A33" s="288" t="s">
        <v>20</v>
      </c>
      <c r="B33" s="291" t="str">
        <f>IFERROR((B20/B7)*100,"-")</f>
        <v>-</v>
      </c>
      <c r="C33" s="291" t="str">
        <f t="shared" ref="C33:N33" si="4">IFERROR((C20/C7)*100,"-")</f>
        <v>-</v>
      </c>
      <c r="D33" s="291" t="str">
        <f t="shared" si="4"/>
        <v>-</v>
      </c>
      <c r="E33" s="291" t="str">
        <f t="shared" si="4"/>
        <v>-</v>
      </c>
      <c r="F33" s="291" t="str">
        <f t="shared" si="4"/>
        <v>-</v>
      </c>
      <c r="G33" s="291" t="str">
        <f t="shared" si="4"/>
        <v>-</v>
      </c>
      <c r="H33" s="291" t="str">
        <f t="shared" si="4"/>
        <v>-</v>
      </c>
      <c r="I33" s="291" t="str">
        <f t="shared" si="4"/>
        <v>-</v>
      </c>
      <c r="J33" s="291" t="str">
        <f t="shared" si="4"/>
        <v>-</v>
      </c>
      <c r="K33" s="291" t="str">
        <f t="shared" si="4"/>
        <v>-</v>
      </c>
      <c r="L33" s="291" t="str">
        <f t="shared" si="4"/>
        <v>-</v>
      </c>
      <c r="M33" s="291" t="str">
        <f t="shared" si="4"/>
        <v>-</v>
      </c>
      <c r="N33" s="291" t="str">
        <f t="shared" si="4"/>
        <v>-</v>
      </c>
    </row>
    <row r="34" spans="1:14" x14ac:dyDescent="0.2">
      <c r="A34" s="288" t="s">
        <v>91</v>
      </c>
      <c r="B34" s="291" t="str">
        <f t="shared" ref="B34:N41" si="5">IFERROR((B21/B8)*100,"-")</f>
        <v>-</v>
      </c>
      <c r="C34" s="291" t="str">
        <f t="shared" si="5"/>
        <v>-</v>
      </c>
      <c r="D34" s="291" t="str">
        <f t="shared" si="5"/>
        <v>-</v>
      </c>
      <c r="E34" s="291" t="str">
        <f t="shared" si="5"/>
        <v>-</v>
      </c>
      <c r="F34" s="291" t="str">
        <f t="shared" si="5"/>
        <v>-</v>
      </c>
      <c r="G34" s="291" t="str">
        <f t="shared" si="5"/>
        <v>-</v>
      </c>
      <c r="H34" s="291" t="str">
        <f t="shared" si="5"/>
        <v>-</v>
      </c>
      <c r="I34" s="291" t="str">
        <f t="shared" si="5"/>
        <v>-</v>
      </c>
      <c r="J34" s="291" t="str">
        <f t="shared" si="5"/>
        <v>-</v>
      </c>
      <c r="K34" s="291" t="str">
        <f t="shared" si="5"/>
        <v>-</v>
      </c>
      <c r="L34" s="291" t="str">
        <f t="shared" si="5"/>
        <v>-</v>
      </c>
      <c r="M34" s="291" t="str">
        <f t="shared" si="5"/>
        <v>-</v>
      </c>
      <c r="N34" s="291" t="str">
        <f t="shared" si="5"/>
        <v>-</v>
      </c>
    </row>
    <row r="35" spans="1:14" x14ac:dyDescent="0.2">
      <c r="A35" s="288" t="s">
        <v>77</v>
      </c>
      <c r="B35" s="291" t="str">
        <f t="shared" si="5"/>
        <v>-</v>
      </c>
      <c r="C35" s="291" t="str">
        <f t="shared" si="5"/>
        <v>-</v>
      </c>
      <c r="D35" s="291" t="str">
        <f t="shared" si="5"/>
        <v>-</v>
      </c>
      <c r="E35" s="291" t="str">
        <f t="shared" si="5"/>
        <v>-</v>
      </c>
      <c r="F35" s="291" t="str">
        <f t="shared" si="5"/>
        <v>-</v>
      </c>
      <c r="G35" s="291" t="str">
        <f t="shared" si="5"/>
        <v>-</v>
      </c>
      <c r="H35" s="291" t="str">
        <f t="shared" si="5"/>
        <v>-</v>
      </c>
      <c r="I35" s="291" t="str">
        <f t="shared" si="5"/>
        <v>-</v>
      </c>
      <c r="J35" s="291" t="str">
        <f t="shared" si="5"/>
        <v>-</v>
      </c>
      <c r="K35" s="291" t="str">
        <f t="shared" si="5"/>
        <v>-</v>
      </c>
      <c r="L35" s="291" t="str">
        <f t="shared" si="5"/>
        <v>-</v>
      </c>
      <c r="M35" s="291" t="str">
        <f t="shared" si="5"/>
        <v>-</v>
      </c>
      <c r="N35" s="291" t="str">
        <f t="shared" si="5"/>
        <v>-</v>
      </c>
    </row>
    <row r="36" spans="1:14" hidden="1" x14ac:dyDescent="0.2">
      <c r="A36" s="288" t="s">
        <v>78</v>
      </c>
      <c r="B36" s="291" t="str">
        <f t="shared" si="5"/>
        <v>-</v>
      </c>
      <c r="C36" s="291" t="str">
        <f t="shared" si="5"/>
        <v>-</v>
      </c>
      <c r="D36" s="291" t="str">
        <f t="shared" si="5"/>
        <v>-</v>
      </c>
      <c r="E36" s="291" t="str">
        <f t="shared" si="5"/>
        <v>-</v>
      </c>
      <c r="F36" s="291" t="str">
        <f t="shared" si="5"/>
        <v>-</v>
      </c>
      <c r="G36" s="291" t="str">
        <f t="shared" si="5"/>
        <v>-</v>
      </c>
      <c r="H36" s="291" t="str">
        <f t="shared" si="5"/>
        <v>-</v>
      </c>
      <c r="I36" s="291" t="str">
        <f t="shared" si="5"/>
        <v>-</v>
      </c>
      <c r="J36" s="291" t="str">
        <f t="shared" si="5"/>
        <v>-</v>
      </c>
      <c r="K36" s="291" t="str">
        <f t="shared" si="5"/>
        <v>-</v>
      </c>
      <c r="L36" s="291" t="str">
        <f t="shared" si="5"/>
        <v>-</v>
      </c>
      <c r="M36" s="291" t="str">
        <f t="shared" si="5"/>
        <v>-</v>
      </c>
      <c r="N36" s="291" t="str">
        <f t="shared" si="5"/>
        <v>-</v>
      </c>
    </row>
    <row r="37" spans="1:14" x14ac:dyDescent="0.2">
      <c r="A37" s="288" t="s">
        <v>22</v>
      </c>
      <c r="B37" s="291" t="str">
        <f t="shared" si="5"/>
        <v>-</v>
      </c>
      <c r="C37" s="291" t="str">
        <f t="shared" si="5"/>
        <v>-</v>
      </c>
      <c r="D37" s="291" t="str">
        <f t="shared" si="5"/>
        <v>-</v>
      </c>
      <c r="E37" s="291" t="str">
        <f t="shared" si="5"/>
        <v>-</v>
      </c>
      <c r="F37" s="291" t="str">
        <f t="shared" si="5"/>
        <v>-</v>
      </c>
      <c r="G37" s="291" t="str">
        <f t="shared" si="5"/>
        <v>-</v>
      </c>
      <c r="H37" s="291" t="str">
        <f t="shared" si="5"/>
        <v>-</v>
      </c>
      <c r="I37" s="291" t="str">
        <f t="shared" si="5"/>
        <v>-</v>
      </c>
      <c r="J37" s="291" t="str">
        <f t="shared" si="5"/>
        <v>-</v>
      </c>
      <c r="K37" s="291" t="str">
        <f t="shared" si="5"/>
        <v>-</v>
      </c>
      <c r="L37" s="291" t="str">
        <f t="shared" si="5"/>
        <v>-</v>
      </c>
      <c r="M37" s="291" t="str">
        <f t="shared" si="5"/>
        <v>-</v>
      </c>
      <c r="N37" s="291" t="str">
        <f t="shared" si="5"/>
        <v>-</v>
      </c>
    </row>
    <row r="38" spans="1:14" x14ac:dyDescent="0.2">
      <c r="A38" s="288" t="s">
        <v>48</v>
      </c>
      <c r="B38" s="291" t="str">
        <f t="shared" si="5"/>
        <v>-</v>
      </c>
      <c r="C38" s="291" t="str">
        <f t="shared" si="5"/>
        <v>-</v>
      </c>
      <c r="D38" s="291" t="str">
        <f t="shared" si="5"/>
        <v>-</v>
      </c>
      <c r="E38" s="291" t="str">
        <f t="shared" si="5"/>
        <v>-</v>
      </c>
      <c r="F38" s="291" t="str">
        <f t="shared" si="5"/>
        <v>-</v>
      </c>
      <c r="G38" s="291" t="str">
        <f t="shared" si="5"/>
        <v>-</v>
      </c>
      <c r="H38" s="291" t="str">
        <f t="shared" si="5"/>
        <v>-</v>
      </c>
      <c r="I38" s="291" t="str">
        <f t="shared" si="5"/>
        <v>-</v>
      </c>
      <c r="J38" s="291" t="str">
        <f t="shared" si="5"/>
        <v>-</v>
      </c>
      <c r="K38" s="291" t="str">
        <f t="shared" si="5"/>
        <v>-</v>
      </c>
      <c r="L38" s="291" t="str">
        <f t="shared" si="5"/>
        <v>-</v>
      </c>
      <c r="M38" s="291" t="str">
        <f t="shared" si="5"/>
        <v>-</v>
      </c>
      <c r="N38" s="291" t="str">
        <f t="shared" si="5"/>
        <v>-</v>
      </c>
    </row>
    <row r="39" spans="1:14" x14ac:dyDescent="0.2">
      <c r="A39" s="288" t="s">
        <v>76</v>
      </c>
      <c r="B39" s="291" t="str">
        <f t="shared" si="5"/>
        <v>-</v>
      </c>
      <c r="C39" s="291" t="str">
        <f t="shared" si="5"/>
        <v>-</v>
      </c>
      <c r="D39" s="291" t="str">
        <f t="shared" si="5"/>
        <v>-</v>
      </c>
      <c r="E39" s="291" t="str">
        <f t="shared" si="5"/>
        <v>-</v>
      </c>
      <c r="F39" s="291" t="str">
        <f t="shared" si="5"/>
        <v>-</v>
      </c>
      <c r="G39" s="291" t="str">
        <f t="shared" si="5"/>
        <v>-</v>
      </c>
      <c r="H39" s="291" t="str">
        <f t="shared" si="5"/>
        <v>-</v>
      </c>
      <c r="I39" s="291" t="str">
        <f t="shared" si="5"/>
        <v>-</v>
      </c>
      <c r="J39" s="291" t="str">
        <f t="shared" si="5"/>
        <v>-</v>
      </c>
      <c r="K39" s="291" t="str">
        <f t="shared" si="5"/>
        <v>-</v>
      </c>
      <c r="L39" s="291" t="str">
        <f t="shared" si="5"/>
        <v>-</v>
      </c>
      <c r="M39" s="291" t="str">
        <f t="shared" si="5"/>
        <v>-</v>
      </c>
      <c r="N39" s="291" t="str">
        <f t="shared" si="5"/>
        <v>-</v>
      </c>
    </row>
    <row r="40" spans="1:14" x14ac:dyDescent="0.2">
      <c r="A40" s="288" t="s">
        <v>75</v>
      </c>
      <c r="B40" s="291" t="str">
        <f t="shared" si="5"/>
        <v>-</v>
      </c>
      <c r="C40" s="291" t="str">
        <f t="shared" si="5"/>
        <v>-</v>
      </c>
      <c r="D40" s="291" t="str">
        <f t="shared" si="5"/>
        <v>-</v>
      </c>
      <c r="E40" s="291" t="str">
        <f t="shared" si="5"/>
        <v>-</v>
      </c>
      <c r="F40" s="291" t="str">
        <f t="shared" si="5"/>
        <v>-</v>
      </c>
      <c r="G40" s="291" t="str">
        <f t="shared" si="5"/>
        <v>-</v>
      </c>
      <c r="H40" s="291" t="str">
        <f t="shared" si="5"/>
        <v>-</v>
      </c>
      <c r="I40" s="291" t="str">
        <f t="shared" si="5"/>
        <v>-</v>
      </c>
      <c r="J40" s="291" t="str">
        <f t="shared" si="5"/>
        <v>-</v>
      </c>
      <c r="K40" s="291" t="str">
        <f t="shared" si="5"/>
        <v>-</v>
      </c>
      <c r="L40" s="291" t="str">
        <f t="shared" si="5"/>
        <v>-</v>
      </c>
      <c r="M40" s="291" t="str">
        <f t="shared" si="5"/>
        <v>-</v>
      </c>
      <c r="N40" s="291" t="str">
        <f t="shared" si="5"/>
        <v>-</v>
      </c>
    </row>
    <row r="41" spans="1:14" x14ac:dyDescent="0.2">
      <c r="A41" s="294" t="s">
        <v>79</v>
      </c>
      <c r="B41" s="295" t="str">
        <f t="shared" si="5"/>
        <v>-</v>
      </c>
      <c r="C41" s="295" t="str">
        <f t="shared" si="5"/>
        <v>-</v>
      </c>
      <c r="D41" s="295" t="str">
        <f t="shared" si="5"/>
        <v>-</v>
      </c>
      <c r="E41" s="295" t="str">
        <f t="shared" si="5"/>
        <v>-</v>
      </c>
      <c r="F41" s="295" t="str">
        <f t="shared" si="5"/>
        <v>-</v>
      </c>
      <c r="G41" s="295" t="str">
        <f t="shared" si="5"/>
        <v>-</v>
      </c>
      <c r="H41" s="295" t="str">
        <f t="shared" si="5"/>
        <v>-</v>
      </c>
      <c r="I41" s="295" t="str">
        <f t="shared" si="5"/>
        <v>-</v>
      </c>
      <c r="J41" s="295" t="str">
        <f t="shared" si="5"/>
        <v>-</v>
      </c>
      <c r="K41" s="295" t="str">
        <f t="shared" si="5"/>
        <v>-</v>
      </c>
      <c r="L41" s="295" t="str">
        <f t="shared" si="5"/>
        <v>-</v>
      </c>
      <c r="M41" s="295" t="str">
        <f t="shared" si="5"/>
        <v>-</v>
      </c>
      <c r="N41" s="295" t="str">
        <f t="shared" si="5"/>
        <v>-</v>
      </c>
    </row>
    <row r="42" spans="1:14" ht="5.25" customHeight="1" x14ac:dyDescent="0.2"/>
    <row r="43" spans="1:14" x14ac:dyDescent="0.2">
      <c r="A43" s="471" t="s">
        <v>124</v>
      </c>
      <c r="B43" s="471"/>
      <c r="C43" s="471"/>
      <c r="D43" s="471"/>
      <c r="E43" s="471"/>
      <c r="F43" s="471"/>
      <c r="G43" s="471"/>
      <c r="H43" s="471"/>
      <c r="I43" s="471"/>
      <c r="J43" s="471"/>
      <c r="K43" s="471"/>
      <c r="L43" s="471"/>
      <c r="M43" s="471"/>
      <c r="N43" s="471"/>
    </row>
  </sheetData>
  <sheetProtection password="BD8C" sheet="1" objects="1" scenarios="1"/>
  <mergeCells count="4">
    <mergeCell ref="A30:N30"/>
    <mergeCell ref="A1:N1"/>
    <mergeCell ref="A2:N2"/>
    <mergeCell ref="A43:N43"/>
  </mergeCells>
  <pageMargins left="0.51181102362204722" right="0.51181102362204722" top="0.78740157480314965" bottom="0.78740157480314965" header="0.31496062992125984" footer="0.31496062992125984"/>
  <pageSetup paperSize="9" scale="99" orientation="landscape" verticalDpi="300" r:id="rId1"/>
  <headerFooter>
    <oddFooter>&amp;LFQ-07.53 (anexo ao PQ-07.01) - RA - 01 de 27/04/22 – Página 3/4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43"/>
  <sheetViews>
    <sheetView topLeftCell="A18" zoomScaleNormal="100" zoomScaleSheetLayoutView="90" workbookViewId="0">
      <selection activeCell="E25" sqref="E25"/>
    </sheetView>
  </sheetViews>
  <sheetFormatPr defaultRowHeight="12.75" x14ac:dyDescent="0.2"/>
  <cols>
    <col min="1" max="1" width="14.85546875" bestFit="1" customWidth="1"/>
    <col min="2" max="9" width="9.140625" style="290"/>
    <col min="10" max="10" width="10.42578125" style="290" customWidth="1"/>
    <col min="11" max="11" width="9.140625" style="290"/>
    <col min="12" max="12" width="11.85546875" style="290" customWidth="1"/>
    <col min="13" max="13" width="10.5703125" style="290" customWidth="1"/>
    <col min="14" max="14" width="9.140625" style="290"/>
  </cols>
  <sheetData>
    <row r="1" spans="1:14" ht="13.5" thickBot="1" x14ac:dyDescent="0.25">
      <c r="A1" s="467" t="s">
        <v>118</v>
      </c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</row>
    <row r="2" spans="1:14" ht="16.5" customHeight="1" thickBot="1" x14ac:dyDescent="0.25">
      <c r="A2" s="468" t="str">
        <f>'Página 01'!A2:N2</f>
        <v>(ANO)</v>
      </c>
      <c r="B2" s="469"/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70"/>
    </row>
    <row r="3" spans="1:14" ht="7.5" customHeight="1" x14ac:dyDescent="0.2">
      <c r="A3" s="296"/>
      <c r="B3" s="296"/>
      <c r="C3" s="296"/>
      <c r="D3" s="296"/>
      <c r="E3" s="296"/>
      <c r="F3" s="296"/>
      <c r="G3" s="296"/>
      <c r="H3" s="296"/>
      <c r="I3" s="296"/>
      <c r="J3" s="296"/>
      <c r="K3" s="296"/>
      <c r="L3" s="296"/>
      <c r="M3" s="296"/>
      <c r="N3" s="296"/>
    </row>
    <row r="4" spans="1:14" x14ac:dyDescent="0.2">
      <c r="A4" s="287" t="s">
        <v>119</v>
      </c>
      <c r="B4" s="289"/>
      <c r="C4" s="289"/>
      <c r="D4" s="289"/>
      <c r="E4" s="289"/>
    </row>
    <row r="5" spans="1:14" ht="5.25" customHeight="1" x14ac:dyDescent="0.2">
      <c r="A5" s="286"/>
    </row>
    <row r="6" spans="1:14" x14ac:dyDescent="0.2">
      <c r="A6" s="294" t="s">
        <v>92</v>
      </c>
      <c r="B6" s="295" t="s">
        <v>95</v>
      </c>
      <c r="C6" s="295" t="s">
        <v>96</v>
      </c>
      <c r="D6" s="295" t="s">
        <v>97</v>
      </c>
      <c r="E6" s="295" t="s">
        <v>93</v>
      </c>
      <c r="F6" s="295" t="s">
        <v>94</v>
      </c>
      <c r="G6" s="295" t="s">
        <v>98</v>
      </c>
      <c r="H6" s="295" t="s">
        <v>99</v>
      </c>
      <c r="I6" s="295" t="s">
        <v>100</v>
      </c>
      <c r="J6" s="295" t="s">
        <v>101</v>
      </c>
      <c r="K6" s="295" t="s">
        <v>102</v>
      </c>
      <c r="L6" s="295" t="s">
        <v>103</v>
      </c>
      <c r="M6" s="295" t="s">
        <v>104</v>
      </c>
      <c r="N6" s="295" t="s">
        <v>105</v>
      </c>
    </row>
    <row r="7" spans="1:14" x14ac:dyDescent="0.2">
      <c r="A7" s="288" t="s">
        <v>20</v>
      </c>
      <c r="B7" s="291">
        <f>COUNTIFS('Página 01'!G$4:G$468,A7,'Página 01'!Q$4:Q$468,1,'Página 01'!C$4:C$468,"SIC")</f>
        <v>0</v>
      </c>
      <c r="C7" s="291">
        <f>COUNTIFS('Página 01'!G$4:G$468,A7,'Página 01'!Q$4:Q$468,2,'Página 01'!C$4:C$468,"SIC")</f>
        <v>0</v>
      </c>
      <c r="D7" s="291">
        <f>COUNTIFS('Página 01'!G$4:G$468,A7,'Página 01'!Q$4:Q$468,3,'Página 01'!C$4:C$468,"SIC")</f>
        <v>0</v>
      </c>
      <c r="E7" s="291">
        <f>COUNTIFS('Página 01'!G$4:G$468,A7,'Página 01'!Q$4:Q$468,4,'Página 01'!C$4:C$468,"SIC")</f>
        <v>0</v>
      </c>
      <c r="F7" s="291">
        <f>COUNTIFS('Página 01'!G$4:G$468,A7,'Página 01'!Q$4:Q$468,5,'Página 01'!C$4:C$468,"SIC")</f>
        <v>0</v>
      </c>
      <c r="G7" s="291">
        <f>COUNTIFS('Página 01'!G$4:G$468,A7,'Página 01'!Q$4:Q$468,6,'Página 01'!C$4:C$468,"SIC")</f>
        <v>0</v>
      </c>
      <c r="H7" s="291">
        <f>COUNTIFS('Página 01'!G$4:G$468,A7,'Página 01'!Q$4:Q$468,7,'Página 01'!C$4:C$468,"SIC")</f>
        <v>0</v>
      </c>
      <c r="I7" s="291">
        <f>COUNTIFS('Página 01'!G$4:G$468,A7,'Página 01'!Q$4:Q$468,8,'Página 01'!C$4:C$468,"SIC")</f>
        <v>0</v>
      </c>
      <c r="J7" s="291">
        <f>COUNTIFS('Página 01'!G$4:G$468,A7,'Página 01'!Q$4:Q$468,9,'Página 01'!C$4:C$468,"SIC")</f>
        <v>0</v>
      </c>
      <c r="K7" s="291">
        <f>COUNTIFS('Página 01'!G$4:G$468,A7,'Página 01'!Q$4:Q$468,10,'Página 01'!C$4:C$468,"SIC")</f>
        <v>0</v>
      </c>
      <c r="L7" s="291">
        <f>COUNTIFS('Página 01'!G$4:G$468,A7,'Página 01'!Q$4:Q$468,11,'Página 01'!C$4:C$468,"SIC")</f>
        <v>0</v>
      </c>
      <c r="M7" s="291">
        <f>COUNTIFS('Página 01'!G$4:G$468,A7,'Página 01'!Q$4:Q$468,12,'Página 01'!C$4:C$468,"SIC")</f>
        <v>0</v>
      </c>
      <c r="N7" s="291">
        <f>SUM(B7:M7)</f>
        <v>0</v>
      </c>
    </row>
    <row r="8" spans="1:14" x14ac:dyDescent="0.2">
      <c r="A8" s="288" t="s">
        <v>91</v>
      </c>
      <c r="B8" s="291">
        <f>COUNTIFS('Página 01'!G$4:G$468,A8,'Página 01'!Q$4:Q$468,1,'Página 01'!C$4:C$468,"SIC")</f>
        <v>0</v>
      </c>
      <c r="C8" s="291">
        <f>COUNTIFS('Página 01'!G$4:G$468,A8,'Página 01'!Q$4:Q$468,2,'Página 01'!C$4:C$468,"SIC")</f>
        <v>0</v>
      </c>
      <c r="D8" s="291">
        <f>COUNTIFS('Página 01'!G$4:G$468,A8,'Página 01'!Q$4:Q$468,3,'Página 01'!C$4:C$468,"SIC")</f>
        <v>0</v>
      </c>
      <c r="E8" s="291">
        <f>COUNTIFS('Página 01'!G$4:G$468,A8,'Página 01'!Q$4:Q$468,4,'Página 01'!C$4:C$468,"SIC")</f>
        <v>0</v>
      </c>
      <c r="F8" s="291">
        <f>COUNTIFS('Página 01'!G$4:G$468,A8,'Página 01'!Q$4:Q$468,5,'Página 01'!C$4:C$468,"SIC")</f>
        <v>0</v>
      </c>
      <c r="G8" s="291">
        <f>COUNTIFS('Página 01'!G$4:G$468,A8,'Página 01'!Q$4:Q$468,6,'Página 01'!C$4:C$468,"SIC")</f>
        <v>0</v>
      </c>
      <c r="H8" s="291">
        <f>COUNTIFS('Página 01'!G$4:G$468,A8,'Página 01'!Q$4:Q$468,7,'Página 01'!C$4:C$468,"SIC")</f>
        <v>0</v>
      </c>
      <c r="I8" s="291">
        <f>COUNTIFS('Página 01'!G$4:G$468,A8,'Página 01'!Q$4:Q$468,8,'Página 01'!C$4:C$468,"SIC")</f>
        <v>0</v>
      </c>
      <c r="J8" s="291">
        <f>COUNTIFS('Página 01'!G$4:G$468,A8,'Página 01'!Q$4:Q$468,9,'Página 01'!C$4:C$468,"SIC")</f>
        <v>0</v>
      </c>
      <c r="K8" s="291">
        <f>COUNTIFS('Página 01'!G$4:G$468,A8,'Página 01'!Q$4:Q$468,10,'Página 01'!C$4:C$468,"SIC")</f>
        <v>0</v>
      </c>
      <c r="L8" s="291">
        <f>COUNTIFS('Página 01'!G$4:G$468,A8,'Página 01'!Q$4:Q$468,11,'Página 01'!C$4:C$468,"SIC")</f>
        <v>0</v>
      </c>
      <c r="M8" s="291">
        <f>COUNTIFS('Página 01'!G$4:G$468,A8,'Página 01'!Q$4:Q$468,12,'Página 01'!C$4:C$468,"SIC")</f>
        <v>0</v>
      </c>
      <c r="N8" s="291">
        <f t="shared" ref="N8:N14" si="0">SUM(B8:M8)</f>
        <v>0</v>
      </c>
    </row>
    <row r="9" spans="1:14" x14ac:dyDescent="0.2">
      <c r="A9" s="288" t="s">
        <v>77</v>
      </c>
      <c r="B9" s="291">
        <f>COUNTIFS('Página 01'!G$4:G$468,A9,'Página 01'!Q$4:Q$468,1,'Página 01'!C$4:C$468,"SIC")</f>
        <v>0</v>
      </c>
      <c r="C9" s="291">
        <f>COUNTIFS('Página 01'!G$4:G$468,A9,'Página 01'!Q$4:Q$468,2,'Página 01'!C$4:C$468,"SIC")</f>
        <v>0</v>
      </c>
      <c r="D9" s="291">
        <f>COUNTIFS('Página 01'!G$4:G$468,A9,'Página 01'!Q$4:Q$468,3,'Página 01'!C$4:C$468,"SIC")</f>
        <v>0</v>
      </c>
      <c r="E9" s="291">
        <f>COUNTIFS('Página 01'!G$4:G$468,A9,'Página 01'!Q$4:Q$468,4,'Página 01'!C$4:C$468,"SIC")</f>
        <v>0</v>
      </c>
      <c r="F9" s="291">
        <f>COUNTIFS('Página 01'!G$4:G$468,A9,'Página 01'!Q$4:Q$468,5,'Página 01'!C$4:C$468,"SIC")</f>
        <v>0</v>
      </c>
      <c r="G9" s="291">
        <f>COUNTIFS('Página 01'!G$4:G$468,A9,'Página 01'!Q$4:Q$468,6,'Página 01'!C$4:C$468,"SIC")</f>
        <v>0</v>
      </c>
      <c r="H9" s="291">
        <f>COUNTIFS('Página 01'!G$4:G$468,A9,'Página 01'!Q$4:Q$468,7,'Página 01'!C$4:C$468,"SIC")</f>
        <v>0</v>
      </c>
      <c r="I9" s="291">
        <f>COUNTIFS('Página 01'!G$4:G$468,A9,'Página 01'!Q$4:Q$468,8,'Página 01'!C$4:C$468,"SIC")</f>
        <v>0</v>
      </c>
      <c r="J9" s="291">
        <f>COUNTIFS('Página 01'!G$4:G$468,A9,'Página 01'!Q$4:Q$468,9,'Página 01'!C$4:C$468,"SIC")</f>
        <v>0</v>
      </c>
      <c r="K9" s="291">
        <f>COUNTIFS('Página 01'!G$4:G$468,A9,'Página 01'!Q$4:Q$468,10,'Página 01'!C$4:C$468,"SIC")</f>
        <v>0</v>
      </c>
      <c r="L9" s="291">
        <f>COUNTIFS('Página 01'!G$4:G$468,A9,'Página 01'!Q$4:Q$468,11,'Página 01'!C$4:C$468,"SIC")</f>
        <v>0</v>
      </c>
      <c r="M9" s="291">
        <f>COUNTIFS('Página 01'!G$4:G$468,A9,'Página 01'!Q$4:Q$468,12,'Página 01'!C$4:C$468,"SIC")</f>
        <v>0</v>
      </c>
      <c r="N9" s="291">
        <f t="shared" si="0"/>
        <v>0</v>
      </c>
    </row>
    <row r="10" spans="1:14" hidden="1" x14ac:dyDescent="0.2">
      <c r="A10" s="288" t="s">
        <v>78</v>
      </c>
      <c r="B10" s="291">
        <f>COUNTIFS('Página 01'!G$4:G$468,A10,'Página 01'!Q$4:Q$468,1,'Página 01'!C$4:C$468,"SIC")</f>
        <v>0</v>
      </c>
      <c r="C10" s="291">
        <f>COUNTIFS('Página 01'!G$4:G$468,A10,'Página 01'!Q$4:Q$468,2,'Página 01'!C$4:C$468,"SIC")</f>
        <v>0</v>
      </c>
      <c r="D10" s="291">
        <f>COUNTIFS('Página 01'!G$4:G$468,A10,'Página 01'!Q$4:Q$468,3,'Página 01'!C$4:C$468,"SIC")</f>
        <v>0</v>
      </c>
      <c r="E10" s="291">
        <f>COUNTIFS('Página 01'!G$4:G$468,A10,'Página 01'!Q$4:Q$468,4,'Página 01'!C$4:C$468,"SIC")</f>
        <v>0</v>
      </c>
      <c r="F10" s="291">
        <f>COUNTIFS('Página 01'!G$4:G$468,A10,'Página 01'!Q$4:Q$468,5,'Página 01'!C$4:C$468,"SIC")</f>
        <v>0</v>
      </c>
      <c r="G10" s="291">
        <f>COUNTIFS('Página 01'!G$4:G$468,A10,'Página 01'!Q$4:Q$468,6,'Página 01'!C$4:C$468,"SIC")</f>
        <v>0</v>
      </c>
      <c r="H10" s="291">
        <f>COUNTIFS('Página 01'!G$4:G$468,A10,'Página 01'!Q$4:Q$468,7,'Página 01'!C$4:C$468,"SIC")</f>
        <v>0</v>
      </c>
      <c r="I10" s="291">
        <f>COUNTIFS('Página 01'!G$4:G$468,A10,'Página 01'!Q$4:Q$468,8,'Página 01'!C$4:C$468,"SIC")</f>
        <v>0</v>
      </c>
      <c r="J10" s="291">
        <f>COUNTIFS('Página 01'!G$4:G$468,A10,'Página 01'!Q$4:Q$468,9,'Página 01'!C$4:C$468,"SIC")</f>
        <v>0</v>
      </c>
      <c r="K10" s="291">
        <f>COUNTIFS('Página 01'!G$4:G$468,A10,'Página 01'!Q$4:Q$468,10,'Página 01'!C$4:C$468,"SIC")</f>
        <v>0</v>
      </c>
      <c r="L10" s="291">
        <f>COUNTIFS('Página 01'!G$4:G$468,A10,'Página 01'!Q$4:Q$468,11,'Página 01'!C$4:C$468,"SIC")</f>
        <v>0</v>
      </c>
      <c r="M10" s="291">
        <f>COUNTIFS('Página 01'!G$4:G$468,A10,'Página 01'!Q$4:Q$468,12,'Página 01'!C$4:C$468,"SIC")</f>
        <v>0</v>
      </c>
      <c r="N10" s="291">
        <f t="shared" si="0"/>
        <v>0</v>
      </c>
    </row>
    <row r="11" spans="1:14" x14ac:dyDescent="0.2">
      <c r="A11" s="288" t="s">
        <v>22</v>
      </c>
      <c r="B11" s="291">
        <f>COUNTIFS('Página 01'!G$4:G$468,A11,'Página 01'!Q$4:Q$468,1,'Página 01'!C$4:C$468,"SIC")</f>
        <v>0</v>
      </c>
      <c r="C11" s="291">
        <f>COUNTIFS('Página 01'!G$4:G$468,A11,'Página 01'!Q$4:Q$468,2,'Página 01'!C$4:C$468,"SIC")</f>
        <v>0</v>
      </c>
      <c r="D11" s="291">
        <f>COUNTIFS('Página 01'!G$4:G$468,A11,'Página 01'!Q$4:Q$468,3,'Página 01'!C$4:C$468,"SIC")</f>
        <v>0</v>
      </c>
      <c r="E11" s="291">
        <f>COUNTIFS('Página 01'!G$4:G$468,A11,'Página 01'!Q$4:Q$468,4,'Página 01'!C$4:C$468,"SIC")</f>
        <v>0</v>
      </c>
      <c r="F11" s="291">
        <f>COUNTIFS('Página 01'!G$4:G$468,A11,'Página 01'!Q$4:Q$468,5,'Página 01'!C$4:C$468,"SIC")</f>
        <v>0</v>
      </c>
      <c r="G11" s="291">
        <f>COUNTIFS('Página 01'!G$4:G$468,A11,'Página 01'!Q$4:Q$468,6,'Página 01'!C$4:C$468,"SIC")</f>
        <v>0</v>
      </c>
      <c r="H11" s="291">
        <f>COUNTIFS('Página 01'!G$4:G$468,A11,'Página 01'!Q$4:Q$468,7,'Página 01'!C$4:C$468,"SIC")</f>
        <v>0</v>
      </c>
      <c r="I11" s="291">
        <f>COUNTIFS('Página 01'!G$4:G$468,A11,'Página 01'!Q$4:Q$468,8,'Página 01'!C$4:C$468,"SIC")</f>
        <v>0</v>
      </c>
      <c r="J11" s="291">
        <f>COUNTIFS('Página 01'!G$4:G$468,A11,'Página 01'!Q$4:Q$468,9,'Página 01'!C$4:C$468,"SIC")</f>
        <v>0</v>
      </c>
      <c r="K11" s="291">
        <f>COUNTIFS('Página 01'!G$4:G$468,A11,'Página 01'!Q$4:Q$468,10,'Página 01'!C$4:C$468,"SIC")</f>
        <v>0</v>
      </c>
      <c r="L11" s="291">
        <f>COUNTIFS('Página 01'!G$4:G$468,A11,'Página 01'!Q$4:Q$468,11,'Página 01'!C$4:C$468,"SIC")</f>
        <v>0</v>
      </c>
      <c r="M11" s="291">
        <f>COUNTIFS('Página 01'!G$4:G$468,A11,'Página 01'!Q$4:Q$468,12,'Página 01'!C$4:C$468,"SIC")</f>
        <v>0</v>
      </c>
      <c r="N11" s="291">
        <f t="shared" si="0"/>
        <v>0</v>
      </c>
    </row>
    <row r="12" spans="1:14" x14ac:dyDescent="0.2">
      <c r="A12" s="288" t="s">
        <v>48</v>
      </c>
      <c r="B12" s="291">
        <f>COUNTIFS('Página 01'!G$4:G$468,A12,'Página 01'!Q$4:Q$468,1,'Página 01'!C$4:C$468,"SIC")</f>
        <v>0</v>
      </c>
      <c r="C12" s="291">
        <f>COUNTIFS('Página 01'!G$4:G$468,A12,'Página 01'!Q$4:Q$468,2,'Página 01'!C$4:C$468,"SIC")</f>
        <v>0</v>
      </c>
      <c r="D12" s="291">
        <f>COUNTIFS('Página 01'!G$4:G$468,A12,'Página 01'!Q$4:Q$468,3,'Página 01'!C$4:C$468,"SIC")</f>
        <v>0</v>
      </c>
      <c r="E12" s="291">
        <f>COUNTIFS('Página 01'!G$4:G$468,A12,'Página 01'!Q$4:Q$468,4,'Página 01'!C$4:C$468,"SIC")</f>
        <v>0</v>
      </c>
      <c r="F12" s="291">
        <f>COUNTIFS('Página 01'!G$4:G$468,A12,'Página 01'!Q$4:Q$468,5,'Página 01'!C$4:C$468,"SIC")</f>
        <v>0</v>
      </c>
      <c r="G12" s="291">
        <f>COUNTIFS('Página 01'!G$4:G$468,A12,'Página 01'!Q$4:Q$468,6,'Página 01'!C$4:C$468,"SIC")</f>
        <v>0</v>
      </c>
      <c r="H12" s="291">
        <f>COUNTIFS('Página 01'!G$4:G$468,A12,'Página 01'!Q$4:Q$468,7,'Página 01'!C$4:C$468,"SIC")</f>
        <v>0</v>
      </c>
      <c r="I12" s="291">
        <f>COUNTIFS('Página 01'!G$4:G$468,A12,'Página 01'!Q$4:Q$468,8,'Página 01'!C$4:C$468,"SIC")</f>
        <v>0</v>
      </c>
      <c r="J12" s="291">
        <f>COUNTIFS('Página 01'!G$4:G$468,A12,'Página 01'!Q$4:Q$468,9,'Página 01'!C$4:C$468,"SIC")</f>
        <v>0</v>
      </c>
      <c r="K12" s="291">
        <f>COUNTIFS('Página 01'!G$4:G$468,A12,'Página 01'!Q$4:Q$468,10,'Página 01'!C$4:C$468,"SIC")</f>
        <v>0</v>
      </c>
      <c r="L12" s="291">
        <f>COUNTIFS('Página 01'!G$4:G$468,A12,'Página 01'!Q$4:Q$468,11,'Página 01'!C$4:C$468,"SIC")</f>
        <v>0</v>
      </c>
      <c r="M12" s="291">
        <f>COUNTIFS('Página 01'!G$4:G$468,A12,'Página 01'!Q$4:Q$468,12,'Página 01'!C$4:C$468,"SIC")</f>
        <v>0</v>
      </c>
      <c r="N12" s="291">
        <f t="shared" si="0"/>
        <v>0</v>
      </c>
    </row>
    <row r="13" spans="1:14" x14ac:dyDescent="0.2">
      <c r="A13" s="288" t="s">
        <v>76</v>
      </c>
      <c r="B13" s="291">
        <f>COUNTIFS('Página 01'!G$4:G$468,A13,'Página 01'!Q$4:Q$468,1,'Página 01'!C$4:C$468,"SIC")</f>
        <v>0</v>
      </c>
      <c r="C13" s="291">
        <f>COUNTIFS('Página 01'!G$4:G$468,A13,'Página 01'!Q$4:Q$468,2,'Página 01'!C$4:C$468,"SIC")</f>
        <v>0</v>
      </c>
      <c r="D13" s="291">
        <f>COUNTIFS('Página 01'!G$4:G$468,A13,'Página 01'!Q$4:Q$468,3,'Página 01'!C$4:C$468,"SIC")</f>
        <v>0</v>
      </c>
      <c r="E13" s="291">
        <f>COUNTIFS('Página 01'!G$4:G$468,A13,'Página 01'!Q$4:Q$468,4,'Página 01'!C$4:C$468,"SIC")</f>
        <v>0</v>
      </c>
      <c r="F13" s="291">
        <f>COUNTIFS('Página 01'!G$4:G$468,A13,'Página 01'!Q$4:Q$468,5,'Página 01'!C$4:C$468,"SIC")</f>
        <v>0</v>
      </c>
      <c r="G13" s="291">
        <f>COUNTIFS('Página 01'!G$4:G$468,A13,'Página 01'!Q$4:Q$468,6,'Página 01'!C$4:C$468,"SIC")</f>
        <v>0</v>
      </c>
      <c r="H13" s="291">
        <f>COUNTIFS('Página 01'!G$4:G$468,A13,'Página 01'!Q$4:Q$468,7,'Página 01'!C$4:C$468,"SIC")</f>
        <v>0</v>
      </c>
      <c r="I13" s="291">
        <f>COUNTIFS('Página 01'!G$4:G$468,A13,'Página 01'!Q$4:Q$468,8,'Página 01'!C$4:C$468,"SIC")</f>
        <v>0</v>
      </c>
      <c r="J13" s="291">
        <f>COUNTIFS('Página 01'!G$4:G$468,A13,'Página 01'!Q$4:Q$468,9,'Página 01'!C$4:C$468,"SIC")</f>
        <v>0</v>
      </c>
      <c r="K13" s="291">
        <f>COUNTIFS('Página 01'!G$4:G$468,A13,'Página 01'!Q$4:Q$468,10,'Página 01'!C$4:C$468,"SIC")</f>
        <v>0</v>
      </c>
      <c r="L13" s="291">
        <f>COUNTIFS('Página 01'!G$4:G$468,A13,'Página 01'!Q$4:Q$468,11,'Página 01'!C$4:C$468,"SIC")</f>
        <v>0</v>
      </c>
      <c r="M13" s="291">
        <f>COUNTIFS('Página 01'!G$4:G$468,A13,'Página 01'!Q$4:Q$468,12,'Página 01'!C$4:C$468,"SIC")</f>
        <v>0</v>
      </c>
      <c r="N13" s="291">
        <f t="shared" si="0"/>
        <v>0</v>
      </c>
    </row>
    <row r="14" spans="1:14" x14ac:dyDescent="0.2">
      <c r="A14" s="288" t="s">
        <v>75</v>
      </c>
      <c r="B14" s="291">
        <f>COUNTIFS('Página 01'!G$4:G$468,A14,'Página 01'!Q$4:Q$468,1,'Página 01'!C$4:C$468,"SIC")</f>
        <v>0</v>
      </c>
      <c r="C14" s="291">
        <f>COUNTIFS('Página 01'!G$4:G$468,A14,'Página 01'!Q$4:Q$468,2,'Página 01'!C$4:C$468,"SIC")</f>
        <v>0</v>
      </c>
      <c r="D14" s="291">
        <f>COUNTIFS('Página 01'!G$4:G$468,A14,'Página 01'!Q$4:Q$468,3,'Página 01'!C$4:C$468,"SIC")</f>
        <v>0</v>
      </c>
      <c r="E14" s="291">
        <f>COUNTIFS('Página 01'!G$4:G$468,A14,'Página 01'!Q$4:Q$468,4,'Página 01'!C$4:C$468,"SIC")</f>
        <v>0</v>
      </c>
      <c r="F14" s="291">
        <f>COUNTIFS('Página 01'!G$4:G$468,A14,'Página 01'!Q$4:Q$468,5,'Página 01'!C$4:C$468,"SIC")</f>
        <v>0</v>
      </c>
      <c r="G14" s="291">
        <f>COUNTIFS('Página 01'!G$4:G$468,A14,'Página 01'!Q$4:Q$468,6,'Página 01'!C$4:C$468,"SIC")</f>
        <v>0</v>
      </c>
      <c r="H14" s="291">
        <f>COUNTIFS('Página 01'!G$4:G$468,A14,'Página 01'!Q$4:Q$468,7,'Página 01'!C$4:C$468,"SIC")</f>
        <v>0</v>
      </c>
      <c r="I14" s="291">
        <f>COUNTIFS('Página 01'!G$4:G$468,A14,'Página 01'!Q$4:Q$468,8,'Página 01'!C$4:C$468,"SIC")</f>
        <v>0</v>
      </c>
      <c r="J14" s="291">
        <f>COUNTIFS('Página 01'!G$4:G$468,A14,'Página 01'!Q$4:Q$468,9,'Página 01'!C$4:C$468,"SIC")</f>
        <v>0</v>
      </c>
      <c r="K14" s="291">
        <f>COUNTIFS('Página 01'!G$4:G$468,A14,'Página 01'!Q$4:Q$468,10,'Página 01'!C$4:C$468,"SIC")</f>
        <v>0</v>
      </c>
      <c r="L14" s="291">
        <f>COUNTIFS('Página 01'!G$4:G$468,A14,'Página 01'!Q$4:Q$468,11,'Página 01'!C$4:C$468,"SIC")</f>
        <v>0</v>
      </c>
      <c r="M14" s="291">
        <f>COUNTIFS('Página 01'!G$4:G$468,A14,'Página 01'!Q$4:Q$468,12,'Página 01'!C$4:C$468,"SIC")</f>
        <v>0</v>
      </c>
      <c r="N14" s="291">
        <f t="shared" si="0"/>
        <v>0</v>
      </c>
    </row>
    <row r="15" spans="1:14" x14ac:dyDescent="0.2">
      <c r="A15" s="294" t="s">
        <v>79</v>
      </c>
      <c r="B15" s="295">
        <f>SUM(B7:B14)</f>
        <v>0</v>
      </c>
      <c r="C15" s="295">
        <f t="shared" ref="C15:N15" si="1">SUM(C7:C14)</f>
        <v>0</v>
      </c>
      <c r="D15" s="295">
        <f t="shared" si="1"/>
        <v>0</v>
      </c>
      <c r="E15" s="295">
        <f t="shared" si="1"/>
        <v>0</v>
      </c>
      <c r="F15" s="295">
        <f t="shared" si="1"/>
        <v>0</v>
      </c>
      <c r="G15" s="295">
        <f t="shared" si="1"/>
        <v>0</v>
      </c>
      <c r="H15" s="295">
        <f t="shared" si="1"/>
        <v>0</v>
      </c>
      <c r="I15" s="295">
        <f t="shared" si="1"/>
        <v>0</v>
      </c>
      <c r="J15" s="295">
        <f t="shared" si="1"/>
        <v>0</v>
      </c>
      <c r="K15" s="295">
        <f t="shared" si="1"/>
        <v>0</v>
      </c>
      <c r="L15" s="295">
        <f t="shared" si="1"/>
        <v>0</v>
      </c>
      <c r="M15" s="295">
        <f t="shared" si="1"/>
        <v>0</v>
      </c>
      <c r="N15" s="295">
        <f t="shared" si="1"/>
        <v>0</v>
      </c>
    </row>
    <row r="16" spans="1:14" ht="6.75" customHeight="1" x14ac:dyDescent="0.2"/>
    <row r="17" spans="1:14" x14ac:dyDescent="0.2">
      <c r="A17" s="287" t="s">
        <v>120</v>
      </c>
      <c r="B17" s="289"/>
      <c r="C17" s="289"/>
      <c r="D17" s="289"/>
      <c r="E17" s="289"/>
    </row>
    <row r="18" spans="1:14" ht="4.5" customHeight="1" x14ac:dyDescent="0.2"/>
    <row r="19" spans="1:14" x14ac:dyDescent="0.2">
      <c r="A19" s="294" t="s">
        <v>92</v>
      </c>
      <c r="B19" s="295" t="s">
        <v>95</v>
      </c>
      <c r="C19" s="295" t="s">
        <v>96</v>
      </c>
      <c r="D19" s="295" t="s">
        <v>97</v>
      </c>
      <c r="E19" s="295" t="s">
        <v>93</v>
      </c>
      <c r="F19" s="295" t="s">
        <v>94</v>
      </c>
      <c r="G19" s="295" t="s">
        <v>98</v>
      </c>
      <c r="H19" s="295" t="s">
        <v>99</v>
      </c>
      <c r="I19" s="295" t="s">
        <v>100</v>
      </c>
      <c r="J19" s="295" t="s">
        <v>101</v>
      </c>
      <c r="K19" s="295" t="s">
        <v>102</v>
      </c>
      <c r="L19" s="295" t="s">
        <v>103</v>
      </c>
      <c r="M19" s="295" t="s">
        <v>104</v>
      </c>
      <c r="N19" s="295" t="s">
        <v>105</v>
      </c>
    </row>
    <row r="20" spans="1:14" x14ac:dyDescent="0.2">
      <c r="A20" s="288" t="s">
        <v>20</v>
      </c>
      <c r="B20" s="291">
        <f>COUNTIFS('Página 01'!G$4:G$468,'Página 04_SIC'!A20,'Página 01'!L$4:L$468,"Concluído",'Página 01'!N$4:N$468,"Dentro do prazo",'Página 01'!P$4:P$468,1,'Página 01'!C$4:C$468,"SIC")</f>
        <v>0</v>
      </c>
      <c r="C20" s="291">
        <f>COUNTIFS('Página 01'!G$4:G$468,'Página 04_SIC'!A20,'Página 01'!L$4:L$468,"Concluído",'Página 01'!N$4:N$468,"Dentro do prazo",'Página 01'!P$4:P$468,2,'Página 01'!C$4:C$468,"SIC")</f>
        <v>0</v>
      </c>
      <c r="D20" s="291">
        <f>COUNTIFS('Página 01'!G$4:G$468,'Página 04_SIC'!A20,'Página 01'!L$4:L$468,"Concluído",'Página 01'!N$4:N$468,"Dentro do prazo",'Página 01'!P$4:P$468,3,'Página 01'!C$4:C$468,"SIC")</f>
        <v>0</v>
      </c>
      <c r="E20" s="291">
        <f>COUNTIFS('Página 01'!G$4:G$468,'Página 04_SIC'!A20,'Página 01'!L$4:L$468,"Concluído",'Página 01'!N$4:N$468,"Dentro do prazo",'Página 01'!P$4:P$468,4,'Página 01'!C$4:C$468,"SIC")</f>
        <v>0</v>
      </c>
      <c r="F20" s="291">
        <f>COUNTIFS('Página 01'!G$4:G$468,'Página 04_SIC'!A20,'Página 01'!L$4:L$468,"Concluído",'Página 01'!N$4:N$468,"Dentro do prazo",'Página 01'!P$4:P$468,5,'Página 01'!C$4:C$468,"SIC")</f>
        <v>0</v>
      </c>
      <c r="G20" s="291">
        <f>COUNTIFS('Página 01'!G$4:G$468,'Página 04_SIC'!A20,'Página 01'!L$4:L$468,"Concluído",'Página 01'!N$4:N$468,"Dentro do prazo",'Página 01'!P$4:P$468,6,'Página 01'!C$4:C$468,"SIC")</f>
        <v>0</v>
      </c>
      <c r="H20" s="291">
        <f>COUNTIFS('Página 01'!G$4:G$468,'Página 04_SIC'!A20,'Página 01'!L$4:L$468,"Concluído",'Página 01'!N$4:N$468,"Dentro do prazo",'Página 01'!P$4:P$468,7,'Página 01'!C$4:C$468,"SIC")</f>
        <v>0</v>
      </c>
      <c r="I20" s="291">
        <f>COUNTIFS('Página 01'!G$4:G$468,'Página 04_SIC'!A20,'Página 01'!L$4:L$468,"Concluído",'Página 01'!N$4:N$468,"Dentro do prazo",'Página 01'!P$4:P$468,8,'Página 01'!C$4:C$468,"SIC")</f>
        <v>0</v>
      </c>
      <c r="J20" s="291">
        <f>COUNTIFS('Página 01'!G$4:G$468,'Página 04_SIC'!A20,'Página 01'!L$4:L$468,"Concluído",'Página 01'!N$4:N$468,"Dentro do prazo",'Página 01'!P$4:P$468,9,'Página 01'!C$4:C$468,"SIC")</f>
        <v>0</v>
      </c>
      <c r="K20" s="291">
        <f>COUNTIFS('Página 01'!G$4:G$468,'Página 04_SIC'!A20,'Página 01'!L$4:L$468,"Concluído",'Página 01'!N$4:N$468,"Dentro do prazo",'Página 01'!P$4:P$468,10,'Página 01'!C$4:C$468,"SIC")</f>
        <v>0</v>
      </c>
      <c r="L20" s="291">
        <f>COUNTIFS('Página 01'!G$4:G$468,'Página 04_SIC'!A20,'Página 01'!L$4:L$468,"Concluído",'Página 01'!N$4:N$468,"Dentro do prazo",'Página 01'!P$4:P$468,11,'Página 01'!C$4:C$468,"SIC")</f>
        <v>0</v>
      </c>
      <c r="M20" s="291">
        <f>COUNTIFS('Página 01'!G$4:G$468,'Página 04_SIC'!A20,'Página 01'!L$4:L$468,"Concluído",'Página 01'!N$4:N$468,"Dentro do prazo",'Página 01'!P$4:P$468,12,'Página 01'!C$4:C$468,"SIC")</f>
        <v>0</v>
      </c>
      <c r="N20" s="291">
        <f>SUM(B20:M20)</f>
        <v>0</v>
      </c>
    </row>
    <row r="21" spans="1:14" x14ac:dyDescent="0.2">
      <c r="A21" s="288" t="s">
        <v>91</v>
      </c>
      <c r="B21" s="291">
        <f>COUNTIFS('Página 01'!G$4:G$468,'Página 04_SIC'!A21,'Página 01'!L$4:L$468,"Concluído",'Página 01'!N$4:N$468,"Dentro do prazo",'Página 01'!P$4:P$468,1,'Página 01'!C$4:C$468,"SIC")</f>
        <v>0</v>
      </c>
      <c r="C21" s="291">
        <f>COUNTIFS('Página 01'!G$4:G$468,'Página 04_SIC'!A21,'Página 01'!L$4:L$468,"Concluído",'Página 01'!N$4:N$468,"Dentro do prazo",'Página 01'!P$4:P$468,2,'Página 01'!C$4:C$468,"SIC")</f>
        <v>0</v>
      </c>
      <c r="D21" s="291">
        <f>COUNTIFS('Página 01'!G$4:G$468,'Página 04_SIC'!A21,'Página 01'!L$4:L$468,"Concluído",'Página 01'!N$4:N$468,"Dentro do prazo",'Página 01'!P$4:P$468,3,'Página 01'!C$4:C$468,"SIC")</f>
        <v>0</v>
      </c>
      <c r="E21" s="291">
        <f>COUNTIFS('Página 01'!G$4:G$468,'Página 04_SIC'!A21,'Página 01'!L$4:L$468,"Concluído",'Página 01'!N$4:N$468,"Dentro do prazo",'Página 01'!P$4:P$468,4,'Página 01'!C$4:C$468,"SIC")</f>
        <v>0</v>
      </c>
      <c r="F21" s="291">
        <f>COUNTIFS('Página 01'!G$4:G$468,'Página 04_SIC'!A21,'Página 01'!L$4:L$468,"Concluído",'Página 01'!N$4:N$468,"Dentro do prazo",'Página 01'!P$4:P$468,5,'Página 01'!C$4:C$468,"SIC")</f>
        <v>0</v>
      </c>
      <c r="G21" s="291">
        <f>COUNTIFS('Página 01'!G$4:G$468,'Página 04_SIC'!A21,'Página 01'!L$4:L$468,"Concluído",'Página 01'!N$4:N$468,"Dentro do prazo",'Página 01'!P$4:P$468,6,'Página 01'!C$4:C$468,"SIC")</f>
        <v>0</v>
      </c>
      <c r="H21" s="291">
        <f>COUNTIFS('Página 01'!G$4:G$468,'Página 04_SIC'!A21,'Página 01'!L$4:L$468,"Concluído",'Página 01'!N$4:N$468,"Dentro do prazo",'Página 01'!P$4:P$468,7,'Página 01'!C$4:C$468,"SIC")</f>
        <v>0</v>
      </c>
      <c r="I21" s="291">
        <f>COUNTIFS('Página 01'!G$4:G$468,'Página 04_SIC'!A21,'Página 01'!L$4:L$468,"Concluído",'Página 01'!N$4:N$468,"Dentro do prazo",'Página 01'!P$4:P$468,8,'Página 01'!C$4:C$468,"SIC")</f>
        <v>0</v>
      </c>
      <c r="J21" s="291">
        <f>COUNTIFS('Página 01'!G$4:G$468,'Página 04_SIC'!A21,'Página 01'!L$4:L$468,"Concluído",'Página 01'!N$4:N$468,"Dentro do prazo",'Página 01'!P$4:P$468,9,'Página 01'!C$4:C$468,"SIC")</f>
        <v>0</v>
      </c>
      <c r="K21" s="291">
        <f>COUNTIFS('Página 01'!G$4:G$468,'Página 04_SIC'!A21,'Página 01'!L$4:L$468,"Concluído",'Página 01'!N$4:N$468,"Dentro do prazo",'Página 01'!P$4:P$468,10,'Página 01'!C$4:C$468,"SIC")</f>
        <v>0</v>
      </c>
      <c r="L21" s="291">
        <f>COUNTIFS('Página 01'!G$4:G$468,'Página 04_SIC'!A21,'Página 01'!L$4:L$468,"Concluído",'Página 01'!N$4:N$468,"Dentro do prazo",'Página 01'!P$4:P$468,11,'Página 01'!C$4:C$468,"SIC")</f>
        <v>0</v>
      </c>
      <c r="M21" s="291">
        <f>COUNTIFS('Página 01'!G$4:G$468,'Página 04_SIC'!A21,'Página 01'!L$4:L$468,"Concluído",'Página 01'!N$4:N$468,"Dentro do prazo",'Página 01'!P$4:P$468,12,'Página 01'!C$4:C$468,"SIC")</f>
        <v>0</v>
      </c>
      <c r="N21" s="291">
        <f t="shared" ref="N21:N27" si="2">SUM(B21:M21)</f>
        <v>0</v>
      </c>
    </row>
    <row r="22" spans="1:14" x14ac:dyDescent="0.2">
      <c r="A22" s="288" t="s">
        <v>77</v>
      </c>
      <c r="B22" s="291">
        <f>COUNTIFS('Página 01'!G$4:G$468,'Página 04_SIC'!A22,'Página 01'!L$4:L$468,"Concluído",'Página 01'!N$4:N$468,"Dentro do prazo",'Página 01'!P$4:P$468,1,'Página 01'!C$4:C$468,"SIC")</f>
        <v>0</v>
      </c>
      <c r="C22" s="291">
        <f>COUNTIFS('Página 01'!G$4:G$468,'Página 04_SIC'!A22,'Página 01'!L$4:L$468,"Concluído",'Página 01'!N$4:N$468,"Dentro do prazo",'Página 01'!P$4:P$468,2,'Página 01'!C$4:C$468,"SIC")</f>
        <v>0</v>
      </c>
      <c r="D22" s="291">
        <f>COUNTIFS('Página 01'!G$4:G$468,'Página 04_SIC'!A22,'Página 01'!L$4:L$468,"Concluído",'Página 01'!N$4:N$468,"Dentro do prazo",'Página 01'!P$4:P$468,3,'Página 01'!C$4:C$468,"SIC")</f>
        <v>0</v>
      </c>
      <c r="E22" s="291">
        <f>COUNTIFS('Página 01'!G$4:G$468,'Página 04_SIC'!A22,'Página 01'!L$4:L$468,"Concluído",'Página 01'!N$4:N$468,"Dentro do prazo",'Página 01'!P$4:P$468,4,'Página 01'!C$4:C$468,"SIC")</f>
        <v>0</v>
      </c>
      <c r="F22" s="291">
        <f>COUNTIFS('Página 01'!G$4:G$468,'Página 04_SIC'!A22,'Página 01'!L$4:L$468,"Concluído",'Página 01'!N$4:N$468,"Dentro do prazo",'Página 01'!P$4:P$468,5,'Página 01'!C$4:C$468,"SIC")</f>
        <v>0</v>
      </c>
      <c r="G22" s="291">
        <f>COUNTIFS('Página 01'!G$4:G$468,'Página 04_SIC'!A22,'Página 01'!L$4:L$468,"Concluído",'Página 01'!N$4:N$468,"Dentro do prazo",'Página 01'!P$4:P$468,6,'Página 01'!C$4:C$468,"SIC")</f>
        <v>0</v>
      </c>
      <c r="H22" s="291">
        <f>COUNTIFS('Página 01'!G$4:G$468,'Página 04_SIC'!A22,'Página 01'!L$4:L$468,"Concluído",'Página 01'!N$4:N$468,"Dentro do prazo",'Página 01'!P$4:P$468,7,'Página 01'!C$4:C$468,"SIC")</f>
        <v>0</v>
      </c>
      <c r="I22" s="291">
        <f>COUNTIFS('Página 01'!G$4:G$468,'Página 04_SIC'!A22,'Página 01'!L$4:L$468,"Concluído",'Página 01'!N$4:N$468,"Dentro do prazo",'Página 01'!P$4:P$468,8,'Página 01'!C$4:C$468,"SIC")</f>
        <v>0</v>
      </c>
      <c r="J22" s="291">
        <f>COUNTIFS('Página 01'!G$4:G$468,'Página 04_SIC'!A22,'Página 01'!L$4:L$468,"Concluído",'Página 01'!N$4:N$468,"Dentro do prazo",'Página 01'!P$4:P$468,9,'Página 01'!C$4:C$468,"SIC")</f>
        <v>0</v>
      </c>
      <c r="K22" s="291">
        <f>COUNTIFS('Página 01'!G$4:G$468,'Página 04_SIC'!A22,'Página 01'!L$4:L$468,"Concluído",'Página 01'!N$4:N$468,"Dentro do prazo",'Página 01'!P$4:P$468,10,'Página 01'!C$4:C$468,"SIC")</f>
        <v>0</v>
      </c>
      <c r="L22" s="291">
        <f>COUNTIFS('Página 01'!G$4:G$468,'Página 04_SIC'!A22,'Página 01'!L$4:L$468,"Concluído",'Página 01'!N$4:N$468,"Dentro do prazo",'Página 01'!P$4:P$468,11,'Página 01'!C$4:C$468,"SIC")</f>
        <v>0</v>
      </c>
      <c r="M22" s="291">
        <f>COUNTIFS('Página 01'!G$4:G$468,'Página 04_SIC'!A22,'Página 01'!L$4:L$468,"Concluído",'Página 01'!N$4:N$468,"Dentro do prazo",'Página 01'!P$4:P$468,12,'Página 01'!C$4:C$468,"SIC")</f>
        <v>0</v>
      </c>
      <c r="N22" s="291">
        <f t="shared" si="2"/>
        <v>0</v>
      </c>
    </row>
    <row r="23" spans="1:14" hidden="1" x14ac:dyDescent="0.2">
      <c r="A23" s="288" t="s">
        <v>78</v>
      </c>
      <c r="B23" s="291">
        <f>COUNTIFS('Página 01'!G$4:G$468,'Página 04_SIC'!A23,'Página 01'!L$4:L$468,"Concluído",'Página 01'!N$4:N$468,"Dentro do prazo",'Página 01'!P$4:P$468,1,'Página 01'!C$4:C$468,"SIC")</f>
        <v>0</v>
      </c>
      <c r="C23" s="291">
        <f>COUNTIFS('Página 01'!G$4:G$468,'Página 04_SIC'!A23,'Página 01'!L$4:L$468,"Concluído",'Página 01'!N$4:N$468,"Dentro do prazo",'Página 01'!P$4:P$468,2,'Página 01'!C$4:C$468,"SIC")</f>
        <v>0</v>
      </c>
      <c r="D23" s="291">
        <f>COUNTIFS('Página 01'!G$4:G$468,'Página 04_SIC'!A23,'Página 01'!L$4:L$468,"Concluído",'Página 01'!N$4:N$468,"Dentro do prazo",'Página 01'!P$4:P$468,3,'Página 01'!C$4:C$468,"SIC")</f>
        <v>0</v>
      </c>
      <c r="E23" s="291">
        <f>COUNTIFS('Página 01'!G$4:G$468,'Página 04_SIC'!A23,'Página 01'!L$4:L$468,"Concluído",'Página 01'!N$4:N$468,"Dentro do prazo",'Página 01'!P$4:P$468,4,'Página 01'!C$4:C$468,"SIC")</f>
        <v>0</v>
      </c>
      <c r="F23" s="291">
        <f>COUNTIFS('Página 01'!G$4:G$468,'Página 04_SIC'!A23,'Página 01'!L$4:L$468,"Concluído",'Página 01'!N$4:N$468,"Dentro do prazo",'Página 01'!P$4:P$468,5,'Página 01'!C$4:C$468,"SIC")</f>
        <v>0</v>
      </c>
      <c r="G23" s="291">
        <f>COUNTIFS('Página 01'!G$4:G$468,'Página 04_SIC'!A23,'Página 01'!L$4:L$468,"Concluído",'Página 01'!N$4:N$468,"Dentro do prazo",'Página 01'!P$4:P$468,6,'Página 01'!C$4:C$468,"SIC")</f>
        <v>0</v>
      </c>
      <c r="H23" s="291">
        <f>COUNTIFS('Página 01'!G$4:G$468,'Página 04_SIC'!A23,'Página 01'!L$4:L$468,"Concluído",'Página 01'!N$4:N$468,"Dentro do prazo",'Página 01'!P$4:P$468,7,'Página 01'!C$4:C$468,"SIC")</f>
        <v>0</v>
      </c>
      <c r="I23" s="291">
        <f>COUNTIFS('Página 01'!G$4:G$468,'Página 04_SIC'!A23,'Página 01'!L$4:L$468,"Concluído",'Página 01'!N$4:N$468,"Dentro do prazo",'Página 01'!P$4:P$468,8,'Página 01'!C$4:C$468,"SIC")</f>
        <v>0</v>
      </c>
      <c r="J23" s="291">
        <f>COUNTIFS('Página 01'!G$4:G$468,'Página 04_SIC'!A23,'Página 01'!L$4:L$468,"Concluído",'Página 01'!N$4:N$468,"Dentro do prazo",'Página 01'!P$4:P$468,9,'Página 01'!C$4:C$468,"SIC")</f>
        <v>0</v>
      </c>
      <c r="K23" s="291">
        <f>COUNTIFS('Página 01'!G$4:G$468,'Página 04_SIC'!A23,'Página 01'!L$4:L$468,"Concluído",'Página 01'!N$4:N$468,"Dentro do prazo",'Página 01'!P$4:P$468,10,'Página 01'!C$4:C$468,"SIC")</f>
        <v>0</v>
      </c>
      <c r="L23" s="291">
        <f>COUNTIFS('Página 01'!G$4:G$468,'Página 04_SIC'!A23,'Página 01'!L$4:L$468,"Concluído",'Página 01'!N$4:N$468,"Dentro do prazo",'Página 01'!P$4:P$468,11,'Página 01'!C$4:C$468,"SIC")</f>
        <v>0</v>
      </c>
      <c r="M23" s="291">
        <f>COUNTIFS('Página 01'!G$4:G$468,'Página 04_SIC'!A23,'Página 01'!L$4:L$468,"Concluído",'Página 01'!N$4:N$468,"Dentro do prazo",'Página 01'!P$4:P$468,12,'Página 01'!C$4:C$468,"SIC")</f>
        <v>0</v>
      </c>
      <c r="N23" s="291">
        <f t="shared" si="2"/>
        <v>0</v>
      </c>
    </row>
    <row r="24" spans="1:14" x14ac:dyDescent="0.2">
      <c r="A24" s="288" t="s">
        <v>22</v>
      </c>
      <c r="B24" s="291">
        <f>COUNTIFS('Página 01'!G$4:G$468,'Página 04_SIC'!A24,'Página 01'!L$4:L$468,"Concluído",'Página 01'!N$4:N$468,"Dentro do prazo",'Página 01'!P$4:P$468,1,'Página 01'!C$4:C$468,"SIC")</f>
        <v>0</v>
      </c>
      <c r="C24" s="291">
        <f>COUNTIFS('Página 01'!G$4:G$468,'Página 04_SIC'!A24,'Página 01'!L$4:L$468,"Concluído",'Página 01'!N$4:N$468,"Dentro do prazo",'Página 01'!P$4:P$468,2,'Página 01'!C$4:C$468,"SIC")</f>
        <v>0</v>
      </c>
      <c r="D24" s="291">
        <f>COUNTIFS('Página 01'!G$4:G$468,'Página 04_SIC'!A24,'Página 01'!L$4:L$468,"Concluído",'Página 01'!N$4:N$468,"Dentro do prazo",'Página 01'!P$4:P$468,3,'Página 01'!C$4:C$468,"SIC")</f>
        <v>0</v>
      </c>
      <c r="E24" s="291">
        <f>COUNTIFS('Página 01'!G$4:G$468,'Página 04_SIC'!A24,'Página 01'!L$4:L$468,"Concluído",'Página 01'!N$4:N$468,"Dentro do prazo",'Página 01'!P$4:P$468,4,'Página 01'!C$4:C$468,"SIC")</f>
        <v>0</v>
      </c>
      <c r="F24" s="291">
        <f>COUNTIFS('Página 01'!G$4:G$468,'Página 04_SIC'!A24,'Página 01'!L$4:L$468,"Concluído",'Página 01'!N$4:N$468,"Dentro do prazo",'Página 01'!P$4:P$468,5,'Página 01'!C$4:C$468,"SIC")</f>
        <v>0</v>
      </c>
      <c r="G24" s="291">
        <f>COUNTIFS('Página 01'!G$4:G$468,'Página 04_SIC'!A24,'Página 01'!L$4:L$468,"Concluído",'Página 01'!N$4:N$468,"Dentro do prazo",'Página 01'!P$4:P$468,6,'Página 01'!C$4:C$468,"SIC")</f>
        <v>0</v>
      </c>
      <c r="H24" s="291">
        <f>COUNTIFS('Página 01'!G$4:G$468,'Página 04_SIC'!A24,'Página 01'!L$4:L$468,"Concluído",'Página 01'!N$4:N$468,"Dentro do prazo",'Página 01'!P$4:P$468,7,'Página 01'!C$4:C$468,"SIC")</f>
        <v>0</v>
      </c>
      <c r="I24" s="291">
        <f>COUNTIFS('Página 01'!G$4:G$468,'Página 04_SIC'!A24,'Página 01'!L$4:L$468,"Concluído",'Página 01'!N$4:N$468,"Dentro do prazo",'Página 01'!P$4:P$468,8,'Página 01'!C$4:C$468,"SIC")</f>
        <v>0</v>
      </c>
      <c r="J24" s="291">
        <f>COUNTIFS('Página 01'!G$4:G$468,'Página 04_SIC'!A24,'Página 01'!L$4:L$468,"Concluído",'Página 01'!N$4:N$468,"Dentro do prazo",'Página 01'!P$4:P$468,9,'Página 01'!C$4:C$468,"SIC")</f>
        <v>0</v>
      </c>
      <c r="K24" s="291">
        <f>COUNTIFS('Página 01'!G$4:G$468,'Página 04_SIC'!A24,'Página 01'!L$4:L$468,"Concluído",'Página 01'!N$4:N$468,"Dentro do prazo",'Página 01'!P$4:P$468,10,'Página 01'!C$4:C$468,"SIC")</f>
        <v>0</v>
      </c>
      <c r="L24" s="291">
        <f>COUNTIFS('Página 01'!G$4:G$468,'Página 04_SIC'!A24,'Página 01'!L$4:L$468,"Concluído",'Página 01'!N$4:N$468,"Dentro do prazo",'Página 01'!P$4:P$468,11,'Página 01'!C$4:C$468,"SIC")</f>
        <v>0</v>
      </c>
      <c r="M24" s="291">
        <f>COUNTIFS('Página 01'!G$4:G$468,'Página 04_SIC'!A24,'Página 01'!L$4:L$468,"Concluído",'Página 01'!N$4:N$468,"Dentro do prazo",'Página 01'!P$4:P$468,12,'Página 01'!C$4:C$468,"SIC")</f>
        <v>0</v>
      </c>
      <c r="N24" s="291">
        <f t="shared" si="2"/>
        <v>0</v>
      </c>
    </row>
    <row r="25" spans="1:14" x14ac:dyDescent="0.2">
      <c r="A25" s="288" t="s">
        <v>48</v>
      </c>
      <c r="B25" s="291">
        <f>COUNTIFS('Página 01'!G$4:G$468,'Página 04_SIC'!A25,'Página 01'!L$4:L$468,"Concluído",'Página 01'!N$4:N$468,"Dentro do prazo",'Página 01'!P$4:P$468,1,'Página 01'!C$4:C$468,"SIC")</f>
        <v>0</v>
      </c>
      <c r="C25" s="291">
        <f>COUNTIFS('Página 01'!G$4:G$468,'Página 04_SIC'!A25,'Página 01'!L$4:L$468,"Concluído",'Página 01'!N$4:N$468,"Dentro do prazo",'Página 01'!P$4:P$468,2,'Página 01'!C$4:C$468,"SIC")</f>
        <v>0</v>
      </c>
      <c r="D25" s="291">
        <f>COUNTIFS('Página 01'!G$4:G$468,'Página 04_SIC'!A25,'Página 01'!L$4:L$468,"Concluído",'Página 01'!N$4:N$468,"Dentro do prazo",'Página 01'!P$4:P$468,3,'Página 01'!C$4:C$468,"SIC")</f>
        <v>0</v>
      </c>
      <c r="E25" s="291">
        <f>COUNTIFS('Página 01'!G$4:G$468,'Página 04_SIC'!A25,'Página 01'!L$4:L$468,"Concluído",'Página 01'!N$4:N$468,"Dentro do prazo",'Página 01'!P$4:P$468,4,'Página 01'!C$4:C$468,"SIC")</f>
        <v>0</v>
      </c>
      <c r="F25" s="291">
        <f>COUNTIFS('Página 01'!G$4:G$468,'Página 04_SIC'!A25,'Página 01'!L$4:L$468,"Concluído",'Página 01'!N$4:N$468,"Dentro do prazo",'Página 01'!P$4:P$468,5,'Página 01'!C$4:C$468,"SIC")</f>
        <v>0</v>
      </c>
      <c r="G25" s="291">
        <f>COUNTIFS('Página 01'!G$4:G$468,'Página 04_SIC'!A25,'Página 01'!L$4:L$468,"Concluído",'Página 01'!N$4:N$468,"Dentro do prazo",'Página 01'!P$4:P$468,6,'Página 01'!C$4:C$468,"SIC")</f>
        <v>0</v>
      </c>
      <c r="H25" s="291">
        <f>COUNTIFS('Página 01'!G$4:G$468,'Página 04_SIC'!A25,'Página 01'!L$4:L$468,"Concluído",'Página 01'!N$4:N$468,"Dentro do prazo",'Página 01'!P$4:P$468,7,'Página 01'!C$4:C$468,"SIC")</f>
        <v>0</v>
      </c>
      <c r="I25" s="291">
        <f>COUNTIFS('Página 01'!G$4:G$468,'Página 04_SIC'!A25,'Página 01'!L$4:L$468,"Concluído",'Página 01'!N$4:N$468,"Dentro do prazo",'Página 01'!P$4:P$468,8,'Página 01'!C$4:C$468,"SIC")</f>
        <v>0</v>
      </c>
      <c r="J25" s="291">
        <f>COUNTIFS('Página 01'!G$4:G$468,'Página 04_SIC'!A25,'Página 01'!L$4:L$468,"Concluído",'Página 01'!N$4:N$468,"Dentro do prazo",'Página 01'!P$4:P$468,9,'Página 01'!C$4:C$468,"SIC")</f>
        <v>0</v>
      </c>
      <c r="K25" s="291">
        <f>COUNTIFS('Página 01'!G$4:G$468,'Página 04_SIC'!A25,'Página 01'!L$4:L$468,"Concluído",'Página 01'!N$4:N$468,"Dentro do prazo",'Página 01'!P$4:P$468,10,'Página 01'!C$4:C$468,"SIC")</f>
        <v>0</v>
      </c>
      <c r="L25" s="291">
        <f>COUNTIFS('Página 01'!G$4:G$468,'Página 04_SIC'!A25,'Página 01'!L$4:L$468,"Concluído",'Página 01'!N$4:N$468,"Dentro do prazo",'Página 01'!P$4:P$468,11,'Página 01'!C$4:C$468,"SIC")</f>
        <v>0</v>
      </c>
      <c r="M25" s="291">
        <f>COUNTIFS('Página 01'!G$4:G$468,'Página 04_SIC'!A25,'Página 01'!L$4:L$468,"Concluído",'Página 01'!N$4:N$468,"Dentro do prazo",'Página 01'!P$4:P$468,12,'Página 01'!C$4:C$468,"SIC")</f>
        <v>0</v>
      </c>
      <c r="N25" s="291">
        <f t="shared" si="2"/>
        <v>0</v>
      </c>
    </row>
    <row r="26" spans="1:14" x14ac:dyDescent="0.2">
      <c r="A26" s="288" t="s">
        <v>76</v>
      </c>
      <c r="B26" s="291">
        <f>COUNTIFS('Página 01'!G$4:G$468,'Página 04_SIC'!A26,'Página 01'!L$4:L$468,"Concluído",'Página 01'!N$4:N$468,"Dentro do prazo",'Página 01'!P$4:P$468,1,'Página 01'!C$4:C$468,"SIC")</f>
        <v>0</v>
      </c>
      <c r="C26" s="291">
        <f>COUNTIFS('Página 01'!G$4:G$468,'Página 04_SIC'!A26,'Página 01'!L$4:L$468,"Concluído",'Página 01'!N$4:N$468,"Dentro do prazo",'Página 01'!P$4:P$468,2,'Página 01'!C$4:C$468,"SIC")</f>
        <v>0</v>
      </c>
      <c r="D26" s="291">
        <f>COUNTIFS('Página 01'!G$4:G$468,'Página 04_SIC'!A26,'Página 01'!L$4:L$468,"Concluído",'Página 01'!N$4:N$468,"Dentro do prazo",'Página 01'!P$4:P$468,3,'Página 01'!C$4:C$468,"SIC")</f>
        <v>0</v>
      </c>
      <c r="E26" s="291">
        <f>COUNTIFS('Página 01'!G$4:G$468,'Página 04_SIC'!A26,'Página 01'!L$4:L$468,"Concluído",'Página 01'!N$4:N$468,"Dentro do prazo",'Página 01'!P$4:P$468,4,'Página 01'!C$4:C$468,"SIC")</f>
        <v>0</v>
      </c>
      <c r="F26" s="291">
        <f>COUNTIFS('Página 01'!G$4:G$468,'Página 04_SIC'!A26,'Página 01'!L$4:L$468,"Concluído",'Página 01'!N$4:N$468,"Dentro do prazo",'Página 01'!P$4:P$468,5,'Página 01'!C$4:C$468,"SIC")</f>
        <v>0</v>
      </c>
      <c r="G26" s="291">
        <f>COUNTIFS('Página 01'!G$4:G$468,'Página 04_SIC'!A26,'Página 01'!L$4:L$468,"Concluído",'Página 01'!N$4:N$468,"Dentro do prazo",'Página 01'!P$4:P$468,6,'Página 01'!C$4:C$468,"SIC")</f>
        <v>0</v>
      </c>
      <c r="H26" s="291">
        <f>COUNTIFS('Página 01'!G$4:G$468,'Página 04_SIC'!A26,'Página 01'!L$4:L$468,"Concluído",'Página 01'!N$4:N$468,"Dentro do prazo",'Página 01'!P$4:P$468,7,'Página 01'!C$4:C$468,"SIC")</f>
        <v>0</v>
      </c>
      <c r="I26" s="291">
        <f>COUNTIFS('Página 01'!G$4:G$468,'Página 04_SIC'!A26,'Página 01'!L$4:L$468,"Concluído",'Página 01'!N$4:N$468,"Dentro do prazo",'Página 01'!P$4:P$468,8,'Página 01'!C$4:C$468,"SIC")</f>
        <v>0</v>
      </c>
      <c r="J26" s="291">
        <f>COUNTIFS('Página 01'!G$4:G$468,'Página 04_SIC'!A26,'Página 01'!L$4:L$468,"Concluído",'Página 01'!N$4:N$468,"Dentro do prazo",'Página 01'!P$4:P$468,9,'Página 01'!C$4:C$468,"SIC")</f>
        <v>0</v>
      </c>
      <c r="K26" s="291">
        <f>COUNTIFS('Página 01'!G$4:G$468,'Página 04_SIC'!A26,'Página 01'!L$4:L$468,"Concluído",'Página 01'!N$4:N$468,"Dentro do prazo",'Página 01'!P$4:P$468,10,'Página 01'!C$4:C$468,"SIC")</f>
        <v>0</v>
      </c>
      <c r="L26" s="291">
        <f>COUNTIFS('Página 01'!G$4:G$468,'Página 04_SIC'!A26,'Página 01'!L$4:L$468,"Concluído",'Página 01'!N$4:N$468,"Dentro do prazo",'Página 01'!P$4:P$468,11,'Página 01'!C$4:C$468,"SIC")</f>
        <v>0</v>
      </c>
      <c r="M26" s="291">
        <f>COUNTIFS('Página 01'!G$4:G$468,'Página 04_SIC'!A26,'Página 01'!L$4:L$468,"Concluído",'Página 01'!N$4:N$468,"Dentro do prazo",'Página 01'!P$4:P$468,12,'Página 01'!C$4:C$468,"SIC")</f>
        <v>0</v>
      </c>
      <c r="N26" s="291">
        <f t="shared" si="2"/>
        <v>0</v>
      </c>
    </row>
    <row r="27" spans="1:14" x14ac:dyDescent="0.2">
      <c r="A27" s="288" t="s">
        <v>75</v>
      </c>
      <c r="B27" s="291">
        <f>COUNTIFS('Página 01'!G$4:G$468,'Página 04_SIC'!A27,'Página 01'!L$4:L$468,"Concluído",'Página 01'!N$4:N$468,"Dentro do prazo",'Página 01'!P$4:P$468,1,'Página 01'!C$4:C$468,"SIC")</f>
        <v>0</v>
      </c>
      <c r="C27" s="291">
        <f>COUNTIFS('Página 01'!G$4:G$468,'Página 04_SIC'!A27,'Página 01'!L$4:L$468,"Concluído",'Página 01'!N$4:N$468,"Dentro do prazo",'Página 01'!P$4:P$468,2,'Página 01'!C$4:C$468,"SIC")</f>
        <v>0</v>
      </c>
      <c r="D27" s="291">
        <f>COUNTIFS('Página 01'!G$4:G$468,'Página 04_SIC'!A27,'Página 01'!L$4:L$468,"Concluído",'Página 01'!N$4:N$468,"Dentro do prazo",'Página 01'!P$4:P$468,3,'Página 01'!C$4:C$468,"SIC")</f>
        <v>0</v>
      </c>
      <c r="E27" s="291">
        <f>COUNTIFS('Página 01'!G$4:G$468,'Página 04_SIC'!A27,'Página 01'!L$4:L$468,"Concluído",'Página 01'!N$4:N$468,"Dentro do prazo",'Página 01'!P$4:P$468,4,'Página 01'!C$4:C$468,"SIC")</f>
        <v>0</v>
      </c>
      <c r="F27" s="291">
        <f>COUNTIFS('Página 01'!G$4:G$468,'Página 04_SIC'!A27,'Página 01'!L$4:L$468,"Concluído",'Página 01'!N$4:N$468,"Dentro do prazo",'Página 01'!P$4:P$468,5,'Página 01'!C$4:C$468,"SIC")</f>
        <v>0</v>
      </c>
      <c r="G27" s="291">
        <f>COUNTIFS('Página 01'!G$4:G$468,'Página 04_SIC'!A27,'Página 01'!L$4:L$468,"Concluído",'Página 01'!N$4:N$468,"Dentro do prazo",'Página 01'!P$4:P$468,6,'Página 01'!C$4:C$468,"SIC")</f>
        <v>0</v>
      </c>
      <c r="H27" s="291">
        <f>COUNTIFS('Página 01'!G$4:G$468,'Página 04_SIC'!A27,'Página 01'!L$4:L$468,"Concluído",'Página 01'!N$4:N$468,"Dentro do prazo",'Página 01'!P$4:P$468,7,'Página 01'!C$4:C$468,"SIC")</f>
        <v>0</v>
      </c>
      <c r="I27" s="291">
        <f>COUNTIFS('Página 01'!G$4:G$468,'Página 04_SIC'!A27,'Página 01'!L$4:L$468,"Concluído",'Página 01'!N$4:N$468,"Dentro do prazo",'Página 01'!P$4:P$468,8,'Página 01'!C$4:C$468,"SIC")</f>
        <v>0</v>
      </c>
      <c r="J27" s="291">
        <f>COUNTIFS('Página 01'!G$4:G$468,'Página 04_SIC'!A27,'Página 01'!L$4:L$468,"Concluído",'Página 01'!N$4:N$468,"Dentro do prazo",'Página 01'!P$4:P$468,9,'Página 01'!C$4:C$468,"SIC")</f>
        <v>0</v>
      </c>
      <c r="K27" s="291">
        <f>COUNTIFS('Página 01'!G$4:G$468,'Página 04_SIC'!A27,'Página 01'!L$4:L$468,"Concluído",'Página 01'!N$4:N$468,"Dentro do prazo",'Página 01'!P$4:P$468,10,'Página 01'!C$4:C$468,"SIC")</f>
        <v>0</v>
      </c>
      <c r="L27" s="291">
        <f>COUNTIFS('Página 01'!G$4:G$468,'Página 04_SIC'!A27,'Página 01'!L$4:L$468,"Concluído",'Página 01'!N$4:N$468,"Dentro do prazo",'Página 01'!P$4:P$468,11,'Página 01'!C$4:C$468,"SIC")</f>
        <v>0</v>
      </c>
      <c r="M27" s="291">
        <f>COUNTIFS('Página 01'!G$4:G$468,'Página 04_SIC'!A27,'Página 01'!L$4:L$468,"Concluído",'Página 01'!N$4:N$468,"Dentro do prazo",'Página 01'!P$4:P$468,12,'Página 01'!C$4:C$468,"SIC")</f>
        <v>0</v>
      </c>
      <c r="N27" s="291">
        <f t="shared" si="2"/>
        <v>0</v>
      </c>
    </row>
    <row r="28" spans="1:14" x14ac:dyDescent="0.2">
      <c r="A28" s="294" t="s">
        <v>79</v>
      </c>
      <c r="B28" s="295">
        <f>SUM(B20:B27)</f>
        <v>0</v>
      </c>
      <c r="C28" s="295">
        <f t="shared" ref="C28:N28" si="3">SUM(C20:C27)</f>
        <v>0</v>
      </c>
      <c r="D28" s="295">
        <f t="shared" si="3"/>
        <v>0</v>
      </c>
      <c r="E28" s="295">
        <f t="shared" si="3"/>
        <v>0</v>
      </c>
      <c r="F28" s="295">
        <f t="shared" si="3"/>
        <v>0</v>
      </c>
      <c r="G28" s="295">
        <f t="shared" si="3"/>
        <v>0</v>
      </c>
      <c r="H28" s="295">
        <f t="shared" si="3"/>
        <v>0</v>
      </c>
      <c r="I28" s="295">
        <f t="shared" si="3"/>
        <v>0</v>
      </c>
      <c r="J28" s="295">
        <f t="shared" si="3"/>
        <v>0</v>
      </c>
      <c r="K28" s="295">
        <f t="shared" si="3"/>
        <v>0</v>
      </c>
      <c r="L28" s="295">
        <f t="shared" si="3"/>
        <v>0</v>
      </c>
      <c r="M28" s="295">
        <f t="shared" si="3"/>
        <v>0</v>
      </c>
      <c r="N28" s="295">
        <f t="shared" si="3"/>
        <v>0</v>
      </c>
    </row>
    <row r="29" spans="1:14" ht="5.25" customHeight="1" x14ac:dyDescent="0.2"/>
    <row r="30" spans="1:14" x14ac:dyDescent="0.2">
      <c r="A30" s="466" t="s">
        <v>121</v>
      </c>
      <c r="B30" s="466"/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6"/>
      <c r="N30" s="466"/>
    </row>
    <row r="31" spans="1:14" ht="4.5" customHeight="1" x14ac:dyDescent="0.2">
      <c r="A31" s="286"/>
    </row>
    <row r="32" spans="1:14" x14ac:dyDescent="0.2">
      <c r="A32" s="294" t="s">
        <v>92</v>
      </c>
      <c r="B32" s="295" t="s">
        <v>95</v>
      </c>
      <c r="C32" s="295" t="s">
        <v>96</v>
      </c>
      <c r="D32" s="295" t="s">
        <v>97</v>
      </c>
      <c r="E32" s="295" t="s">
        <v>93</v>
      </c>
      <c r="F32" s="295" t="s">
        <v>94</v>
      </c>
      <c r="G32" s="295" t="s">
        <v>98</v>
      </c>
      <c r="H32" s="295" t="s">
        <v>99</v>
      </c>
      <c r="I32" s="295" t="s">
        <v>100</v>
      </c>
      <c r="J32" s="295" t="s">
        <v>101</v>
      </c>
      <c r="K32" s="295" t="s">
        <v>102</v>
      </c>
      <c r="L32" s="295" t="s">
        <v>103</v>
      </c>
      <c r="M32" s="295" t="s">
        <v>104</v>
      </c>
      <c r="N32" s="295" t="s">
        <v>105</v>
      </c>
    </row>
    <row r="33" spans="1:14" x14ac:dyDescent="0.2">
      <c r="A33" s="288" t="s">
        <v>20</v>
      </c>
      <c r="B33" s="291" t="str">
        <f>IFERROR((B20/B7)*100,"-")</f>
        <v>-</v>
      </c>
      <c r="C33" s="291" t="str">
        <f t="shared" ref="C33:N33" si="4">IFERROR((C20/C7)*100,"-")</f>
        <v>-</v>
      </c>
      <c r="D33" s="291" t="str">
        <f t="shared" si="4"/>
        <v>-</v>
      </c>
      <c r="E33" s="291" t="str">
        <f t="shared" si="4"/>
        <v>-</v>
      </c>
      <c r="F33" s="291" t="str">
        <f t="shared" si="4"/>
        <v>-</v>
      </c>
      <c r="G33" s="291" t="str">
        <f t="shared" si="4"/>
        <v>-</v>
      </c>
      <c r="H33" s="291" t="str">
        <f t="shared" si="4"/>
        <v>-</v>
      </c>
      <c r="I33" s="291" t="str">
        <f t="shared" si="4"/>
        <v>-</v>
      </c>
      <c r="J33" s="291" t="str">
        <f t="shared" si="4"/>
        <v>-</v>
      </c>
      <c r="K33" s="291" t="str">
        <f t="shared" si="4"/>
        <v>-</v>
      </c>
      <c r="L33" s="291" t="str">
        <f t="shared" si="4"/>
        <v>-</v>
      </c>
      <c r="M33" s="291" t="str">
        <f t="shared" si="4"/>
        <v>-</v>
      </c>
      <c r="N33" s="291" t="str">
        <f t="shared" si="4"/>
        <v>-</v>
      </c>
    </row>
    <row r="34" spans="1:14" x14ac:dyDescent="0.2">
      <c r="A34" s="288" t="s">
        <v>91</v>
      </c>
      <c r="B34" s="291" t="str">
        <f t="shared" ref="B34:N41" si="5">IFERROR((B21/B8)*100,"-")</f>
        <v>-</v>
      </c>
      <c r="C34" s="291" t="str">
        <f t="shared" si="5"/>
        <v>-</v>
      </c>
      <c r="D34" s="291" t="str">
        <f t="shared" si="5"/>
        <v>-</v>
      </c>
      <c r="E34" s="291" t="str">
        <f t="shared" si="5"/>
        <v>-</v>
      </c>
      <c r="F34" s="291" t="str">
        <f t="shared" si="5"/>
        <v>-</v>
      </c>
      <c r="G34" s="291" t="str">
        <f t="shared" si="5"/>
        <v>-</v>
      </c>
      <c r="H34" s="291" t="str">
        <f t="shared" si="5"/>
        <v>-</v>
      </c>
      <c r="I34" s="291" t="str">
        <f t="shared" si="5"/>
        <v>-</v>
      </c>
      <c r="J34" s="291" t="str">
        <f t="shared" si="5"/>
        <v>-</v>
      </c>
      <c r="K34" s="291" t="str">
        <f t="shared" si="5"/>
        <v>-</v>
      </c>
      <c r="L34" s="291" t="str">
        <f t="shared" si="5"/>
        <v>-</v>
      </c>
      <c r="M34" s="291" t="str">
        <f t="shared" si="5"/>
        <v>-</v>
      </c>
      <c r="N34" s="291" t="str">
        <f t="shared" si="5"/>
        <v>-</v>
      </c>
    </row>
    <row r="35" spans="1:14" x14ac:dyDescent="0.2">
      <c r="A35" s="288" t="s">
        <v>77</v>
      </c>
      <c r="B35" s="291" t="str">
        <f t="shared" si="5"/>
        <v>-</v>
      </c>
      <c r="C35" s="291" t="str">
        <f t="shared" si="5"/>
        <v>-</v>
      </c>
      <c r="D35" s="291" t="str">
        <f t="shared" si="5"/>
        <v>-</v>
      </c>
      <c r="E35" s="291" t="str">
        <f t="shared" si="5"/>
        <v>-</v>
      </c>
      <c r="F35" s="291" t="str">
        <f t="shared" si="5"/>
        <v>-</v>
      </c>
      <c r="G35" s="291" t="str">
        <f t="shared" si="5"/>
        <v>-</v>
      </c>
      <c r="H35" s="291" t="str">
        <f t="shared" si="5"/>
        <v>-</v>
      </c>
      <c r="I35" s="291" t="str">
        <f t="shared" si="5"/>
        <v>-</v>
      </c>
      <c r="J35" s="291" t="str">
        <f t="shared" si="5"/>
        <v>-</v>
      </c>
      <c r="K35" s="291" t="str">
        <f t="shared" si="5"/>
        <v>-</v>
      </c>
      <c r="L35" s="291" t="str">
        <f t="shared" si="5"/>
        <v>-</v>
      </c>
      <c r="M35" s="291" t="str">
        <f t="shared" si="5"/>
        <v>-</v>
      </c>
      <c r="N35" s="291" t="str">
        <f t="shared" si="5"/>
        <v>-</v>
      </c>
    </row>
    <row r="36" spans="1:14" hidden="1" x14ac:dyDescent="0.2">
      <c r="A36" s="288" t="s">
        <v>78</v>
      </c>
      <c r="B36" s="291" t="str">
        <f t="shared" si="5"/>
        <v>-</v>
      </c>
      <c r="C36" s="291" t="str">
        <f t="shared" si="5"/>
        <v>-</v>
      </c>
      <c r="D36" s="291" t="str">
        <f t="shared" si="5"/>
        <v>-</v>
      </c>
      <c r="E36" s="291" t="str">
        <f t="shared" si="5"/>
        <v>-</v>
      </c>
      <c r="F36" s="291" t="str">
        <f t="shared" si="5"/>
        <v>-</v>
      </c>
      <c r="G36" s="291" t="str">
        <f t="shared" si="5"/>
        <v>-</v>
      </c>
      <c r="H36" s="291" t="str">
        <f t="shared" si="5"/>
        <v>-</v>
      </c>
      <c r="I36" s="291" t="str">
        <f t="shared" si="5"/>
        <v>-</v>
      </c>
      <c r="J36" s="291" t="str">
        <f t="shared" si="5"/>
        <v>-</v>
      </c>
      <c r="K36" s="291" t="str">
        <f t="shared" si="5"/>
        <v>-</v>
      </c>
      <c r="L36" s="291" t="str">
        <f t="shared" si="5"/>
        <v>-</v>
      </c>
      <c r="M36" s="291" t="str">
        <f t="shared" si="5"/>
        <v>-</v>
      </c>
      <c r="N36" s="291" t="str">
        <f t="shared" si="5"/>
        <v>-</v>
      </c>
    </row>
    <row r="37" spans="1:14" x14ac:dyDescent="0.2">
      <c r="A37" s="288" t="s">
        <v>22</v>
      </c>
      <c r="B37" s="291" t="str">
        <f t="shared" si="5"/>
        <v>-</v>
      </c>
      <c r="C37" s="291" t="str">
        <f t="shared" si="5"/>
        <v>-</v>
      </c>
      <c r="D37" s="291" t="str">
        <f t="shared" si="5"/>
        <v>-</v>
      </c>
      <c r="E37" s="291" t="str">
        <f t="shared" si="5"/>
        <v>-</v>
      </c>
      <c r="F37" s="291" t="str">
        <f t="shared" si="5"/>
        <v>-</v>
      </c>
      <c r="G37" s="291" t="str">
        <f t="shared" si="5"/>
        <v>-</v>
      </c>
      <c r="H37" s="291" t="str">
        <f t="shared" si="5"/>
        <v>-</v>
      </c>
      <c r="I37" s="291" t="str">
        <f t="shared" si="5"/>
        <v>-</v>
      </c>
      <c r="J37" s="291" t="str">
        <f t="shared" si="5"/>
        <v>-</v>
      </c>
      <c r="K37" s="291" t="str">
        <f t="shared" si="5"/>
        <v>-</v>
      </c>
      <c r="L37" s="291" t="str">
        <f t="shared" si="5"/>
        <v>-</v>
      </c>
      <c r="M37" s="291" t="str">
        <f t="shared" si="5"/>
        <v>-</v>
      </c>
      <c r="N37" s="291" t="str">
        <f t="shared" si="5"/>
        <v>-</v>
      </c>
    </row>
    <row r="38" spans="1:14" x14ac:dyDescent="0.2">
      <c r="A38" s="288" t="s">
        <v>48</v>
      </c>
      <c r="B38" s="291" t="str">
        <f t="shared" si="5"/>
        <v>-</v>
      </c>
      <c r="C38" s="291" t="str">
        <f t="shared" si="5"/>
        <v>-</v>
      </c>
      <c r="D38" s="291" t="str">
        <f t="shared" si="5"/>
        <v>-</v>
      </c>
      <c r="E38" s="291" t="str">
        <f t="shared" si="5"/>
        <v>-</v>
      </c>
      <c r="F38" s="291" t="str">
        <f t="shared" si="5"/>
        <v>-</v>
      </c>
      <c r="G38" s="291" t="str">
        <f t="shared" si="5"/>
        <v>-</v>
      </c>
      <c r="H38" s="291" t="str">
        <f t="shared" si="5"/>
        <v>-</v>
      </c>
      <c r="I38" s="291" t="str">
        <f t="shared" si="5"/>
        <v>-</v>
      </c>
      <c r="J38" s="291" t="str">
        <f t="shared" si="5"/>
        <v>-</v>
      </c>
      <c r="K38" s="291" t="str">
        <f t="shared" si="5"/>
        <v>-</v>
      </c>
      <c r="L38" s="291" t="str">
        <f t="shared" si="5"/>
        <v>-</v>
      </c>
      <c r="M38" s="291" t="str">
        <f t="shared" si="5"/>
        <v>-</v>
      </c>
      <c r="N38" s="291" t="str">
        <f t="shared" si="5"/>
        <v>-</v>
      </c>
    </row>
    <row r="39" spans="1:14" x14ac:dyDescent="0.2">
      <c r="A39" s="288" t="s">
        <v>76</v>
      </c>
      <c r="B39" s="291" t="str">
        <f t="shared" si="5"/>
        <v>-</v>
      </c>
      <c r="C39" s="291" t="str">
        <f t="shared" si="5"/>
        <v>-</v>
      </c>
      <c r="D39" s="291" t="str">
        <f t="shared" si="5"/>
        <v>-</v>
      </c>
      <c r="E39" s="291" t="str">
        <f t="shared" si="5"/>
        <v>-</v>
      </c>
      <c r="F39" s="291" t="str">
        <f t="shared" si="5"/>
        <v>-</v>
      </c>
      <c r="G39" s="291" t="str">
        <f t="shared" si="5"/>
        <v>-</v>
      </c>
      <c r="H39" s="291" t="str">
        <f t="shared" si="5"/>
        <v>-</v>
      </c>
      <c r="I39" s="291" t="str">
        <f t="shared" si="5"/>
        <v>-</v>
      </c>
      <c r="J39" s="291" t="str">
        <f t="shared" si="5"/>
        <v>-</v>
      </c>
      <c r="K39" s="291" t="str">
        <f t="shared" si="5"/>
        <v>-</v>
      </c>
      <c r="L39" s="291" t="str">
        <f t="shared" si="5"/>
        <v>-</v>
      </c>
      <c r="M39" s="291" t="str">
        <f t="shared" si="5"/>
        <v>-</v>
      </c>
      <c r="N39" s="291" t="str">
        <f t="shared" si="5"/>
        <v>-</v>
      </c>
    </row>
    <row r="40" spans="1:14" x14ac:dyDescent="0.2">
      <c r="A40" s="288" t="s">
        <v>75</v>
      </c>
      <c r="B40" s="291" t="str">
        <f t="shared" si="5"/>
        <v>-</v>
      </c>
      <c r="C40" s="291" t="str">
        <f t="shared" si="5"/>
        <v>-</v>
      </c>
      <c r="D40" s="291" t="str">
        <f t="shared" si="5"/>
        <v>-</v>
      </c>
      <c r="E40" s="291" t="str">
        <f t="shared" si="5"/>
        <v>-</v>
      </c>
      <c r="F40" s="291" t="str">
        <f t="shared" si="5"/>
        <v>-</v>
      </c>
      <c r="G40" s="291" t="str">
        <f t="shared" si="5"/>
        <v>-</v>
      </c>
      <c r="H40" s="291" t="str">
        <f t="shared" si="5"/>
        <v>-</v>
      </c>
      <c r="I40" s="291" t="str">
        <f t="shared" si="5"/>
        <v>-</v>
      </c>
      <c r="J40" s="291" t="str">
        <f t="shared" si="5"/>
        <v>-</v>
      </c>
      <c r="K40" s="291" t="str">
        <f t="shared" si="5"/>
        <v>-</v>
      </c>
      <c r="L40" s="291" t="str">
        <f t="shared" si="5"/>
        <v>-</v>
      </c>
      <c r="M40" s="291" t="str">
        <f t="shared" si="5"/>
        <v>-</v>
      </c>
      <c r="N40" s="291" t="str">
        <f t="shared" si="5"/>
        <v>-</v>
      </c>
    </row>
    <row r="41" spans="1:14" x14ac:dyDescent="0.2">
      <c r="A41" s="294" t="s">
        <v>79</v>
      </c>
      <c r="B41" s="295" t="str">
        <f t="shared" si="5"/>
        <v>-</v>
      </c>
      <c r="C41" s="295" t="str">
        <f t="shared" si="5"/>
        <v>-</v>
      </c>
      <c r="D41" s="295" t="str">
        <f t="shared" si="5"/>
        <v>-</v>
      </c>
      <c r="E41" s="295" t="str">
        <f t="shared" si="5"/>
        <v>-</v>
      </c>
      <c r="F41" s="295" t="str">
        <f t="shared" si="5"/>
        <v>-</v>
      </c>
      <c r="G41" s="295" t="str">
        <f t="shared" si="5"/>
        <v>-</v>
      </c>
      <c r="H41" s="295" t="str">
        <f t="shared" si="5"/>
        <v>-</v>
      </c>
      <c r="I41" s="295" t="str">
        <f t="shared" si="5"/>
        <v>-</v>
      </c>
      <c r="J41" s="295" t="str">
        <f t="shared" si="5"/>
        <v>-</v>
      </c>
      <c r="K41" s="295" t="str">
        <f t="shared" si="5"/>
        <v>-</v>
      </c>
      <c r="L41" s="295" t="str">
        <f t="shared" si="5"/>
        <v>-</v>
      </c>
      <c r="M41" s="295" t="str">
        <f t="shared" si="5"/>
        <v>-</v>
      </c>
      <c r="N41" s="295" t="str">
        <f t="shared" si="5"/>
        <v>-</v>
      </c>
    </row>
    <row r="42" spans="1:14" ht="5.25" customHeight="1" x14ac:dyDescent="0.2"/>
    <row r="43" spans="1:14" x14ac:dyDescent="0.2">
      <c r="A43" s="471" t="s">
        <v>125</v>
      </c>
      <c r="B43" s="471"/>
      <c r="C43" s="471"/>
      <c r="D43" s="471"/>
      <c r="E43" s="471"/>
      <c r="F43" s="471"/>
      <c r="G43" s="471"/>
      <c r="H43" s="471"/>
      <c r="I43" s="471"/>
      <c r="J43" s="471"/>
      <c r="K43" s="471"/>
      <c r="L43" s="471"/>
      <c r="M43" s="471"/>
      <c r="N43" s="471"/>
    </row>
  </sheetData>
  <sheetProtection password="BD8C" sheet="1" objects="1" scenarios="1"/>
  <mergeCells count="4">
    <mergeCell ref="A1:N1"/>
    <mergeCell ref="A2:N2"/>
    <mergeCell ref="A30:N30"/>
    <mergeCell ref="A43:N43"/>
  </mergeCells>
  <pageMargins left="0.51181102362204722" right="0.51181102362204722" top="0.78740157480314965" bottom="0.78740157480314965" header="0.31496062992125984" footer="0.31496062992125984"/>
  <pageSetup paperSize="9" scale="99" orientation="landscape" verticalDpi="300" r:id="rId1"/>
  <headerFooter>
    <oddFooter>&amp;LFQ-07.53 (anexo ao PQ-07.01) - RA - 01 de 27/04/22 – Página 4/4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IND.ESTRATÉGICOSjan.dez.2013</vt:lpstr>
      <vt:lpstr>Página 01</vt:lpstr>
      <vt:lpstr>Página 02_Fale Conosco</vt:lpstr>
      <vt:lpstr>Página 03_Ouvidoria</vt:lpstr>
      <vt:lpstr>Página 04_SIC</vt:lpstr>
      <vt:lpstr>IND.ESTRATÉGICOSjan.dez.2013!Area_de_impressao</vt:lpstr>
      <vt:lpstr>'Página 01'!Area_de_impressao</vt:lpstr>
      <vt:lpstr>'Página 02_Fale Conosco'!Area_de_impressao</vt:lpstr>
      <vt:lpstr>'Página 03_Ouvidoria'!Area_de_impressao</vt:lpstr>
      <vt:lpstr>'Página 04_SIC'!Area_de_impressao</vt:lpstr>
      <vt:lpstr>'Página 01'!Titulos_de_impressao</vt:lpstr>
    </vt:vector>
  </TitlesOfParts>
  <Company>ITAL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ITAL</dc:creator>
  <cp:lastModifiedBy>Daiana</cp:lastModifiedBy>
  <cp:lastPrinted>2022-04-25T11:59:56Z</cp:lastPrinted>
  <dcterms:created xsi:type="dcterms:W3CDTF">2002-08-26T18:08:42Z</dcterms:created>
  <dcterms:modified xsi:type="dcterms:W3CDTF">2022-04-26T11:03:57Z</dcterms:modified>
</cp:coreProperties>
</file>