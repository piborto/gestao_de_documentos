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\\192.168.89.2\qualidadeRA-21\Documentos SGQ - Matriz RA-56\Formulários\"/>
    </mc:Choice>
  </mc:AlternateContent>
  <xr:revisionPtr revIDLastSave="0" documentId="13_ncr:1_{3727CCD4-AB8F-4A17-A29C-50B8B48ACD5B}" xr6:coauthVersionLast="45" xr6:coauthVersionMax="45" xr10:uidLastSave="{00000000-0000-0000-0000-000000000000}"/>
  <bookViews>
    <workbookView xWindow="-120" yWindow="-120" windowWidth="19440" windowHeight="11160" xr2:uid="{00000000-000D-0000-FFFF-FFFF00000000}"/>
  </bookViews>
  <sheets>
    <sheet name="Alimentação de dados " sheetId="8" r:id="rId1"/>
    <sheet name="Planilha final " sheetId="9" r:id="rId2"/>
    <sheet name="Comentários" sheetId="3" r:id="rId3"/>
  </sheets>
  <definedNames>
    <definedName name="_xlnm.Print_Area" localSheetId="0">'Alimentação de dados '!$A$1:$I$26</definedName>
    <definedName name="_xlnm.Print_Area" localSheetId="2">Comentários!$A$1:$B$17</definedName>
    <definedName name="_xlnm.Print_Area" localSheetId="1">'Planilha final '!$A$1:$G$33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3" i="3" l="1"/>
  <c r="A2" i="3"/>
  <c r="A2" i="9"/>
  <c r="A3" i="9"/>
  <c r="C23" i="8"/>
  <c r="A1" i="9" l="1"/>
  <c r="A1" i="3" l="1"/>
  <c r="I15" i="8"/>
  <c r="I14" i="8"/>
  <c r="F20" i="8"/>
  <c r="D14" i="8"/>
  <c r="F18" i="8"/>
  <c r="D22" i="8"/>
  <c r="D10" i="8"/>
  <c r="D20" i="8"/>
  <c r="H13" i="8"/>
  <c r="H11" i="8"/>
  <c r="H16" i="8"/>
  <c r="F21" i="8"/>
  <c r="G12" i="8"/>
  <c r="H14" i="8"/>
  <c r="D18" i="8"/>
  <c r="D11" i="8"/>
  <c r="D15" i="8"/>
  <c r="D12" i="8"/>
  <c r="D13" i="8"/>
  <c r="I16" i="8"/>
  <c r="E11" i="8"/>
  <c r="E13" i="8"/>
  <c r="G21" i="8"/>
  <c r="H17" i="8"/>
  <c r="G14" i="8"/>
  <c r="I13" i="8"/>
  <c r="E21" i="8"/>
  <c r="E18" i="8"/>
  <c r="G16" i="8"/>
  <c r="E16" i="8"/>
  <c r="F19" i="8"/>
  <c r="G10" i="8"/>
  <c r="F10" i="8"/>
  <c r="G20" i="8"/>
  <c r="G22" i="8"/>
  <c r="H10" i="8"/>
  <c r="I21" i="8"/>
  <c r="H15" i="8"/>
  <c r="I17" i="8"/>
  <c r="H19" i="8"/>
  <c r="I11" i="8"/>
  <c r="F16" i="8"/>
  <c r="F17" i="8"/>
  <c r="F11" i="8"/>
  <c r="G19" i="8"/>
  <c r="E17" i="8"/>
  <c r="H12" i="8"/>
  <c r="G18" i="8"/>
  <c r="E20" i="8"/>
  <c r="H18" i="8"/>
  <c r="F13" i="8"/>
  <c r="H20" i="8"/>
  <c r="E10" i="8"/>
  <c r="I10" i="8"/>
  <c r="F12" i="8"/>
  <c r="E22" i="8"/>
  <c r="D16" i="8"/>
  <c r="I20" i="8"/>
  <c r="E19" i="8"/>
  <c r="G13" i="8"/>
  <c r="G17" i="8"/>
  <c r="D19" i="8"/>
  <c r="I12" i="8"/>
  <c r="E12" i="8"/>
  <c r="F15" i="8"/>
  <c r="I18" i="8"/>
  <c r="E14" i="8"/>
  <c r="D21" i="8"/>
  <c r="E15" i="8"/>
  <c r="G15" i="8"/>
  <c r="D17" i="8"/>
  <c r="I19" i="8"/>
  <c r="H22" i="8"/>
  <c r="H21" i="8"/>
  <c r="I22" i="8"/>
  <c r="G11" i="8"/>
  <c r="F14" i="8"/>
  <c r="F22" i="8"/>
  <c r="I23" i="8" l="1"/>
  <c r="D23" i="8"/>
  <c r="C32" i="9"/>
  <c r="C31" i="9"/>
  <c r="G5" i="9"/>
  <c r="F5" i="9"/>
  <c r="E5" i="9"/>
  <c r="D5" i="9"/>
  <c r="C5" i="9"/>
  <c r="D18" i="9" l="1"/>
  <c r="G18" i="9"/>
  <c r="F18" i="9"/>
  <c r="C18" i="9"/>
  <c r="E18" i="9"/>
  <c r="E7" i="9"/>
  <c r="F8" i="9"/>
  <c r="F9" i="9"/>
  <c r="F10" i="9"/>
  <c r="F11" i="9"/>
  <c r="C12" i="9"/>
  <c r="D14" i="9"/>
  <c r="F14" i="9"/>
  <c r="C15" i="9"/>
  <c r="C16" i="9"/>
  <c r="E16" i="9"/>
  <c r="D7" i="9"/>
  <c r="E8" i="9"/>
  <c r="E9" i="9"/>
  <c r="E10" i="9"/>
  <c r="E11" i="9"/>
  <c r="D12" i="9"/>
  <c r="F13" i="9"/>
  <c r="C14" i="9"/>
  <c r="E14" i="9"/>
  <c r="E15" i="9"/>
  <c r="G16" i="9"/>
  <c r="D17" i="9"/>
  <c r="F17" i="9"/>
  <c r="C7" i="9"/>
  <c r="D8" i="9"/>
  <c r="D9" i="9"/>
  <c r="D10" i="9"/>
  <c r="D11" i="9"/>
  <c r="F12" i="9"/>
  <c r="C13" i="9"/>
  <c r="E13" i="9"/>
  <c r="G14" i="9"/>
  <c r="D15" i="9"/>
  <c r="C17" i="9"/>
  <c r="E17" i="9"/>
  <c r="F7" i="9"/>
  <c r="C8" i="9"/>
  <c r="C9" i="9"/>
  <c r="C10" i="9"/>
  <c r="C11" i="9"/>
  <c r="E12" i="9"/>
  <c r="G13" i="9"/>
  <c r="D13" i="9"/>
  <c r="F15" i="9"/>
  <c r="D16" i="9"/>
  <c r="F16" i="9"/>
  <c r="G17" i="9"/>
  <c r="G6" i="9"/>
  <c r="F6" i="9"/>
  <c r="H23" i="8"/>
  <c r="F19" i="9" s="1"/>
  <c r="G23" i="8"/>
  <c r="E19" i="9" s="1"/>
  <c r="E6" i="9"/>
  <c r="F23" i="8"/>
  <c r="D19" i="9" s="1"/>
  <c r="D6" i="9"/>
  <c r="E23" i="8"/>
  <c r="C19" i="9" s="1"/>
  <c r="C6" i="9"/>
  <c r="C29" i="9" l="1"/>
  <c r="C26" i="9"/>
  <c r="D26" i="9"/>
  <c r="G9" i="9"/>
  <c r="G7" i="9"/>
  <c r="G19" i="9"/>
  <c r="C30" i="9" s="1"/>
  <c r="G15" i="9"/>
  <c r="D25" i="9" s="1"/>
  <c r="G12" i="9"/>
  <c r="G10" i="9"/>
  <c r="G11" i="9"/>
  <c r="G8" i="9"/>
  <c r="C24" i="9" l="1"/>
  <c r="C25" i="9"/>
  <c r="D24" i="9"/>
  <c r="G20" i="9"/>
</calcChain>
</file>

<file path=xl/sharedStrings.xml><?xml version="1.0" encoding="utf-8"?>
<sst xmlns="http://schemas.openxmlformats.org/spreadsheetml/2006/main" count="71" uniqueCount="52">
  <si>
    <t>Cumprimento do horário</t>
  </si>
  <si>
    <t>Qualidade do conteúdo</t>
  </si>
  <si>
    <t>Domínio do assunto</t>
  </si>
  <si>
    <t>Clareza e objetividade</t>
  </si>
  <si>
    <t>Didática</t>
  </si>
  <si>
    <t>Comunicação e linguagem</t>
  </si>
  <si>
    <t>Estímulo à participação do grupo</t>
  </si>
  <si>
    <t>F1</t>
  </si>
  <si>
    <t>Nº de respostas</t>
  </si>
  <si>
    <t>ÓTIMO</t>
  </si>
  <si>
    <t>BOM</t>
  </si>
  <si>
    <t>REGULAR</t>
  </si>
  <si>
    <t>RUIM</t>
  </si>
  <si>
    <t>PÉSSIMO</t>
  </si>
  <si>
    <t>TOTAL</t>
  </si>
  <si>
    <t>Formulário</t>
  </si>
  <si>
    <t>Itens avaliados:</t>
  </si>
  <si>
    <t>Organização</t>
  </si>
  <si>
    <t>Atendimento dos objetivos propostos</t>
  </si>
  <si>
    <t>SATISFAÇÃO GERAL</t>
  </si>
  <si>
    <t>INSATISFAÇÃO GERAL</t>
  </si>
  <si>
    <t>Avaliação Organização</t>
  </si>
  <si>
    <t>Material exposto (slides)</t>
  </si>
  <si>
    <t>Carga horária</t>
  </si>
  <si>
    <t>Material distribuído (apostilas) (somente treinamento)</t>
  </si>
  <si>
    <t>Aplicabilidade do conteúdo (somente treinamento)</t>
  </si>
  <si>
    <t>Atualizado em:</t>
  </si>
  <si>
    <t>Itens avaliados</t>
  </si>
  <si>
    <t>TABULAÇÃO DE AVALIAÇÕES DE PALESTRA/TREINAMENTO INTERNO</t>
  </si>
  <si>
    <t>Cumprimento do progama (somente treinamento)</t>
  </si>
  <si>
    <t>Palestrante/
Instrutor (a)</t>
  </si>
  <si>
    <t>Aspectos gerais da palestra/
treinamento</t>
  </si>
  <si>
    <t>Formulários respondidos</t>
  </si>
  <si>
    <r>
      <rPr>
        <u/>
        <sz val="10"/>
        <color indexed="8"/>
        <rFont val="Arial"/>
        <family val="2"/>
      </rPr>
      <t>Instrução</t>
    </r>
    <r>
      <rPr>
        <sz val="10"/>
        <color indexed="8"/>
        <rFont val="Arial"/>
        <family val="2"/>
      </rPr>
      <t>:  Os formulários respondidos devem ser codificados como F1, F2, F3 etc., de acordo com a quantidade de formulários. Para lançamento das avaliações considera-se: 5 = Ótimo; 4= Bom; 3 = Regular; 2 = Ruim e 1 = Péssimo.</t>
    </r>
  </si>
  <si>
    <t>Número de participantes:</t>
  </si>
  <si>
    <t>Número de respondentes:</t>
  </si>
  <si>
    <t>RESULTADOS</t>
  </si>
  <si>
    <t>% Satisfação</t>
  </si>
  <si>
    <t>% Insatisfação</t>
  </si>
  <si>
    <t>Avaliação dos aspectos gerais da palestra/treinamento</t>
  </si>
  <si>
    <t>Avaliação do palestrante/ instrutor (a)</t>
  </si>
  <si>
    <t>Resultados por item avaliado</t>
  </si>
  <si>
    <t>Resultados gerais</t>
  </si>
  <si>
    <t>Comentários/Sugestões</t>
  </si>
  <si>
    <t>Data:</t>
  </si>
  <si>
    <t>Tipo:</t>
  </si>
  <si>
    <t>Título:</t>
  </si>
  <si>
    <t>Instrutor:</t>
  </si>
  <si>
    <t>FQ-06.42 (anexo a IT-06.02.02) - RA - revisão 01 de 08/10/21 - Página 1/3</t>
  </si>
  <si>
    <r>
      <t xml:space="preserve">Responsável </t>
    </r>
    <r>
      <rPr>
        <sz val="10"/>
        <color theme="1"/>
        <rFont val="Arial"/>
        <family val="2"/>
      </rPr>
      <t>(preenchimento):</t>
    </r>
  </si>
  <si>
    <t>FQ-06.42 (anexo a IT-06.02.02) - RA - revisão 01 de 08/10/21 - Página 2/3</t>
  </si>
  <si>
    <t>FQ-06.42 (anexo a IT-06.02.02) - RA - revisão 01 de 08/10/21 - Página 3/3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</si>
</sst>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u/>
      <sz val="10"/>
      <color indexed="8"/>
      <name val="Arial"/>
      <family val="2"/>
    </font>
    <font>
      <sz val="10"/>
      <color indexed="8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name val="Arial"/>
      <family val="2"/>
    </font>
    <font>
      <b/>
      <i/>
      <sz val="11"/>
      <color rgb="FF008000"/>
      <name val="Calibri"/>
      <family val="2"/>
    </font>
    <font>
      <b/>
      <i/>
      <sz val="11"/>
      <color rgb="FF0000FF"/>
      <name val="Calibri"/>
      <family val="2"/>
    </font>
    <font>
      <b/>
      <i/>
      <sz val="11"/>
      <color rgb="FFFF0000"/>
      <name val="Calibri"/>
      <family val="2"/>
    </font>
    <font>
      <b/>
      <sz val="12"/>
      <color theme="0"/>
      <name val="Arial"/>
      <family val="2"/>
    </font>
    <font>
      <b/>
      <sz val="12"/>
      <color rgb="FF00206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2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0" fillId="0" borderId="0" xfId="0" applyFont="1"/>
    <xf numFmtId="49" fontId="6" fillId="0" borderId="0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left" vertical="center" wrapText="1"/>
    </xf>
    <xf numFmtId="0" fontId="7" fillId="0" borderId="0" xfId="0" applyFont="1" applyAlignment="1">
      <alignment vertical="center"/>
    </xf>
    <xf numFmtId="0" fontId="0" fillId="0" borderId="0" xfId="0" applyAlignment="1">
      <alignment horizontal="center"/>
    </xf>
    <xf numFmtId="0" fontId="6" fillId="0" borderId="1" xfId="0" applyFont="1" applyBorder="1" applyAlignment="1">
      <alignment vertical="center" wrapText="1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vertical="center" wrapText="1"/>
    </xf>
    <xf numFmtId="0" fontId="6" fillId="0" borderId="2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vertical="center" wrapText="1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6" fillId="0" borderId="3" xfId="0" applyFont="1" applyBorder="1" applyAlignment="1">
      <alignment vertical="center" wrapText="1"/>
    </xf>
    <xf numFmtId="0" fontId="6" fillId="0" borderId="3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vertical="center" wrapText="1"/>
    </xf>
    <xf numFmtId="0" fontId="5" fillId="0" borderId="1" xfId="0" applyFont="1" applyBorder="1" applyAlignment="1">
      <alignment horizontal="right"/>
    </xf>
    <xf numFmtId="0" fontId="5" fillId="0" borderId="1" xfId="0" applyFont="1" applyBorder="1" applyAlignment="1">
      <alignment horizontal="right" wrapText="1"/>
    </xf>
    <xf numFmtId="0" fontId="6" fillId="0" borderId="1" xfId="0" applyFont="1" applyBorder="1" applyAlignment="1">
      <alignment horizontal="right"/>
    </xf>
    <xf numFmtId="0" fontId="6" fillId="0" borderId="0" xfId="0" applyFont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0" fontId="6" fillId="0" borderId="31" xfId="0" applyFont="1" applyBorder="1" applyAlignment="1">
      <alignment vertical="center" wrapText="1"/>
    </xf>
    <xf numFmtId="0" fontId="0" fillId="0" borderId="0" xfId="0" applyProtection="1">
      <protection locked="0"/>
    </xf>
    <xf numFmtId="49" fontId="5" fillId="0" borderId="0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left" wrapText="1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6" fillId="0" borderId="32" xfId="0" applyFont="1" applyBorder="1" applyAlignment="1" applyProtection="1">
      <alignment horizontal="center" vertical="center" wrapText="1"/>
      <protection locked="0"/>
    </xf>
    <xf numFmtId="0" fontId="6" fillId="0" borderId="3" xfId="0" applyFont="1" applyBorder="1" applyAlignment="1" applyProtection="1">
      <alignment horizontal="center" vertical="center" wrapText="1"/>
      <protection locked="0"/>
    </xf>
    <xf numFmtId="0" fontId="6" fillId="2" borderId="3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1" xfId="0" applyFont="1" applyBorder="1" applyAlignment="1" applyProtection="1">
      <alignment horizontal="center" vertical="center"/>
      <protection locked="0"/>
    </xf>
    <xf numFmtId="0" fontId="7" fillId="0" borderId="27" xfId="0" applyFont="1" applyBorder="1" applyAlignment="1">
      <alignment horizontal="center"/>
    </xf>
    <xf numFmtId="0" fontId="5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wrapText="1"/>
    </xf>
    <xf numFmtId="0" fontId="5" fillId="4" borderId="3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6" fillId="0" borderId="31" xfId="0" applyFont="1" applyBorder="1" applyAlignment="1" applyProtection="1">
      <alignment horizontal="center" vertical="center"/>
      <protection locked="0"/>
    </xf>
    <xf numFmtId="0" fontId="5" fillId="0" borderId="12" xfId="0" applyFont="1" applyBorder="1" applyAlignment="1" applyProtection="1">
      <alignment horizontal="center" vertical="center"/>
      <protection locked="0"/>
    </xf>
    <xf numFmtId="0" fontId="5" fillId="0" borderId="34" xfId="0" applyFont="1" applyBorder="1" applyAlignment="1" applyProtection="1">
      <alignment horizontal="center" vertical="center"/>
      <protection locked="0"/>
    </xf>
    <xf numFmtId="49" fontId="5" fillId="0" borderId="13" xfId="0" applyNumberFormat="1" applyFont="1" applyBorder="1" applyAlignment="1" applyProtection="1">
      <alignment horizontal="center" vertical="center"/>
      <protection locked="0"/>
    </xf>
    <xf numFmtId="0" fontId="6" fillId="0" borderId="14" xfId="0" applyFont="1" applyBorder="1" applyAlignment="1" applyProtection="1">
      <alignment horizontal="left" wrapText="1"/>
      <protection locked="0"/>
    </xf>
    <xf numFmtId="49" fontId="5" fillId="0" borderId="11" xfId="0" applyNumberFormat="1" applyFont="1" applyBorder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left" wrapText="1"/>
      <protection locked="0"/>
    </xf>
    <xf numFmtId="49" fontId="5" fillId="0" borderId="12" xfId="0" applyNumberFormat="1" applyFont="1" applyBorder="1" applyAlignment="1" applyProtection="1">
      <alignment horizontal="center" vertical="center"/>
      <protection locked="0"/>
    </xf>
    <xf numFmtId="0" fontId="6" fillId="0" borderId="7" xfId="0" applyFont="1" applyBorder="1" applyAlignment="1" applyProtection="1">
      <alignment horizontal="left" wrapText="1"/>
      <protection locked="0"/>
    </xf>
    <xf numFmtId="10" fontId="6" fillId="0" borderId="1" xfId="0" applyNumberFormat="1" applyFont="1" applyBorder="1" applyAlignment="1">
      <alignment horizontal="center" vertical="center"/>
    </xf>
    <xf numFmtId="0" fontId="1" fillId="2" borderId="0" xfId="0" applyFont="1" applyFill="1" applyBorder="1" applyAlignment="1">
      <alignment vertical="center" wrapText="1"/>
    </xf>
    <xf numFmtId="0" fontId="0" fillId="2" borderId="0" xfId="0" applyFill="1" applyBorder="1" applyAlignment="1"/>
    <xf numFmtId="0" fontId="1" fillId="4" borderId="11" xfId="0" applyFont="1" applyFill="1" applyBorder="1" applyAlignment="1">
      <alignment vertical="center" wrapText="1"/>
    </xf>
    <xf numFmtId="0" fontId="1" fillId="4" borderId="13" xfId="0" applyFont="1" applyFill="1" applyBorder="1" applyAlignment="1">
      <alignment horizontal="left" vertical="center" wrapText="1"/>
    </xf>
    <xf numFmtId="0" fontId="6" fillId="0" borderId="6" xfId="0" applyFont="1" applyBorder="1" applyAlignment="1" applyProtection="1">
      <alignment horizontal="center" vertical="center"/>
      <protection locked="0"/>
    </xf>
    <xf numFmtId="0" fontId="1" fillId="4" borderId="45" xfId="0" applyFont="1" applyFill="1" applyBorder="1" applyAlignment="1">
      <alignment vertical="center" wrapText="1"/>
    </xf>
    <xf numFmtId="0" fontId="6" fillId="0" borderId="31" xfId="0" applyFont="1" applyBorder="1" applyAlignment="1" applyProtection="1">
      <alignment horizontal="left" vertical="center"/>
      <protection locked="0"/>
    </xf>
    <xf numFmtId="0" fontId="6" fillId="0" borderId="14" xfId="0" applyFont="1" applyBorder="1" applyAlignment="1" applyProtection="1">
      <alignment horizontal="left" vertical="center"/>
      <protection locked="0"/>
    </xf>
    <xf numFmtId="0" fontId="6" fillId="0" borderId="44" xfId="0" applyFont="1" applyBorder="1" applyAlignment="1" applyProtection="1">
      <alignment horizontal="left" vertical="center"/>
      <protection locked="0"/>
    </xf>
    <xf numFmtId="0" fontId="6" fillId="5" borderId="26" xfId="0" applyNumberFormat="1" applyFont="1" applyFill="1" applyBorder="1" applyAlignment="1" applyProtection="1">
      <alignment horizontal="left" vertical="center"/>
      <protection locked="0"/>
    </xf>
    <xf numFmtId="0" fontId="5" fillId="4" borderId="18" xfId="0" applyFont="1" applyFill="1" applyBorder="1" applyAlignment="1">
      <alignment horizontal="left" vertical="center"/>
    </xf>
    <xf numFmtId="14" fontId="6" fillId="2" borderId="23" xfId="0" applyNumberFormat="1" applyFont="1" applyFill="1" applyBorder="1" applyAlignment="1" applyProtection="1">
      <alignment horizontal="left" vertical="center"/>
      <protection locked="0"/>
    </xf>
    <xf numFmtId="0" fontId="5" fillId="4" borderId="35" xfId="0" applyFont="1" applyFill="1" applyBorder="1" applyAlignment="1">
      <alignment vertical="center" wrapText="1"/>
    </xf>
    <xf numFmtId="0" fontId="5" fillId="4" borderId="46" xfId="0" applyFont="1" applyFill="1" applyBorder="1" applyAlignment="1">
      <alignment horizontal="right" vertical="center"/>
    </xf>
    <xf numFmtId="0" fontId="5" fillId="4" borderId="6" xfId="0" applyFont="1" applyFill="1" applyBorder="1" applyAlignment="1">
      <alignment vertical="center" wrapText="1"/>
    </xf>
    <xf numFmtId="0" fontId="6" fillId="0" borderId="22" xfId="0" applyNumberFormat="1" applyFont="1" applyBorder="1" applyAlignment="1" applyProtection="1">
      <alignment horizontal="center" vertical="center"/>
      <protection locked="0"/>
    </xf>
    <xf numFmtId="0" fontId="6" fillId="0" borderId="23" xfId="0" applyNumberFormat="1" applyFont="1" applyBorder="1" applyAlignment="1" applyProtection="1">
      <alignment horizontal="center" vertical="center"/>
      <protection locked="0"/>
    </xf>
    <xf numFmtId="0" fontId="14" fillId="3" borderId="15" xfId="0" applyFont="1" applyFill="1" applyBorder="1" applyAlignment="1">
      <alignment horizontal="center"/>
    </xf>
    <xf numFmtId="0" fontId="14" fillId="3" borderId="16" xfId="0" applyFont="1" applyFill="1" applyBorder="1" applyAlignment="1">
      <alignment horizontal="center"/>
    </xf>
    <xf numFmtId="0" fontId="14" fillId="3" borderId="17" xfId="0" applyFont="1" applyFill="1" applyBorder="1" applyAlignment="1">
      <alignment horizontal="center"/>
    </xf>
    <xf numFmtId="0" fontId="5" fillId="0" borderId="15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14" fontId="6" fillId="0" borderId="6" xfId="0" applyNumberFormat="1" applyFont="1" applyBorder="1" applyAlignment="1" applyProtection="1">
      <alignment horizontal="left" vertical="center"/>
      <protection locked="0"/>
    </xf>
    <xf numFmtId="0" fontId="6" fillId="0" borderId="7" xfId="0" applyFont="1" applyBorder="1" applyAlignment="1" applyProtection="1">
      <alignment horizontal="left" vertical="center"/>
      <protection locked="0"/>
    </xf>
    <xf numFmtId="0" fontId="5" fillId="0" borderId="2" xfId="0" applyFont="1" applyFill="1" applyBorder="1" applyAlignment="1">
      <alignment horizontal="center" vertical="center" wrapText="1"/>
    </xf>
    <xf numFmtId="0" fontId="5" fillId="0" borderId="6" xfId="0" applyFont="1" applyFill="1" applyBorder="1" applyAlignment="1">
      <alignment horizontal="center" vertical="center" wrapText="1"/>
    </xf>
    <xf numFmtId="0" fontId="9" fillId="0" borderId="4" xfId="0" applyFont="1" applyFill="1" applyBorder="1" applyAlignment="1">
      <alignment horizontal="center" vertical="center" wrapText="1"/>
    </xf>
    <xf numFmtId="0" fontId="9" fillId="0" borderId="30" xfId="0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29" xfId="0" applyFont="1" applyBorder="1" applyAlignment="1">
      <alignment horizontal="center" vertical="center" wrapText="1"/>
    </xf>
    <xf numFmtId="0" fontId="5" fillId="4" borderId="39" xfId="0" applyFont="1" applyFill="1" applyBorder="1" applyAlignment="1">
      <alignment horizontal="right" vertical="center" wrapText="1"/>
    </xf>
    <xf numFmtId="0" fontId="5" fillId="4" borderId="42" xfId="0" applyFont="1" applyFill="1" applyBorder="1" applyAlignment="1">
      <alignment horizontal="right" vertical="center" wrapText="1"/>
    </xf>
    <xf numFmtId="0" fontId="5" fillId="4" borderId="41" xfId="0" applyFont="1" applyFill="1" applyBorder="1" applyAlignment="1">
      <alignment horizontal="right" vertical="center" wrapText="1"/>
    </xf>
    <xf numFmtId="0" fontId="15" fillId="2" borderId="48" xfId="0" applyFont="1" applyFill="1" applyBorder="1" applyAlignment="1" applyProtection="1">
      <alignment horizontal="center" vertical="center"/>
      <protection locked="0"/>
    </xf>
    <xf numFmtId="0" fontId="15" fillId="2" borderId="47" xfId="0" applyFont="1" applyFill="1" applyBorder="1" applyAlignment="1" applyProtection="1">
      <alignment horizontal="center" vertical="center"/>
      <protection locked="0"/>
    </xf>
    <xf numFmtId="0" fontId="15" fillId="2" borderId="49" xfId="0" applyFont="1" applyFill="1" applyBorder="1" applyAlignment="1" applyProtection="1">
      <alignment horizontal="center" vertical="center"/>
      <protection locked="0"/>
    </xf>
    <xf numFmtId="0" fontId="0" fillId="2" borderId="23" xfId="0" applyFill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5" fillId="0" borderId="18" xfId="0" applyFont="1" applyBorder="1" applyAlignment="1">
      <alignment horizontal="center" vertical="center" textRotation="90" wrapText="1"/>
    </xf>
    <xf numFmtId="0" fontId="5" fillId="0" borderId="19" xfId="0" applyFont="1" applyBorder="1" applyAlignment="1">
      <alignment horizontal="center" vertical="center" textRotation="90" wrapText="1"/>
    </xf>
    <xf numFmtId="0" fontId="5" fillId="0" borderId="20" xfId="0" applyFont="1" applyBorder="1" applyAlignment="1">
      <alignment horizontal="center" vertical="center" textRotation="90" wrapText="1"/>
    </xf>
    <xf numFmtId="0" fontId="6" fillId="0" borderId="22" xfId="0" applyNumberFormat="1" applyFont="1" applyBorder="1" applyAlignment="1" applyProtection="1">
      <alignment horizontal="left" vertical="center"/>
      <protection locked="0"/>
    </xf>
    <xf numFmtId="0" fontId="0" fillId="0" borderId="40" xfId="0" applyBorder="1" applyAlignment="1">
      <alignment horizontal="center"/>
    </xf>
    <xf numFmtId="0" fontId="10" fillId="0" borderId="0" xfId="0" applyFont="1" applyAlignment="1">
      <alignment horizontal="left" vertical="center"/>
    </xf>
    <xf numFmtId="0" fontId="5" fillId="0" borderId="21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8" xfId="0" applyFont="1" applyBorder="1" applyAlignment="1">
      <alignment horizontal="center" vertical="center" wrapText="1"/>
    </xf>
    <xf numFmtId="0" fontId="6" fillId="0" borderId="0" xfId="0" applyFont="1" applyAlignment="1">
      <alignment horizontal="left" vertical="center" wrapText="1"/>
    </xf>
    <xf numFmtId="0" fontId="6" fillId="0" borderId="0" xfId="0" applyFont="1" applyAlignment="1">
      <alignment horizontal="left" vertical="center"/>
    </xf>
    <xf numFmtId="49" fontId="1" fillId="4" borderId="18" xfId="0" applyNumberFormat="1" applyFont="1" applyFill="1" applyBorder="1" applyAlignment="1">
      <alignment horizontal="center" vertical="center"/>
    </xf>
    <xf numFmtId="49" fontId="1" fillId="4" borderId="24" xfId="0" applyNumberFormat="1" applyFont="1" applyFill="1" applyBorder="1" applyAlignment="1">
      <alignment horizontal="center" vertical="center"/>
    </xf>
    <xf numFmtId="49" fontId="1" fillId="4" borderId="25" xfId="0" applyNumberFormat="1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 wrapText="1"/>
    </xf>
    <xf numFmtId="0" fontId="5" fillId="4" borderId="10" xfId="0" applyFont="1" applyFill="1" applyBorder="1" applyAlignment="1">
      <alignment horizontal="center" vertical="center" wrapText="1"/>
    </xf>
    <xf numFmtId="10" fontId="5" fillId="0" borderId="22" xfId="0" applyNumberFormat="1" applyFont="1" applyBorder="1" applyAlignment="1">
      <alignment horizontal="center"/>
    </xf>
    <xf numFmtId="10" fontId="5" fillId="0" borderId="26" xfId="0" applyNumberFormat="1" applyFont="1" applyBorder="1" applyAlignment="1">
      <alignment horizontal="center"/>
    </xf>
    <xf numFmtId="1" fontId="6" fillId="0" borderId="22" xfId="0" applyNumberFormat="1" applyFont="1" applyBorder="1" applyAlignment="1">
      <alignment horizontal="center"/>
    </xf>
    <xf numFmtId="1" fontId="6" fillId="0" borderId="26" xfId="0" applyNumberFormat="1" applyFont="1" applyBorder="1" applyAlignment="1">
      <alignment horizontal="center"/>
    </xf>
    <xf numFmtId="14" fontId="1" fillId="0" borderId="27" xfId="0" applyNumberFormat="1" applyFont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7" fillId="0" borderId="15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5" fillId="4" borderId="1" xfId="0" applyFont="1" applyFill="1" applyBorder="1" applyAlignment="1">
      <alignment horizontal="center" wrapText="1"/>
    </xf>
    <xf numFmtId="10" fontId="5" fillId="0" borderId="1" xfId="0" applyNumberFormat="1" applyFont="1" applyBorder="1" applyAlignment="1">
      <alignment horizontal="center"/>
    </xf>
    <xf numFmtId="0" fontId="5" fillId="0" borderId="28" xfId="0" applyFont="1" applyBorder="1" applyAlignment="1">
      <alignment horizontal="center" vertical="center" textRotation="90" wrapText="1"/>
    </xf>
    <xf numFmtId="0" fontId="5" fillId="0" borderId="11" xfId="0" applyFont="1" applyBorder="1" applyAlignment="1">
      <alignment horizontal="center" vertical="center" textRotation="90" wrapText="1"/>
    </xf>
    <xf numFmtId="0" fontId="5" fillId="0" borderId="12" xfId="0" applyFont="1" applyBorder="1" applyAlignment="1">
      <alignment horizontal="center" vertical="center" textRotation="90" wrapText="1"/>
    </xf>
    <xf numFmtId="0" fontId="1" fillId="0" borderId="15" xfId="0" applyFont="1" applyBorder="1" applyAlignment="1" applyProtection="1">
      <alignment horizontal="center" vertical="center"/>
    </xf>
    <xf numFmtId="0" fontId="1" fillId="0" borderId="17" xfId="0" applyFont="1" applyBorder="1" applyAlignment="1" applyProtection="1">
      <alignment horizontal="center" vertical="center"/>
    </xf>
    <xf numFmtId="49" fontId="1" fillId="4" borderId="8" xfId="0" applyNumberFormat="1" applyFont="1" applyFill="1" applyBorder="1" applyAlignment="1" applyProtection="1">
      <alignment horizontal="center" vertical="center"/>
    </xf>
    <xf numFmtId="0" fontId="1" fillId="4" borderId="9" xfId="0" applyFont="1" applyFill="1" applyBorder="1" applyAlignment="1" applyProtection="1">
      <alignment horizontal="center" vertical="center"/>
    </xf>
    <xf numFmtId="14" fontId="1" fillId="0" borderId="15" xfId="0" applyNumberFormat="1" applyFont="1" applyBorder="1" applyAlignment="1" applyProtection="1">
      <alignment horizontal="center" vertical="center"/>
    </xf>
    <xf numFmtId="14" fontId="1" fillId="0" borderId="17" xfId="0" applyNumberFormat="1" applyFont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4</xdr:row>
          <xdr:rowOff>47625</xdr:rowOff>
        </xdr:from>
        <xdr:to>
          <xdr:col>11</xdr:col>
          <xdr:colOff>104775</xdr:colOff>
          <xdr:row>5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1" u="none" strike="noStrike" baseline="0">
                  <a:solidFill>
                    <a:srgbClr val="008000"/>
                  </a:solidFill>
                  <a:latin typeface="Calibri"/>
                </a:rPr>
                <a:t>Inserir Formulários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5</xdr:row>
          <xdr:rowOff>171450</xdr:rowOff>
        </xdr:from>
        <xdr:to>
          <xdr:col>11</xdr:col>
          <xdr:colOff>323850</xdr:colOff>
          <xdr:row>7</xdr:row>
          <xdr:rowOff>19050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1" u="none" strike="noStrike" baseline="0">
                  <a:solidFill>
                    <a:srgbClr val="0000FF"/>
                  </a:solidFill>
                  <a:latin typeface="Calibri"/>
                </a:rPr>
                <a:t>Inserir Coluna a Coluna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7</xdr:row>
          <xdr:rowOff>161925</xdr:rowOff>
        </xdr:from>
        <xdr:to>
          <xdr:col>10</xdr:col>
          <xdr:colOff>571500</xdr:colOff>
          <xdr:row>8</xdr:row>
          <xdr:rowOff>295275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1" u="none" strike="noStrike" baseline="0">
                  <a:solidFill>
                    <a:srgbClr val="FF0000"/>
                  </a:solidFill>
                  <a:latin typeface="Calibri"/>
                </a:rPr>
                <a:t>Deletar Colunas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I27"/>
  <sheetViews>
    <sheetView tabSelected="1" zoomScale="90" zoomScaleNormal="90" workbookViewId="0">
      <selection activeCell="I5" sqref="I5"/>
    </sheetView>
  </sheetViews>
  <sheetFormatPr defaultRowHeight="15" x14ac:dyDescent="0.25"/>
  <cols>
    <col min="1" max="1" width="11.7109375" customWidth="1"/>
    <col min="2" max="2" width="41.85546875" style="5" customWidth="1"/>
    <col min="3" max="3" width="7.5703125" style="43" customWidth="1"/>
    <col min="4" max="5" width="26.42578125" style="6" bestFit="1" customWidth="1"/>
    <col min="6" max="6" width="22.7109375" style="6" customWidth="1"/>
    <col min="7" max="7" width="13.5703125" style="6" bestFit="1" customWidth="1"/>
    <col min="8" max="8" width="9" style="6" customWidth="1"/>
    <col min="9" max="9" width="10.85546875" style="6" customWidth="1"/>
  </cols>
  <sheetData>
    <row r="1" spans="1:9" ht="16.5" thickBot="1" x14ac:dyDescent="0.3">
      <c r="A1" s="80" t="s">
        <v>28</v>
      </c>
      <c r="B1" s="81"/>
      <c r="C1" s="81"/>
      <c r="D1" s="81"/>
      <c r="E1" s="81"/>
      <c r="F1" s="81"/>
      <c r="G1" s="81"/>
      <c r="H1" s="81"/>
      <c r="I1" s="82"/>
    </row>
    <row r="2" spans="1:9" ht="4.5" customHeight="1" thickBot="1" x14ac:dyDescent="0.3">
      <c r="A2" s="45"/>
      <c r="B2" s="45"/>
      <c r="C2" s="45"/>
      <c r="D2" s="45"/>
      <c r="E2" s="45"/>
      <c r="F2" s="45"/>
      <c r="G2" s="45"/>
      <c r="H2" s="45"/>
      <c r="I2" s="45"/>
    </row>
    <row r="3" spans="1:9" ht="21" customHeight="1" x14ac:dyDescent="0.25">
      <c r="A3" s="73" t="s">
        <v>45</v>
      </c>
      <c r="B3" s="96"/>
      <c r="C3" s="97"/>
      <c r="D3" s="97"/>
      <c r="E3" s="97"/>
      <c r="F3" s="97"/>
      <c r="G3" s="97"/>
      <c r="H3" s="97"/>
      <c r="I3" s="98"/>
    </row>
    <row r="4" spans="1:9" ht="27" customHeight="1" x14ac:dyDescent="0.25">
      <c r="A4" s="65" t="s">
        <v>44</v>
      </c>
      <c r="B4" s="74"/>
      <c r="C4" s="99"/>
      <c r="D4" s="99"/>
      <c r="E4" s="99"/>
      <c r="F4" s="99"/>
      <c r="G4" s="99"/>
      <c r="H4" s="99"/>
      <c r="I4" s="100"/>
    </row>
    <row r="5" spans="1:9" ht="27.75" customHeight="1" x14ac:dyDescent="0.25">
      <c r="A5" s="66" t="s">
        <v>46</v>
      </c>
      <c r="B5" s="78"/>
      <c r="C5" s="79"/>
      <c r="D5" s="76" t="s">
        <v>34</v>
      </c>
      <c r="E5" s="69"/>
      <c r="F5" s="93" t="s">
        <v>35</v>
      </c>
      <c r="G5" s="94"/>
      <c r="H5" s="95"/>
      <c r="I5" s="70"/>
    </row>
    <row r="6" spans="1:9" ht="25.5" customHeight="1" thickBot="1" x14ac:dyDescent="0.3">
      <c r="A6" s="68" t="s">
        <v>47</v>
      </c>
      <c r="B6" s="104"/>
      <c r="C6" s="79"/>
      <c r="D6" s="72"/>
      <c r="E6" s="77" t="s">
        <v>49</v>
      </c>
      <c r="F6" s="71"/>
      <c r="G6" s="75" t="s">
        <v>26</v>
      </c>
      <c r="H6" s="85"/>
      <c r="I6" s="86"/>
    </row>
    <row r="7" spans="1:9" ht="12.75" customHeight="1" thickBot="1" x14ac:dyDescent="0.3">
      <c r="A7" s="63"/>
      <c r="B7" s="64"/>
      <c r="C7" s="105"/>
      <c r="D7" s="105"/>
      <c r="E7" s="105"/>
      <c r="F7" s="105"/>
      <c r="G7" s="105"/>
      <c r="H7" s="105"/>
      <c r="I7" s="105"/>
    </row>
    <row r="8" spans="1:9" x14ac:dyDescent="0.25">
      <c r="A8" s="107" t="s">
        <v>27</v>
      </c>
      <c r="B8" s="108"/>
      <c r="C8" s="55" t="s">
        <v>32</v>
      </c>
      <c r="D8" s="87" t="s">
        <v>8</v>
      </c>
      <c r="E8" s="91" t="s">
        <v>9</v>
      </c>
      <c r="F8" s="91" t="s">
        <v>10</v>
      </c>
      <c r="G8" s="91" t="s">
        <v>11</v>
      </c>
      <c r="H8" s="91" t="s">
        <v>12</v>
      </c>
      <c r="I8" s="89" t="s">
        <v>13</v>
      </c>
    </row>
    <row r="9" spans="1:9" ht="31.5" customHeight="1" thickBot="1" x14ac:dyDescent="0.3">
      <c r="A9" s="109"/>
      <c r="B9" s="110"/>
      <c r="C9" s="54" t="s">
        <v>7</v>
      </c>
      <c r="D9" s="88"/>
      <c r="E9" s="92"/>
      <c r="F9" s="92"/>
      <c r="G9" s="92"/>
      <c r="H9" s="92"/>
      <c r="I9" s="90"/>
    </row>
    <row r="10" spans="1:9" ht="18.75" customHeight="1" x14ac:dyDescent="0.25">
      <c r="A10" s="101" t="s">
        <v>31</v>
      </c>
      <c r="B10" s="14" t="s">
        <v>23</v>
      </c>
      <c r="C10" s="53"/>
      <c r="D10" s="31">
        <f ca="1">COUNT(INDIRECT("C10:"&amp;ADDRESS(10,COLUMN()-1)))</f>
        <v>0</v>
      </c>
      <c r="E10" s="15">
        <f ca="1">COUNTIF(INDIRECT("C10:"&amp;ADDRESS(10,COLUMN()-2)),"=5")</f>
        <v>0</v>
      </c>
      <c r="F10" s="15">
        <f ca="1">COUNTIF(INDIRECT("C10:"&amp;ADDRESS(10,COLUMN()-3)),"=4")</f>
        <v>0</v>
      </c>
      <c r="G10" s="15">
        <f ca="1">COUNTIF(INDIRECT("C10:"&amp;ADDRESS(10,COLUMN()-4)),"=3")</f>
        <v>0</v>
      </c>
      <c r="H10" s="15">
        <f ca="1">COUNTIF(INDIRECT("C10:"&amp;ADDRESS(10,COLUMN()-5)),"=2")</f>
        <v>0</v>
      </c>
      <c r="I10" s="16">
        <f ca="1">COUNTIF(INDIRECT("C10:"&amp;ADDRESS(10,COLUMN()-6)),"=1")</f>
        <v>0</v>
      </c>
    </row>
    <row r="11" spans="1:9" ht="18.75" customHeight="1" x14ac:dyDescent="0.25">
      <c r="A11" s="102"/>
      <c r="B11" s="12" t="s">
        <v>22</v>
      </c>
      <c r="C11" s="44"/>
      <c r="D11" s="30">
        <f ca="1">COUNT(INDIRECT("C11:"&amp;ADDRESS(11,COLUMN()-1)))</f>
        <v>0</v>
      </c>
      <c r="E11" s="30">
        <f ca="1">COUNTIF(INDIRECT("C11:"&amp;ADDRESS(11,COLUMN()-2)),"=5")</f>
        <v>0</v>
      </c>
      <c r="F11" s="30">
        <f ca="1">COUNTIF(INDIRECT("C11:"&amp;ADDRESS(11,COLUMN()-3)),"=4")</f>
        <v>0</v>
      </c>
      <c r="G11" s="30">
        <f ca="1">COUNTIF(INDIRECT("C11:"&amp;ADDRESS(11,COLUMN()-4)),"=3")</f>
        <v>0</v>
      </c>
      <c r="H11" s="30">
        <f ca="1">COUNTIF(INDIRECT("C11:"&amp;ADDRESS(11,COLUMN()-5)),"=2")</f>
        <v>0</v>
      </c>
      <c r="I11" s="17">
        <f ca="1">COUNTIF(INDIRECT("C11:"&amp;ADDRESS(11,COLUMN()-6)),"=1")</f>
        <v>0</v>
      </c>
    </row>
    <row r="12" spans="1:9" ht="18.75" customHeight="1" x14ac:dyDescent="0.25">
      <c r="A12" s="102"/>
      <c r="B12" s="12" t="s">
        <v>18</v>
      </c>
      <c r="C12" s="44"/>
      <c r="D12" s="30">
        <f ca="1">COUNT(INDIRECT("C12:"&amp;ADDRESS(12,COLUMN()-1)))</f>
        <v>0</v>
      </c>
      <c r="E12" s="30">
        <f ca="1">COUNTIF(INDIRECT("C12:"&amp;ADDRESS(12,COLUMN()-2)),"=5")</f>
        <v>0</v>
      </c>
      <c r="F12" s="30">
        <f ca="1">COUNTIF(INDIRECT("C12:"&amp;ADDRESS(12,COLUMN()-3)),"=4")</f>
        <v>0</v>
      </c>
      <c r="G12" s="30">
        <f ca="1">COUNTIF(INDIRECT("C12:"&amp;ADDRESS(12,COLUMN()-4)),"=3")</f>
        <v>0</v>
      </c>
      <c r="H12" s="30">
        <f ca="1">COUNTIF(INDIRECT("C12:"&amp;ADDRESS(12,COLUMN()-5)),"=2")</f>
        <v>0</v>
      </c>
      <c r="I12" s="17">
        <f ca="1">COUNTIF(INDIRECT("C12:"&amp;ADDRESS(12,COLUMN()-6)),"=1")</f>
        <v>0</v>
      </c>
    </row>
    <row r="13" spans="1:9" ht="18.75" customHeight="1" x14ac:dyDescent="0.25">
      <c r="A13" s="102"/>
      <c r="B13" s="12" t="s">
        <v>1</v>
      </c>
      <c r="C13" s="44"/>
      <c r="D13" s="30">
        <f ca="1">COUNT(INDIRECT("C13:"&amp;ADDRESS(13,COLUMN()-1)))</f>
        <v>0</v>
      </c>
      <c r="E13" s="30">
        <f ca="1">COUNTIF(INDIRECT("C13:"&amp;ADDRESS(13,COLUMN()-2)),"=5")</f>
        <v>0</v>
      </c>
      <c r="F13" s="30">
        <f ca="1">COUNTIF(INDIRECT("C13:"&amp;ADDRESS(13,COLUMN()-3)),"=4")</f>
        <v>0</v>
      </c>
      <c r="G13" s="30">
        <f ca="1">COUNTIF(INDIRECT("C13:"&amp;ADDRESS(13,COLUMN()-4)),"=3")</f>
        <v>0</v>
      </c>
      <c r="H13" s="30">
        <f ca="1">COUNTIF(INDIRECT("C13:"&amp;ADDRESS(13,COLUMN()-5)),"=2")</f>
        <v>0</v>
      </c>
      <c r="I13" s="17">
        <f ca="1">COUNTIF(INDIRECT("C13:"&amp;ADDRESS(13,COLUMN()-6)),"=1")</f>
        <v>0</v>
      </c>
    </row>
    <row r="14" spans="1:9" ht="24" customHeight="1" x14ac:dyDescent="0.25">
      <c r="A14" s="102"/>
      <c r="B14" s="12" t="s">
        <v>29</v>
      </c>
      <c r="C14" s="44"/>
      <c r="D14" s="30">
        <f ca="1">COUNT(INDIRECT("C14:"&amp;ADDRESS(14,COLUMN()-1)))</f>
        <v>0</v>
      </c>
      <c r="E14" s="30">
        <f ca="1">COUNTIF(INDIRECT("C14:"&amp;ADDRESS(14,COLUMN()-2)),"=5")</f>
        <v>0</v>
      </c>
      <c r="F14" s="30">
        <f ca="1">COUNTIF(INDIRECT("C14:"&amp;ADDRESS(14,COLUMN()-3)),"=4")</f>
        <v>0</v>
      </c>
      <c r="G14" s="30">
        <f ca="1">COUNTIF(INDIRECT("C14:"&amp;ADDRESS(14,COLUMN()-4)),"=3")</f>
        <v>0</v>
      </c>
      <c r="H14" s="30">
        <f ca="1">COUNTIF(INDIRECT("C14:"&amp;ADDRESS(14,COLUMN()-5)),"=2")</f>
        <v>0</v>
      </c>
      <c r="I14" s="17">
        <f ca="1">COUNTIF(INDIRECT("C14:"&amp;ADDRESS(14,COLUMN()-6)),"=1")</f>
        <v>0</v>
      </c>
    </row>
    <row r="15" spans="1:9" ht="28.5" customHeight="1" x14ac:dyDescent="0.25">
      <c r="A15" s="102"/>
      <c r="B15" s="12" t="s">
        <v>24</v>
      </c>
      <c r="C15" s="44"/>
      <c r="D15" s="30">
        <f ca="1">COUNT(INDIRECT("C15:"&amp;ADDRESS(15,COLUMN()-1)))</f>
        <v>0</v>
      </c>
      <c r="E15" s="30">
        <f ca="1">COUNTIF(INDIRECT("C15:"&amp;ADDRESS(15,COLUMN()-2)),"=5")</f>
        <v>0</v>
      </c>
      <c r="F15" s="30">
        <f ca="1">COUNTIF(INDIRECT("C15:"&amp;ADDRESS(15,COLUMN()-3)),"=4")</f>
        <v>0</v>
      </c>
      <c r="G15" s="30">
        <f ca="1">COUNTIF(INDIRECT("C15:"&amp;ADDRESS(15,COLUMN()-4)),"=3")</f>
        <v>0</v>
      </c>
      <c r="H15" s="30">
        <f ca="1">COUNTIF(INDIRECT("C15:"&amp;ADDRESS(15,COLUMN()-5)),"=2")</f>
        <v>0</v>
      </c>
      <c r="I15" s="17">
        <f ca="1">COUNTIF(INDIRECT("C15:"&amp;ADDRESS(15,COLUMN()-6)),"=1")</f>
        <v>0</v>
      </c>
    </row>
    <row r="16" spans="1:9" ht="26.25" customHeight="1" thickBot="1" x14ac:dyDescent="0.3">
      <c r="A16" s="103"/>
      <c r="B16" s="18" t="s">
        <v>25</v>
      </c>
      <c r="C16" s="67"/>
      <c r="D16" s="19">
        <f ca="1">COUNT(INDIRECT("C16:"&amp;ADDRESS(16,COLUMN()-1)))</f>
        <v>0</v>
      </c>
      <c r="E16" s="19">
        <f ca="1">COUNTIF(INDIRECT("C16:"&amp;ADDRESS(16,COLUMN()-2)),"=5")</f>
        <v>0</v>
      </c>
      <c r="F16" s="19">
        <f ca="1">COUNTIF(INDIRECT("C16:"&amp;ADDRESS(16,COLUMN()-3)),"=4")</f>
        <v>0</v>
      </c>
      <c r="G16" s="19">
        <f ca="1">COUNTIF(INDIRECT("C16:"&amp;ADDRESS(16,COLUMN()-4)),"=3")</f>
        <v>0</v>
      </c>
      <c r="H16" s="19">
        <f ca="1">COUNTIF(INDIRECT("C16:"&amp;ADDRESS(16,COLUMN()-5)),"=2")</f>
        <v>0</v>
      </c>
      <c r="I16" s="20">
        <f ca="1">COUNTIF(INDIRECT("C16:"&amp;ADDRESS(16,COLUMN()-6)),"=1")</f>
        <v>0</v>
      </c>
    </row>
    <row r="17" spans="1:9" ht="18.75" customHeight="1" x14ac:dyDescent="0.25">
      <c r="A17" s="102" t="s">
        <v>30</v>
      </c>
      <c r="B17" s="35" t="s">
        <v>2</v>
      </c>
      <c r="C17" s="53"/>
      <c r="D17" s="31">
        <f ca="1">COUNT(INDIRECT("C17:"&amp;ADDRESS(17,COLUMN()-1)))</f>
        <v>0</v>
      </c>
      <c r="E17" s="31">
        <f ca="1">COUNTIF(INDIRECT("C17:"&amp;ADDRESS(17,COLUMN()-2)),"=5")</f>
        <v>0</v>
      </c>
      <c r="F17" s="31">
        <f ca="1">COUNTIF(INDIRECT("C17:"&amp;ADDRESS(17,COLUMN()-3)),"=4")</f>
        <v>0</v>
      </c>
      <c r="G17" s="31">
        <f ca="1">COUNTIF(INDIRECT("C17:"&amp;ADDRESS(17,COLUMN()-4)),"=3")</f>
        <v>0</v>
      </c>
      <c r="H17" s="31">
        <f ca="1">COUNTIF(INDIRECT("C17:"&amp;ADDRESS(17,COLUMN()-5)),"=2")</f>
        <v>0</v>
      </c>
      <c r="I17" s="32">
        <f ca="1">COUNTIF(INDIRECT("C17:"&amp;ADDRESS(17,COLUMN()-6)),"=1")</f>
        <v>0</v>
      </c>
    </row>
    <row r="18" spans="1:9" ht="18.75" customHeight="1" x14ac:dyDescent="0.25">
      <c r="A18" s="102"/>
      <c r="B18" s="12" t="s">
        <v>3</v>
      </c>
      <c r="C18" s="39"/>
      <c r="D18" s="31">
        <f ca="1">COUNT(INDIRECT("C18:"&amp;ADDRESS(18,COLUMN()-1)))</f>
        <v>0</v>
      </c>
      <c r="E18" s="31">
        <f ca="1">COUNTIF(INDIRECT("C18:"&amp;ADDRESS(18,COLUMN()-2)),"=5")</f>
        <v>0</v>
      </c>
      <c r="F18" s="31">
        <f ca="1">COUNTIF(INDIRECT("C18:"&amp;ADDRESS(18,COLUMN()-3)),"=4")</f>
        <v>0</v>
      </c>
      <c r="G18" s="31">
        <f ca="1">COUNTIF(INDIRECT("C18:"&amp;ADDRESS(18,COLUMN()-4)),"=3")</f>
        <v>0</v>
      </c>
      <c r="H18" s="31">
        <f ca="1">COUNTIF(INDIRECT("C18:"&amp;ADDRESS(18,COLUMN()-5)),"=2")</f>
        <v>0</v>
      </c>
      <c r="I18" s="32">
        <f ca="1">COUNTIF(INDIRECT("C18:"&amp;ADDRESS(18,COLUMN()-6)),"=1")</f>
        <v>0</v>
      </c>
    </row>
    <row r="19" spans="1:9" ht="18.75" customHeight="1" x14ac:dyDescent="0.25">
      <c r="A19" s="102"/>
      <c r="B19" s="12" t="s">
        <v>4</v>
      </c>
      <c r="C19" s="39"/>
      <c r="D19" s="31">
        <f ca="1">COUNT(INDIRECT("C19:"&amp;ADDRESS(19,COLUMN()-1)))</f>
        <v>0</v>
      </c>
      <c r="E19" s="31">
        <f ca="1">COUNTIF(INDIRECT("C19:"&amp;ADDRESS(19,COLUMN()-2)),"=5")</f>
        <v>0</v>
      </c>
      <c r="F19" s="31">
        <f ca="1">COUNTIF(INDIRECT("C19:"&amp;ADDRESS(19,COLUMN()-3)),"=4")</f>
        <v>0</v>
      </c>
      <c r="G19" s="31">
        <f ca="1">COUNTIF(INDIRECT("C19:"&amp;ADDRESS(19,COLUMN()-4)),"=3")</f>
        <v>0</v>
      </c>
      <c r="H19" s="31">
        <f ca="1">COUNTIF(INDIRECT("C19:"&amp;ADDRESS(19,COLUMN()-5)),"=2")</f>
        <v>0</v>
      </c>
      <c r="I19" s="32">
        <f ca="1">COUNTIF(INDIRECT("C19:"&amp;ADDRESS(19,COLUMN()-6)),"=1")</f>
        <v>0</v>
      </c>
    </row>
    <row r="20" spans="1:9" ht="18.75" customHeight="1" x14ac:dyDescent="0.25">
      <c r="A20" s="102"/>
      <c r="B20" s="12" t="s">
        <v>5</v>
      </c>
      <c r="C20" s="39"/>
      <c r="D20" s="31">
        <f ca="1">COUNT(INDIRECT("C20:"&amp;ADDRESS(20,COLUMN()-1)))</f>
        <v>0</v>
      </c>
      <c r="E20" s="31">
        <f ca="1">COUNTIF(INDIRECT("C20:"&amp;ADDRESS(20,COLUMN()-2)),"=5")</f>
        <v>0</v>
      </c>
      <c r="F20" s="31">
        <f ca="1">COUNTIF(INDIRECT("C20:"&amp;ADDRESS(20,COLUMN()-3)),"=4")</f>
        <v>0</v>
      </c>
      <c r="G20" s="31">
        <f ca="1">COUNTIF(INDIRECT("C20:"&amp;ADDRESS(20,COLUMN()-4)),"=3")</f>
        <v>0</v>
      </c>
      <c r="H20" s="31">
        <f ca="1">COUNTIF(INDIRECT("C20:"&amp;ADDRESS(20,COLUMN()-5)),"=2")</f>
        <v>0</v>
      </c>
      <c r="I20" s="32">
        <f ca="1">COUNTIF(INDIRECT("C20:"&amp;ADDRESS(20,COLUMN()-6)),"=1")</f>
        <v>0</v>
      </c>
    </row>
    <row r="21" spans="1:9" ht="18.75" customHeight="1" thickBot="1" x14ac:dyDescent="0.3">
      <c r="A21" s="103"/>
      <c r="B21" s="18" t="s">
        <v>6</v>
      </c>
      <c r="C21" s="40"/>
      <c r="D21" s="33">
        <f ca="1">COUNT(INDIRECT("C21:"&amp;ADDRESS(21,COLUMN()-1)))</f>
        <v>0</v>
      </c>
      <c r="E21" s="33">
        <f ca="1">COUNTIF(INDIRECT("C21:"&amp;ADDRESS(21,COLUMN()-2)),"=5")</f>
        <v>0</v>
      </c>
      <c r="F21" s="33">
        <f ca="1">COUNTIF(INDIRECT("C21:"&amp;ADDRESS(21,COLUMN()-3)),"=4")</f>
        <v>0</v>
      </c>
      <c r="G21" s="33">
        <f ca="1">COUNTIF(INDIRECT("C21:"&amp;ADDRESS(21,COLUMN()-4)),"=3")</f>
        <v>0</v>
      </c>
      <c r="H21" s="33">
        <f ca="1">COUNTIF(INDIRECT("C21:"&amp;ADDRESS(21,COLUMN()-5)),"=2")</f>
        <v>0</v>
      </c>
      <c r="I21" s="34">
        <f ca="1">COUNTIF(INDIRECT("C21:"&amp;ADDRESS(21,COLUMN()-6)),"=1")</f>
        <v>0</v>
      </c>
    </row>
    <row r="22" spans="1:9" ht="18.75" customHeight="1" thickBot="1" x14ac:dyDescent="0.3">
      <c r="A22" s="21" t="s">
        <v>17</v>
      </c>
      <c r="B22" s="25" t="s">
        <v>0</v>
      </c>
      <c r="C22" s="41"/>
      <c r="D22" s="33">
        <f ca="1">COUNT(INDIRECT("C22:"&amp;ADDRESS(22,COLUMN()-1)))</f>
        <v>0</v>
      </c>
      <c r="E22" s="33">
        <f ca="1">COUNTIF(INDIRECT("C22:"&amp;ADDRESS(22,COLUMN()-2)),"=5")</f>
        <v>0</v>
      </c>
      <c r="F22" s="33">
        <f ca="1">COUNTIF(INDIRECT("C22:"&amp;ADDRESS(22,COLUMN()-3)),"=4")</f>
        <v>0</v>
      </c>
      <c r="G22" s="33">
        <f ca="1">COUNTIF(INDIRECT("C22:"&amp;ADDRESS(22,COLUMN()-4)),"=3")</f>
        <v>0</v>
      </c>
      <c r="H22" s="33">
        <f ca="1">COUNTIF(INDIRECT("C22:"&amp;ADDRESS(22,COLUMN()-5)),"=2")</f>
        <v>0</v>
      </c>
      <c r="I22" s="34">
        <f ca="1">COUNTIF(INDIRECT("C22:"&amp;ADDRESS(22,COLUMN()-6)),"=1")</f>
        <v>0</v>
      </c>
    </row>
    <row r="23" spans="1:9" ht="15.75" thickBot="1" x14ac:dyDescent="0.3">
      <c r="A23" s="83" t="s">
        <v>14</v>
      </c>
      <c r="B23" s="84"/>
      <c r="C23" s="42">
        <f ca="1">SUM(INDIRECT(ADDRESS(10,COLUMN())):INDIRECT(ADDRESS(22,COLUMN())))</f>
        <v>0</v>
      </c>
      <c r="D23" s="23">
        <f ca="1">SUM(D10:D22)</f>
        <v>0</v>
      </c>
      <c r="E23" s="23">
        <f t="shared" ref="E23:H23" ca="1" si="0">SUM(E10:E22)</f>
        <v>0</v>
      </c>
      <c r="F23" s="23">
        <f t="shared" ca="1" si="0"/>
        <v>0</v>
      </c>
      <c r="G23" s="23">
        <f t="shared" ca="1" si="0"/>
        <v>0</v>
      </c>
      <c r="H23" s="23">
        <f t="shared" ca="1" si="0"/>
        <v>0</v>
      </c>
      <c r="I23" s="24">
        <f ca="1">SUM(I10:I22)</f>
        <v>0</v>
      </c>
    </row>
    <row r="25" spans="1:9" ht="32.25" customHeight="1" x14ac:dyDescent="0.25">
      <c r="A25" s="111" t="s">
        <v>33</v>
      </c>
      <c r="B25" s="112"/>
      <c r="C25" s="112"/>
      <c r="D25" s="112"/>
      <c r="E25" s="112"/>
      <c r="F25" s="112"/>
      <c r="G25" s="112"/>
      <c r="H25" s="112"/>
      <c r="I25" s="112"/>
    </row>
    <row r="27" spans="1:9" x14ac:dyDescent="0.25">
      <c r="A27" s="106" t="s">
        <v>48</v>
      </c>
      <c r="B27" s="106"/>
      <c r="C27" s="106"/>
      <c r="D27" s="106"/>
      <c r="E27" s="106"/>
      <c r="F27" s="106"/>
      <c r="G27" s="106"/>
      <c r="H27" s="106"/>
      <c r="I27" s="106"/>
    </row>
  </sheetData>
  <sheetProtection algorithmName="SHA-512" hashValue="KZ7DEJJ8cjudDlpWKheu1KQXiBJdioXzp1flITrYSpuyb5ebexe9f4HtBsmSyEdLt3Gcy9HP7ZKwSoaSDLvOog==" saltValue="9Zws8kw/n/c51ze1QrKPhg==" spinCount="100000" sheet="1" objects="1" scenarios="1" formatCells="0" formatColumns="0" formatRows="0" autoFilter="0"/>
  <mergeCells count="20">
    <mergeCell ref="A27:I27"/>
    <mergeCell ref="A8:B9"/>
    <mergeCell ref="H8:H9"/>
    <mergeCell ref="A25:I25"/>
    <mergeCell ref="B5:C5"/>
    <mergeCell ref="A1:I1"/>
    <mergeCell ref="A23:B23"/>
    <mergeCell ref="H6:I6"/>
    <mergeCell ref="D8:D9"/>
    <mergeCell ref="I8:I9"/>
    <mergeCell ref="G8:G9"/>
    <mergeCell ref="F8:F9"/>
    <mergeCell ref="E8:E9"/>
    <mergeCell ref="F5:H5"/>
    <mergeCell ref="B3:I3"/>
    <mergeCell ref="C4:I4"/>
    <mergeCell ref="A10:A16"/>
    <mergeCell ref="A17:A21"/>
    <mergeCell ref="B6:C6"/>
    <mergeCell ref="C7:I7"/>
  </mergeCells>
  <dataValidations count="1">
    <dataValidation type="list" allowBlank="1" showInputMessage="1" showErrorMessage="1" sqref="B3:I3" xr:uid="{00000000-0002-0000-0000-000000000000}">
      <formula1>"TREINAMENTO,PALESTRA"</formula1>
    </dataValidation>
  </dataValidations>
  <pageMargins left="0.31496062992125984" right="0.31496062992125984" top="0.39370078740157483" bottom="0.39370078740157483" header="0.31496062992125984" footer="0.31496062992125984"/>
  <pageSetup paperSize="9" scale="82" orientation="landscape" r:id="rId1"/>
  <headerFooter>
    <oddFooter>&amp;L&amp;"Arial,Normal"&amp;10FQ-06.42 (anexo a IT-06.02.02) - RA - revisão 01 de 08/10/21 - Página 1/3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Botão19_Clique">
                <anchor moveWithCells="1" sizeWithCells="1">
                  <from>
                    <xdr:col>9</xdr:col>
                    <xdr:colOff>104775</xdr:colOff>
                    <xdr:row>4</xdr:row>
                    <xdr:rowOff>47625</xdr:rowOff>
                  </from>
                  <to>
                    <xdr:col>11</xdr:col>
                    <xdr:colOff>104775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otão20_Clique">
                <anchor moveWithCells="1" sizeWithCells="1">
                  <from>
                    <xdr:col>9</xdr:col>
                    <xdr:colOff>104775</xdr:colOff>
                    <xdr:row>5</xdr:row>
                    <xdr:rowOff>171450</xdr:rowOff>
                  </from>
                  <to>
                    <xdr:col>11</xdr:col>
                    <xdr:colOff>323850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otão21_Clique">
                <anchor moveWithCells="1" sizeWithCells="1">
                  <from>
                    <xdr:col>9</xdr:col>
                    <xdr:colOff>152400</xdr:colOff>
                    <xdr:row>7</xdr:row>
                    <xdr:rowOff>161925</xdr:rowOff>
                  </from>
                  <to>
                    <xdr:col>10</xdr:col>
                    <xdr:colOff>571500</xdr:colOff>
                    <xdr:row>8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R34"/>
  <sheetViews>
    <sheetView topLeftCell="B19" zoomScaleNormal="100" workbookViewId="0">
      <selection activeCell="A27" sqref="A27:I27"/>
    </sheetView>
  </sheetViews>
  <sheetFormatPr defaultRowHeight="15" x14ac:dyDescent="0.25"/>
  <cols>
    <col min="1" max="1" width="11.42578125" customWidth="1"/>
    <col min="2" max="2" width="39.28515625" customWidth="1"/>
    <col min="3" max="3" width="9.28515625" style="4" bestFit="1" customWidth="1"/>
    <col min="4" max="4" width="10.5703125" style="4" bestFit="1" customWidth="1"/>
    <col min="5" max="5" width="9.85546875" style="4" customWidth="1"/>
    <col min="6" max="6" width="5.7109375" style="4" bestFit="1" customWidth="1"/>
    <col min="7" max="7" width="9.5703125" style="4" bestFit="1" customWidth="1"/>
  </cols>
  <sheetData>
    <row r="1" spans="1:7" ht="15.75" thickBot="1" x14ac:dyDescent="0.3">
      <c r="A1" s="113">
        <f>'Alimentação de dados '!$B$5</f>
        <v>0</v>
      </c>
      <c r="B1" s="114"/>
      <c r="C1" s="114"/>
      <c r="D1" s="114"/>
      <c r="E1" s="114"/>
      <c r="F1" s="114"/>
      <c r="G1" s="115"/>
    </row>
    <row r="2" spans="1:7" ht="20.25" customHeight="1" thickBot="1" x14ac:dyDescent="0.3">
      <c r="A2" s="116">
        <f>'Alimentação de dados '!$B$6</f>
        <v>0</v>
      </c>
      <c r="B2" s="117"/>
      <c r="C2" s="117"/>
      <c r="D2" s="117"/>
      <c r="E2" s="117"/>
      <c r="F2" s="117"/>
      <c r="G2" s="118"/>
    </row>
    <row r="3" spans="1:7" ht="20.25" customHeight="1" x14ac:dyDescent="0.25">
      <c r="A3" s="125">
        <f>'Alimentação de dados '!$B$4</f>
        <v>0</v>
      </c>
      <c r="B3" s="125"/>
      <c r="C3" s="125"/>
      <c r="D3" s="125"/>
      <c r="E3" s="125"/>
      <c r="F3" s="125"/>
      <c r="G3" s="125"/>
    </row>
    <row r="4" spans="1:7" ht="15.75" thickBot="1" x14ac:dyDescent="0.3">
      <c r="B4" s="2"/>
      <c r="C4" s="2"/>
      <c r="D4" s="2"/>
      <c r="E4" s="2"/>
      <c r="F4" s="2"/>
      <c r="G4" s="2"/>
    </row>
    <row r="5" spans="1:7" ht="22.5" customHeight="1" thickBot="1" x14ac:dyDescent="0.3">
      <c r="A5" s="119" t="s">
        <v>16</v>
      </c>
      <c r="B5" s="120"/>
      <c r="C5" s="48" t="str">
        <f>'Alimentação de dados '!E8</f>
        <v>ÓTIMO</v>
      </c>
      <c r="D5" s="48" t="str">
        <f>'Alimentação de dados '!F8</f>
        <v>BOM</v>
      </c>
      <c r="E5" s="48" t="str">
        <f>'Alimentação de dados '!G8</f>
        <v>REGULAR</v>
      </c>
      <c r="F5" s="48" t="str">
        <f>'Alimentação de dados '!H8</f>
        <v>RUIM</v>
      </c>
      <c r="G5" s="49" t="str">
        <f>'Alimentação de dados '!I8</f>
        <v>PÉSSIMO</v>
      </c>
    </row>
    <row r="6" spans="1:7" ht="22.5" customHeight="1" x14ac:dyDescent="0.25">
      <c r="A6" s="133" t="s">
        <v>31</v>
      </c>
      <c r="B6" s="14" t="s">
        <v>23</v>
      </c>
      <c r="C6" s="15">
        <f ca="1">'Alimentação de dados '!E10</f>
        <v>0</v>
      </c>
      <c r="D6" s="15">
        <f ca="1">'Alimentação de dados '!F10</f>
        <v>0</v>
      </c>
      <c r="E6" s="15">
        <f ca="1">'Alimentação de dados '!G10</f>
        <v>0</v>
      </c>
      <c r="F6" s="15">
        <f ca="1">'Alimentação de dados '!H10</f>
        <v>0</v>
      </c>
      <c r="G6" s="16">
        <f ca="1">'Alimentação de dados '!I10</f>
        <v>0</v>
      </c>
    </row>
    <row r="7" spans="1:7" ht="22.5" customHeight="1" x14ac:dyDescent="0.25">
      <c r="A7" s="134"/>
      <c r="B7" s="12" t="s">
        <v>22</v>
      </c>
      <c r="C7" s="13">
        <f ca="1">'Alimentação de dados '!E11</f>
        <v>0</v>
      </c>
      <c r="D7" s="13">
        <f ca="1">'Alimentação de dados '!F11</f>
        <v>0</v>
      </c>
      <c r="E7" s="13">
        <f ca="1">'Alimentação de dados '!G11</f>
        <v>0</v>
      </c>
      <c r="F7" s="13">
        <f ca="1">'Alimentação de dados '!H11</f>
        <v>0</v>
      </c>
      <c r="G7" s="17">
        <f ca="1">'Alimentação de dados '!I11</f>
        <v>0</v>
      </c>
    </row>
    <row r="8" spans="1:7" ht="22.5" customHeight="1" x14ac:dyDescent="0.25">
      <c r="A8" s="134"/>
      <c r="B8" s="12" t="s">
        <v>18</v>
      </c>
      <c r="C8" s="13">
        <f ca="1">'Alimentação de dados '!E12</f>
        <v>0</v>
      </c>
      <c r="D8" s="13">
        <f ca="1">'Alimentação de dados '!F12</f>
        <v>0</v>
      </c>
      <c r="E8" s="13">
        <f ca="1">'Alimentação de dados '!G12</f>
        <v>0</v>
      </c>
      <c r="F8" s="13">
        <f ca="1">'Alimentação de dados '!H12</f>
        <v>0</v>
      </c>
      <c r="G8" s="17">
        <f ca="1">'Alimentação de dados '!I12</f>
        <v>0</v>
      </c>
    </row>
    <row r="9" spans="1:7" ht="22.5" customHeight="1" x14ac:dyDescent="0.25">
      <c r="A9" s="134"/>
      <c r="B9" s="12" t="s">
        <v>1</v>
      </c>
      <c r="C9" s="13">
        <f ca="1">'Alimentação de dados '!E13</f>
        <v>0</v>
      </c>
      <c r="D9" s="13">
        <f ca="1">'Alimentação de dados '!F13</f>
        <v>0</v>
      </c>
      <c r="E9" s="13">
        <f ca="1">'Alimentação de dados '!G13</f>
        <v>0</v>
      </c>
      <c r="F9" s="13">
        <f ca="1">'Alimentação de dados '!H13</f>
        <v>0</v>
      </c>
      <c r="G9" s="17">
        <f ca="1">'Alimentação de dados '!I13</f>
        <v>0</v>
      </c>
    </row>
    <row r="10" spans="1:7" ht="28.5" customHeight="1" x14ac:dyDescent="0.25">
      <c r="A10" s="134"/>
      <c r="B10" s="12" t="s">
        <v>29</v>
      </c>
      <c r="C10" s="13">
        <f ca="1">'Alimentação de dados '!E14</f>
        <v>0</v>
      </c>
      <c r="D10" s="13">
        <f ca="1">'Alimentação de dados '!F14</f>
        <v>0</v>
      </c>
      <c r="E10" s="13">
        <f ca="1">'Alimentação de dados '!G14</f>
        <v>0</v>
      </c>
      <c r="F10" s="13">
        <f ca="1">'Alimentação de dados '!H14</f>
        <v>0</v>
      </c>
      <c r="G10" s="17">
        <f ca="1">'Alimentação de dados '!I14</f>
        <v>0</v>
      </c>
    </row>
    <row r="11" spans="1:7" ht="30" customHeight="1" x14ac:dyDescent="0.25">
      <c r="A11" s="134"/>
      <c r="B11" s="12" t="s">
        <v>24</v>
      </c>
      <c r="C11" s="13">
        <f ca="1">'Alimentação de dados '!E15</f>
        <v>0</v>
      </c>
      <c r="D11" s="13">
        <f ca="1">'Alimentação de dados '!F15</f>
        <v>0</v>
      </c>
      <c r="E11" s="13">
        <f ca="1">'Alimentação de dados '!G15</f>
        <v>0</v>
      </c>
      <c r="F11" s="13">
        <f ca="1">'Alimentação de dados '!H15</f>
        <v>0</v>
      </c>
      <c r="G11" s="17">
        <f ca="1">'Alimentação de dados '!I15</f>
        <v>0</v>
      </c>
    </row>
    <row r="12" spans="1:7" ht="31.5" customHeight="1" thickBot="1" x14ac:dyDescent="0.3">
      <c r="A12" s="135"/>
      <c r="B12" s="18" t="s">
        <v>25</v>
      </c>
      <c r="C12" s="19">
        <f ca="1">'Alimentação de dados '!E16</f>
        <v>0</v>
      </c>
      <c r="D12" s="19">
        <f ca="1">'Alimentação de dados '!F16</f>
        <v>0</v>
      </c>
      <c r="E12" s="19">
        <f ca="1">'Alimentação de dados '!G16</f>
        <v>0</v>
      </c>
      <c r="F12" s="19">
        <f ca="1">'Alimentação de dados '!H16</f>
        <v>0</v>
      </c>
      <c r="G12" s="20">
        <f ca="1">'Alimentação de dados '!I16</f>
        <v>0</v>
      </c>
    </row>
    <row r="13" spans="1:7" ht="22.5" customHeight="1" x14ac:dyDescent="0.25">
      <c r="A13" s="133" t="s">
        <v>30</v>
      </c>
      <c r="B13" s="14" t="s">
        <v>2</v>
      </c>
      <c r="C13" s="15">
        <f ca="1">'Alimentação de dados '!E17</f>
        <v>0</v>
      </c>
      <c r="D13" s="15">
        <f ca="1">'Alimentação de dados '!F17</f>
        <v>0</v>
      </c>
      <c r="E13" s="15">
        <f ca="1">'Alimentação de dados '!G17</f>
        <v>0</v>
      </c>
      <c r="F13" s="15">
        <f ca="1">'Alimentação de dados '!H17</f>
        <v>0</v>
      </c>
      <c r="G13" s="16">
        <f ca="1">'Alimentação de dados '!I17</f>
        <v>0</v>
      </c>
    </row>
    <row r="14" spans="1:7" ht="22.5" customHeight="1" x14ac:dyDescent="0.25">
      <c r="A14" s="134"/>
      <c r="B14" s="12" t="s">
        <v>3</v>
      </c>
      <c r="C14" s="13">
        <f ca="1">'Alimentação de dados '!E18</f>
        <v>0</v>
      </c>
      <c r="D14" s="13">
        <f ca="1">'Alimentação de dados '!F18</f>
        <v>0</v>
      </c>
      <c r="E14" s="13">
        <f ca="1">'Alimentação de dados '!G18</f>
        <v>0</v>
      </c>
      <c r="F14" s="13">
        <f ca="1">'Alimentação de dados '!H18</f>
        <v>0</v>
      </c>
      <c r="G14" s="17">
        <f ca="1">'Alimentação de dados '!I18</f>
        <v>0</v>
      </c>
    </row>
    <row r="15" spans="1:7" ht="22.5" customHeight="1" x14ac:dyDescent="0.25">
      <c r="A15" s="134"/>
      <c r="B15" s="12" t="s">
        <v>4</v>
      </c>
      <c r="C15" s="13">
        <f ca="1">'Alimentação de dados '!E19</f>
        <v>0</v>
      </c>
      <c r="D15" s="13">
        <f ca="1">'Alimentação de dados '!F19</f>
        <v>0</v>
      </c>
      <c r="E15" s="13">
        <f ca="1">'Alimentação de dados '!G19</f>
        <v>0</v>
      </c>
      <c r="F15" s="13">
        <f ca="1">'Alimentação de dados '!H19</f>
        <v>0</v>
      </c>
      <c r="G15" s="17">
        <f ca="1">'Alimentação de dados '!I19</f>
        <v>0</v>
      </c>
    </row>
    <row r="16" spans="1:7" ht="22.5" customHeight="1" x14ac:dyDescent="0.25">
      <c r="A16" s="134"/>
      <c r="B16" s="12" t="s">
        <v>5</v>
      </c>
      <c r="C16" s="13">
        <f ca="1">'Alimentação de dados '!E20</f>
        <v>0</v>
      </c>
      <c r="D16" s="13">
        <f ca="1">'Alimentação de dados '!F20</f>
        <v>0</v>
      </c>
      <c r="E16" s="13">
        <f ca="1">'Alimentação de dados '!G20</f>
        <v>0</v>
      </c>
      <c r="F16" s="13">
        <f ca="1">'Alimentação de dados '!H20</f>
        <v>0</v>
      </c>
      <c r="G16" s="17">
        <f ca="1">'Alimentação de dados '!I20</f>
        <v>0</v>
      </c>
    </row>
    <row r="17" spans="1:7" ht="22.5" customHeight="1" thickBot="1" x14ac:dyDescent="0.3">
      <c r="A17" s="135"/>
      <c r="B17" s="18" t="s">
        <v>6</v>
      </c>
      <c r="C17" s="19">
        <f ca="1">'Alimentação de dados '!E21</f>
        <v>0</v>
      </c>
      <c r="D17" s="19">
        <f ca="1">'Alimentação de dados '!F21</f>
        <v>0</v>
      </c>
      <c r="E17" s="19">
        <f ca="1">'Alimentação de dados '!G21</f>
        <v>0</v>
      </c>
      <c r="F17" s="19">
        <f ca="1">'Alimentação de dados '!H21</f>
        <v>0</v>
      </c>
      <c r="G17" s="20">
        <f ca="1">'Alimentação de dados '!I21</f>
        <v>0</v>
      </c>
    </row>
    <row r="18" spans="1:7" ht="22.5" customHeight="1" thickBot="1" x14ac:dyDescent="0.3">
      <c r="A18" s="21" t="s">
        <v>17</v>
      </c>
      <c r="B18" s="22" t="s">
        <v>0</v>
      </c>
      <c r="C18" s="23">
        <f ca="1">'Alimentação de dados '!E22</f>
        <v>0</v>
      </c>
      <c r="D18" s="23">
        <f ca="1">'Alimentação de dados '!F22</f>
        <v>0</v>
      </c>
      <c r="E18" s="23">
        <f ca="1">'Alimentação de dados '!G22</f>
        <v>0</v>
      </c>
      <c r="F18" s="23">
        <f ca="1">'Alimentação de dados '!H22</f>
        <v>0</v>
      </c>
      <c r="G18" s="24">
        <f ca="1">'Alimentação de dados '!I22</f>
        <v>0</v>
      </c>
    </row>
    <row r="19" spans="1:7" ht="22.5" customHeight="1" thickBot="1" x14ac:dyDescent="0.3">
      <c r="A19" s="126" t="s">
        <v>14</v>
      </c>
      <c r="B19" s="127"/>
      <c r="C19" s="50">
        <f ca="1">'Alimentação de dados '!E23</f>
        <v>0</v>
      </c>
      <c r="D19" s="50">
        <f ca="1">'Alimentação de dados '!F23</f>
        <v>0</v>
      </c>
      <c r="E19" s="50">
        <f ca="1">'Alimentação de dados '!G23</f>
        <v>0</v>
      </c>
      <c r="F19" s="50">
        <f ca="1">'Alimentação de dados '!H23</f>
        <v>0</v>
      </c>
      <c r="G19" s="51">
        <f ca="1">'Alimentação de dados '!I23</f>
        <v>0</v>
      </c>
    </row>
    <row r="20" spans="1:7" ht="15.75" thickBot="1" x14ac:dyDescent="0.3">
      <c r="G20" s="4">
        <f ca="1">SUM(C19:G19)</f>
        <v>0</v>
      </c>
    </row>
    <row r="21" spans="1:7" ht="16.5" thickBot="1" x14ac:dyDescent="0.3">
      <c r="A21" s="128" t="s">
        <v>36</v>
      </c>
      <c r="B21" s="129"/>
      <c r="C21" s="129"/>
      <c r="D21" s="129"/>
      <c r="E21" s="129"/>
      <c r="F21" s="129"/>
      <c r="G21" s="130"/>
    </row>
    <row r="22" spans="1:7" x14ac:dyDescent="0.25">
      <c r="A22" s="11"/>
      <c r="B22" s="11"/>
      <c r="C22" s="11"/>
      <c r="D22" s="11"/>
      <c r="E22" s="11"/>
      <c r="F22" s="11"/>
      <c r="G22" s="11"/>
    </row>
    <row r="23" spans="1:7" ht="27.75" customHeight="1" x14ac:dyDescent="0.25">
      <c r="A23" s="11"/>
      <c r="B23" s="46" t="s">
        <v>41</v>
      </c>
      <c r="C23" s="47" t="s">
        <v>37</v>
      </c>
      <c r="D23" s="47" t="s">
        <v>38</v>
      </c>
      <c r="E23" s="11"/>
      <c r="F23" s="11"/>
      <c r="G23" s="11"/>
    </row>
    <row r="24" spans="1:7" ht="26.25" x14ac:dyDescent="0.25">
      <c r="B24" s="27" t="s">
        <v>39</v>
      </c>
      <c r="C24" s="62" t="str">
        <f ca="1">IFERROR(SUM(C6:D12)/SUM(C6:G12),"")</f>
        <v/>
      </c>
      <c r="D24" s="62" t="str">
        <f ca="1">IFERROR(SUM(F6:G12)/SUM(C6:G12),"")</f>
        <v/>
      </c>
    </row>
    <row r="25" spans="1:7" x14ac:dyDescent="0.25">
      <c r="B25" s="27" t="s">
        <v>40</v>
      </c>
      <c r="C25" s="62" t="str">
        <f ca="1">IFERROR(SUM(C13:D17)/SUM(C13:G17),"")</f>
        <v/>
      </c>
      <c r="D25" s="62" t="str">
        <f ca="1">IFERROR(SUM(F13:G17)/SUM(C13:G17),"")</f>
        <v/>
      </c>
    </row>
    <row r="26" spans="1:7" x14ac:dyDescent="0.25">
      <c r="B26" s="27" t="s">
        <v>21</v>
      </c>
      <c r="C26" s="62" t="str">
        <f ca="1">IFERROR(SUM(C18:D18)/SUM(C18:G18),"")</f>
        <v/>
      </c>
      <c r="D26" s="62" t="str">
        <f ca="1">IFERROR(SUM(F18:G18)/SUM(C18:G18),"")</f>
        <v/>
      </c>
    </row>
    <row r="28" spans="1:7" x14ac:dyDescent="0.25">
      <c r="B28" s="131" t="s">
        <v>42</v>
      </c>
      <c r="C28" s="131"/>
      <c r="D28" s="131"/>
    </row>
    <row r="29" spans="1:7" x14ac:dyDescent="0.25">
      <c r="B29" s="26" t="s">
        <v>19</v>
      </c>
      <c r="C29" s="132" t="str">
        <f ca="1">IFERROR(((C19+D19)/'Alimentação de dados '!D23),"")</f>
        <v/>
      </c>
      <c r="D29" s="132"/>
    </row>
    <row r="30" spans="1:7" x14ac:dyDescent="0.25">
      <c r="B30" s="26" t="s">
        <v>20</v>
      </c>
      <c r="C30" s="121" t="str">
        <f ca="1">IFERROR((F19+G19)/'Alimentação de dados '!D23,"")</f>
        <v/>
      </c>
      <c r="D30" s="122"/>
    </row>
    <row r="31" spans="1:7" x14ac:dyDescent="0.25">
      <c r="B31" s="28" t="s">
        <v>34</v>
      </c>
      <c r="C31" s="123">
        <f>'Alimentação de dados '!E5</f>
        <v>0</v>
      </c>
      <c r="D31" s="124"/>
    </row>
    <row r="32" spans="1:7" x14ac:dyDescent="0.25">
      <c r="B32" s="28" t="s">
        <v>35</v>
      </c>
      <c r="C32" s="123">
        <f>'Alimentação de dados '!I5</f>
        <v>0</v>
      </c>
      <c r="D32" s="124"/>
    </row>
    <row r="34" spans="1:18" x14ac:dyDescent="0.25">
      <c r="A34" s="106" t="s">
        <v>50</v>
      </c>
      <c r="B34" s="106"/>
      <c r="C34" s="106"/>
      <c r="D34" s="106"/>
      <c r="E34" s="106"/>
      <c r="F34" s="106"/>
      <c r="G34" s="106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</row>
  </sheetData>
  <sheetProtection algorithmName="SHA-512" hashValue="rE370CFN0YRWJQaUWVHGaMvsUYEGEVx9GDFBi0SfJzVFKl75V2/3qrK1O1u1FFcna2RWBQuFUaY+xV4vmWhIwQ==" saltValue="wCjEoNdM2d8CESXXNkTGig==" spinCount="100000" sheet="1" objects="1" scenarios="1"/>
  <mergeCells count="14">
    <mergeCell ref="A34:G34"/>
    <mergeCell ref="A3:G3"/>
    <mergeCell ref="A19:B19"/>
    <mergeCell ref="A21:G21"/>
    <mergeCell ref="B28:D28"/>
    <mergeCell ref="C29:D29"/>
    <mergeCell ref="A6:A12"/>
    <mergeCell ref="A13:A17"/>
    <mergeCell ref="A1:G1"/>
    <mergeCell ref="A2:G2"/>
    <mergeCell ref="A5:B5"/>
    <mergeCell ref="C30:D30"/>
    <mergeCell ref="C32:D32"/>
    <mergeCell ref="C31:D31"/>
  </mergeCells>
  <pageMargins left="0.39370078740157483" right="0.39370078740157483" top="0.78740157480314965" bottom="0.78740157480314965" header="0.31496062992125984" footer="0.31496062992125984"/>
  <pageSetup paperSize="9" scale="99" orientation="portrait" horizontalDpi="300" verticalDpi="300" r:id="rId1"/>
  <headerFooter>
    <oddFooter>&amp;L&amp;"Arial,Normal"&amp;10FQ-06.42 (anexo a IT-06.02.02) - RA - revisão 01 de 08/10/21 - Página 2/3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G46"/>
  <sheetViews>
    <sheetView showGridLines="0" zoomScaleNormal="100" workbookViewId="0">
      <selection activeCell="A27" sqref="A27:I27"/>
    </sheetView>
  </sheetViews>
  <sheetFormatPr defaultRowHeight="15" x14ac:dyDescent="0.25"/>
  <cols>
    <col min="1" max="1" width="11.42578125" style="1" customWidth="1"/>
    <col min="2" max="2" width="73" customWidth="1"/>
  </cols>
  <sheetData>
    <row r="1" spans="1:6" ht="18.75" customHeight="1" thickBot="1" x14ac:dyDescent="0.3">
      <c r="A1" s="138">
        <f>'Alimentação de dados '!$B$5</f>
        <v>0</v>
      </c>
      <c r="B1" s="139"/>
      <c r="C1" s="10"/>
      <c r="D1" s="10"/>
      <c r="E1" s="10"/>
      <c r="F1" s="10"/>
    </row>
    <row r="2" spans="1:6" ht="24.75" customHeight="1" thickBot="1" x14ac:dyDescent="0.3">
      <c r="A2" s="136">
        <f>'Alimentação de dados '!$B$6</f>
        <v>0</v>
      </c>
      <c r="B2" s="137"/>
      <c r="C2" s="10"/>
      <c r="D2" s="10"/>
      <c r="E2" s="10"/>
      <c r="F2" s="10"/>
    </row>
    <row r="3" spans="1:6" ht="24.75" customHeight="1" thickBot="1" x14ac:dyDescent="0.3">
      <c r="A3" s="140">
        <f>'Alimentação de dados '!$B$4</f>
        <v>0</v>
      </c>
      <c r="B3" s="141"/>
      <c r="C3" s="10"/>
      <c r="D3" s="10"/>
      <c r="E3" s="10"/>
      <c r="F3" s="10"/>
    </row>
    <row r="4" spans="1:6" ht="15.75" thickBot="1" x14ac:dyDescent="0.3">
      <c r="A4" s="3"/>
      <c r="B4" s="4"/>
    </row>
    <row r="5" spans="1:6" ht="27" customHeight="1" thickBot="1" x14ac:dyDescent="0.3">
      <c r="A5" s="52" t="s">
        <v>15</v>
      </c>
      <c r="B5" s="49" t="s">
        <v>43</v>
      </c>
    </row>
    <row r="6" spans="1:6" s="36" customFormat="1" ht="15" customHeight="1" x14ac:dyDescent="0.25">
      <c r="A6" s="56"/>
      <c r="B6" s="57"/>
    </row>
    <row r="7" spans="1:6" s="36" customFormat="1" x14ac:dyDescent="0.25">
      <c r="A7" s="58"/>
      <c r="B7" s="59"/>
    </row>
    <row r="8" spans="1:6" s="36" customFormat="1" x14ac:dyDescent="0.25">
      <c r="A8" s="58"/>
      <c r="B8" s="59"/>
    </row>
    <row r="9" spans="1:6" s="36" customFormat="1" x14ac:dyDescent="0.25">
      <c r="A9" s="58"/>
      <c r="B9" s="59"/>
    </row>
    <row r="10" spans="1:6" s="36" customFormat="1" x14ac:dyDescent="0.25">
      <c r="A10" s="58"/>
      <c r="B10" s="59"/>
    </row>
    <row r="11" spans="1:6" s="36" customFormat="1" x14ac:dyDescent="0.25">
      <c r="A11" s="58"/>
      <c r="B11" s="59"/>
    </row>
    <row r="12" spans="1:6" s="36" customFormat="1" x14ac:dyDescent="0.25">
      <c r="A12" s="58"/>
      <c r="B12" s="59"/>
    </row>
    <row r="13" spans="1:6" s="36" customFormat="1" x14ac:dyDescent="0.25">
      <c r="A13" s="58"/>
      <c r="B13" s="59"/>
    </row>
    <row r="14" spans="1:6" s="36" customFormat="1" x14ac:dyDescent="0.25">
      <c r="A14" s="58"/>
      <c r="B14" s="59"/>
    </row>
    <row r="15" spans="1:6" s="36" customFormat="1" ht="15.75" thickBot="1" x14ac:dyDescent="0.3">
      <c r="A15" s="60"/>
      <c r="B15" s="61"/>
    </row>
    <row r="16" spans="1:6" s="36" customFormat="1" x14ac:dyDescent="0.25">
      <c r="A16" s="37"/>
      <c r="B16" s="38"/>
    </row>
    <row r="17" spans="1:7" ht="25.5" customHeight="1" x14ac:dyDescent="0.25">
      <c r="A17" s="8"/>
      <c r="B17" s="9"/>
    </row>
    <row r="18" spans="1:7" ht="18" customHeight="1" x14ac:dyDescent="0.25">
      <c r="A18" s="106" t="s">
        <v>51</v>
      </c>
      <c r="B18" s="106"/>
      <c r="C18" s="29"/>
      <c r="D18" s="29"/>
      <c r="E18" s="29"/>
      <c r="F18" s="29"/>
      <c r="G18" s="29"/>
    </row>
    <row r="19" spans="1:7" x14ac:dyDescent="0.25">
      <c r="A19"/>
      <c r="B19" s="7"/>
    </row>
    <row r="20" spans="1:7" x14ac:dyDescent="0.25">
      <c r="A20"/>
      <c r="B20" s="7"/>
    </row>
    <row r="21" spans="1:7" x14ac:dyDescent="0.25">
      <c r="B21" s="7"/>
    </row>
    <row r="22" spans="1:7" x14ac:dyDescent="0.25">
      <c r="B22" s="7"/>
    </row>
    <row r="23" spans="1:7" x14ac:dyDescent="0.25">
      <c r="B23" s="7"/>
    </row>
    <row r="24" spans="1:7" x14ac:dyDescent="0.25">
      <c r="B24" s="7"/>
    </row>
    <row r="25" spans="1:7" x14ac:dyDescent="0.25">
      <c r="B25" s="7"/>
    </row>
    <row r="26" spans="1:7" x14ac:dyDescent="0.25">
      <c r="B26" s="7"/>
    </row>
    <row r="27" spans="1:7" x14ac:dyDescent="0.25">
      <c r="B27" s="7"/>
    </row>
    <row r="28" spans="1:7" x14ac:dyDescent="0.25">
      <c r="B28" s="7"/>
    </row>
    <row r="29" spans="1:7" x14ac:dyDescent="0.25">
      <c r="B29" s="7"/>
    </row>
    <row r="30" spans="1:7" x14ac:dyDescent="0.25">
      <c r="B30" s="7"/>
    </row>
    <row r="31" spans="1:7" x14ac:dyDescent="0.25">
      <c r="B31" s="7"/>
    </row>
    <row r="32" spans="1:7" x14ac:dyDescent="0.25">
      <c r="B32" s="7"/>
    </row>
    <row r="33" spans="2:2" x14ac:dyDescent="0.25">
      <c r="B33" s="7"/>
    </row>
    <row r="34" spans="2:2" x14ac:dyDescent="0.25">
      <c r="B34" s="7"/>
    </row>
    <row r="35" spans="2:2" x14ac:dyDescent="0.25">
      <c r="B35" s="7"/>
    </row>
    <row r="36" spans="2:2" x14ac:dyDescent="0.25">
      <c r="B36" s="7"/>
    </row>
    <row r="37" spans="2:2" x14ac:dyDescent="0.25">
      <c r="B37" s="7"/>
    </row>
    <row r="38" spans="2:2" x14ac:dyDescent="0.25">
      <c r="B38" s="7"/>
    </row>
    <row r="39" spans="2:2" x14ac:dyDescent="0.25">
      <c r="B39" s="7"/>
    </row>
    <row r="40" spans="2:2" x14ac:dyDescent="0.25">
      <c r="B40" s="7"/>
    </row>
    <row r="41" spans="2:2" x14ac:dyDescent="0.25">
      <c r="B41" s="7"/>
    </row>
    <row r="42" spans="2:2" x14ac:dyDescent="0.25">
      <c r="B42" s="7"/>
    </row>
    <row r="43" spans="2:2" x14ac:dyDescent="0.25">
      <c r="B43" s="7"/>
    </row>
    <row r="44" spans="2:2" x14ac:dyDescent="0.25">
      <c r="B44" s="7"/>
    </row>
    <row r="45" spans="2:2" x14ac:dyDescent="0.25">
      <c r="B45" s="7"/>
    </row>
    <row r="46" spans="2:2" x14ac:dyDescent="0.25">
      <c r="B46" s="7"/>
    </row>
  </sheetData>
  <sheetProtection algorithmName="SHA-512" hashValue="uDEzsh4RzHYutgnjz+jL0OLBAuzqsCq/7ug6VEMMOUFAnPLgNVE9AJDZmvddIz/fu9auB/l66DbFt0sS8bgPLQ==" saltValue="mw539WGh+OthN0UNVioCgw==" spinCount="100000" sheet="1" objects="1" scenarios="1" insertRows="0" deleteRows="0" autoFilter="0"/>
  <mergeCells count="4">
    <mergeCell ref="A2:B2"/>
    <mergeCell ref="A1:B1"/>
    <mergeCell ref="A18:B18"/>
    <mergeCell ref="A3:B3"/>
  </mergeCells>
  <pageMargins left="0.51181102362204722" right="0.51181102362204722" top="0.78740157480314965" bottom="0.78740157480314965" header="0.31496062992125984" footer="0.31496062992125984"/>
  <pageSetup paperSize="9" orientation="portrait" verticalDpi="300" r:id="rId1"/>
  <headerFooter>
    <oddFooter>&amp;L&amp;"Arial,Normal"&amp;10FQ-06.42 (anexo a IT-06.02.02) - RA - revisão 01 de 08/10/21 - Página 3/3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Alimentação de dados </vt:lpstr>
      <vt:lpstr>Planilha final </vt:lpstr>
      <vt:lpstr>Comentários</vt:lpstr>
      <vt:lpstr>'Alimentação de dados '!Area_de_impressao</vt:lpstr>
      <vt:lpstr>Comentários!Area_de_impressao</vt:lpstr>
      <vt:lpstr>'Planilha final 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Qualidade</dc:creator>
  <cp:lastModifiedBy>Daiana</cp:lastModifiedBy>
  <cp:lastPrinted>2021-10-07T11:12:58Z</cp:lastPrinted>
  <dcterms:created xsi:type="dcterms:W3CDTF">2010-05-31T16:45:57Z</dcterms:created>
  <dcterms:modified xsi:type="dcterms:W3CDTF">2021-10-21T18:19:44Z</dcterms:modified>
</cp:coreProperties>
</file>