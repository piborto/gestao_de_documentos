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192.168.89.2\qualidadera-21\Documentos SGQ - Matriz RA-56\Formulários\"/>
    </mc:Choice>
  </mc:AlternateContent>
  <bookViews>
    <workbookView xWindow="0" yWindow="0" windowWidth="23040" windowHeight="9120"/>
  </bookViews>
  <sheets>
    <sheet name="Plano de Investimentos" sheetId="1" r:id="rId1"/>
    <sheet name="Consolidação" sheetId="2" r:id="rId2"/>
  </sheets>
  <definedNames>
    <definedName name="_xlnm._FilterDatabase" localSheetId="0" hidden="1">'Plano de Investimentos'!$A$6:$J$18</definedName>
    <definedName name="_xlnm.Print_Area" localSheetId="1">Consolidação!$A$1:$F$26</definedName>
    <definedName name="_xlnm.Print_Area" localSheetId="0">'Plano de Investimentos'!$A$1:$J$20</definedName>
    <definedName name="fonte" localSheetId="1">Consolidação!$A$4:$A$6</definedName>
    <definedName name="OLE_LINK2" localSheetId="0">'Plano de Investimentos'!#REF!</definedName>
    <definedName name="Texto104" localSheetId="0">'Plano de Investimentos'!#REF!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8" i="1" l="1"/>
  <c r="E21" i="2"/>
  <c r="B11" i="2"/>
  <c r="E24" i="2"/>
  <c r="B19" i="2"/>
  <c r="D24" i="2"/>
  <c r="B24" i="2"/>
  <c r="C9" i="2"/>
  <c r="E8" i="2"/>
  <c r="C24" i="2"/>
  <c r="B23" i="2"/>
  <c r="E19" i="2"/>
  <c r="C18" i="2"/>
  <c r="C23" i="2"/>
  <c r="C10" i="2"/>
  <c r="C5" i="2"/>
  <c r="D6" i="2"/>
  <c r="B8" i="2"/>
  <c r="E11" i="2"/>
  <c r="E10" i="2"/>
  <c r="B6" i="2"/>
  <c r="D10" i="2"/>
  <c r="D7" i="2"/>
  <c r="D19" i="2"/>
  <c r="C21" i="2"/>
  <c r="D5" i="2"/>
  <c r="C11" i="2"/>
  <c r="C7" i="2"/>
  <c r="B20" i="2"/>
  <c r="D18" i="2"/>
  <c r="B5" i="2"/>
  <c r="D11" i="2"/>
  <c r="C6" i="2"/>
  <c r="B9" i="2"/>
  <c r="E22" i="2"/>
  <c r="E5" i="2"/>
  <c r="B7" i="2"/>
  <c r="F18" i="1"/>
  <c r="B10" i="2"/>
  <c r="D21" i="2"/>
  <c r="B22" i="2"/>
  <c r="D9" i="2"/>
  <c r="E23" i="2"/>
  <c r="E7" i="2"/>
  <c r="D20" i="2"/>
  <c r="E6" i="2"/>
  <c r="C20" i="2"/>
  <c r="C22" i="2"/>
  <c r="E20" i="2"/>
  <c r="D8" i="2"/>
  <c r="C19" i="2"/>
  <c r="B21" i="2"/>
  <c r="E18" i="2"/>
  <c r="B18" i="2"/>
  <c r="C8" i="2"/>
  <c r="E9" i="2"/>
  <c r="D23" i="2"/>
  <c r="D22" i="2"/>
  <c r="D35" i="2" l="1"/>
  <c r="D36" i="2"/>
  <c r="G18" i="2"/>
  <c r="B31" i="2"/>
  <c r="B25" i="2"/>
  <c r="E25" i="2"/>
  <c r="E31" i="2"/>
  <c r="G21" i="2"/>
  <c r="B34" i="2"/>
  <c r="C32" i="2"/>
  <c r="E33" i="2"/>
  <c r="C35" i="2"/>
  <c r="C33" i="2"/>
  <c r="D33" i="2"/>
  <c r="E36" i="2"/>
  <c r="G22" i="2"/>
  <c r="B35" i="2"/>
  <c r="D34" i="2"/>
  <c r="G10" i="2"/>
  <c r="G7" i="2"/>
  <c r="E12" i="2"/>
  <c r="E35" i="2"/>
  <c r="G9" i="2"/>
  <c r="G5" i="2"/>
  <c r="B12" i="2"/>
  <c r="D25" i="2"/>
  <c r="D31" i="2"/>
  <c r="B33" i="2"/>
  <c r="G20" i="2"/>
  <c r="D12" i="2"/>
  <c r="C34" i="2"/>
  <c r="D32" i="2"/>
  <c r="G6" i="2"/>
  <c r="G8" i="2"/>
  <c r="C12" i="2"/>
  <c r="C36" i="2"/>
  <c r="C31" i="2"/>
  <c r="C25" i="2"/>
  <c r="E32" i="2"/>
  <c r="G23" i="2"/>
  <c r="B36" i="2"/>
  <c r="C37" i="2"/>
  <c r="G24" i="2"/>
  <c r="B37" i="2"/>
  <c r="D37" i="2"/>
  <c r="G19" i="2"/>
  <c r="B32" i="2"/>
  <c r="E37" i="2"/>
  <c r="G11" i="2"/>
  <c r="E34" i="2"/>
  <c r="F32" i="2" l="1"/>
  <c r="F36" i="2"/>
  <c r="C38" i="2"/>
  <c r="F35" i="2"/>
  <c r="F34" i="2"/>
  <c r="E38" i="2"/>
  <c r="D38" i="2"/>
  <c r="F37" i="2"/>
  <c r="F33" i="2"/>
  <c r="G12" i="2"/>
  <c r="G25" i="2"/>
  <c r="B38" i="2"/>
  <c r="F31" i="2"/>
  <c r="F38" i="2" l="1"/>
</calcChain>
</file>

<file path=xl/sharedStrings.xml><?xml version="1.0" encoding="utf-8"?>
<sst xmlns="http://schemas.openxmlformats.org/spreadsheetml/2006/main" count="67" uniqueCount="34">
  <si>
    <t>PLANO DE INVESTIMENTOS</t>
  </si>
  <si>
    <t>Discriminação</t>
  </si>
  <si>
    <t>Fonte de Recurso</t>
  </si>
  <si>
    <t xml:space="preserve">Ano: </t>
  </si>
  <si>
    <t>Data de atualização das informações:</t>
  </si>
  <si>
    <t>Quantidade</t>
  </si>
  <si>
    <t>Tipo de Investimento*</t>
  </si>
  <si>
    <t>Unidade</t>
  </si>
  <si>
    <t>CCQA</t>
  </si>
  <si>
    <t>Cereal Chocotec</t>
  </si>
  <si>
    <t>Cetea</t>
  </si>
  <si>
    <t>CTC</t>
  </si>
  <si>
    <t>DG</t>
  </si>
  <si>
    <t>Fruthotec</t>
  </si>
  <si>
    <t>Tecnolat</t>
  </si>
  <si>
    <t>Gesp</t>
  </si>
  <si>
    <t>Agência de Fomento</t>
  </si>
  <si>
    <t>Fundepag</t>
  </si>
  <si>
    <t>Outra</t>
  </si>
  <si>
    <t>Total</t>
  </si>
  <si>
    <t>Especificar</t>
  </si>
  <si>
    <t>Se você selecionou outra fonte recurso, especifique aqui:</t>
  </si>
  <si>
    <t>Valor Realizado**</t>
  </si>
  <si>
    <t>1. Relatório por Unidade planejado</t>
  </si>
  <si>
    <t>2. Relatório por Unidade realizado do planejado</t>
  </si>
  <si>
    <t>Justificativa</t>
  </si>
  <si>
    <r>
      <t>Custo Estimado **</t>
    </r>
    <r>
      <rPr>
        <sz val="8"/>
        <rFont val="Arial"/>
        <family val="2"/>
      </rPr>
      <t>(Valor unitário X qtde).</t>
    </r>
  </si>
  <si>
    <t xml:space="preserve">Total </t>
  </si>
  <si>
    <t>FQ-06.05 (anexo à IT-06.01.01) - RA - revisão 09 de 08/07/22 - Página 2/2</t>
  </si>
  <si>
    <t>Fonte de recursos</t>
  </si>
  <si>
    <r>
      <t>Observações: 
*</t>
    </r>
    <r>
      <rPr>
        <sz val="10"/>
        <rFont val="Arial"/>
        <family val="2"/>
      </rPr>
      <t>Os tipos de investimentos podem ser Obra, Serviço ou Material Permanente (Móveis/Equipamentos/Veículos/Livros/Periódicos).
**Valores em moedas estrangeiras devem ser convertidos em real (R$), utilizando o valor da moeda na data do preenchimento do plano de investimentos (coluna custo estimado). Na coluna "Valor Realizado" o valor também deve ser convertido em real (R$), porém utilizando como base para conversão a data de pagamento.
*** Os itens devem ser ordenados de acordo com a prioridade do investimento, sendo 1º para o item com prioridade maior.</t>
    </r>
  </si>
  <si>
    <t>FQ-06.05 (anexo à IT-06.01.01) - RA - revisão 09 de 08/07/22 - Página 1/2</t>
  </si>
  <si>
    <r>
      <t>Item N</t>
    </r>
    <r>
      <rPr>
        <b/>
        <sz val="10"/>
        <rFont val="Symbol"/>
        <family val="1"/>
        <charset val="2"/>
      </rPr>
      <t xml:space="preserve">° </t>
    </r>
    <r>
      <rPr>
        <b/>
        <sz val="5"/>
        <rFont val="Symbol"/>
        <family val="1"/>
        <charset val="2"/>
      </rPr>
      <t>***</t>
    </r>
  </si>
  <si>
    <t>3. Realizado X Planejado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</si>
</sst>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R$&quot;* #,##0.00_);_(&quot;R$&quot;* \(#,##0.00\);_(&quot;R$&quot;* &quot;-&quot;??_);_(@_)"/>
    <numFmt numFmtId="165" formatCode="&quot;R$&quot;\ #,##0.00;[Red]&quot;R$&quot;\ #,##0.00"/>
    <numFmt numFmtId="166" formatCode="&quot;R$&quot;\ #,##0.00"/>
    <numFmt numFmtId="167" formatCode="0.0"/>
    <numFmt numFmtId="168" formatCode="#,##0.0"/>
  </numFmts>
  <fonts count="1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Symbol"/>
      <family val="1"/>
      <charset val="2"/>
    </font>
    <font>
      <sz val="9"/>
      <name val="Arial"/>
      <family val="2"/>
    </font>
    <font>
      <sz val="8"/>
      <name val="Arial"/>
      <family val="2"/>
    </font>
    <font>
      <sz val="15"/>
      <color rgb="FF0070C0"/>
      <name val="Arial"/>
      <family val="2"/>
    </font>
    <font>
      <b/>
      <strike/>
      <sz val="10"/>
      <color rgb="FFFF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rgb="FFFF0000"/>
      <name val="Arial"/>
      <family val="2"/>
    </font>
    <font>
      <b/>
      <sz val="5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</cellStyleXfs>
  <cellXfs count="9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4" fillId="0" borderId="0" xfId="0" applyFont="1"/>
    <xf numFmtId="0" fontId="4" fillId="0" borderId="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166" fontId="3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Fill="1" applyBorder="1" applyAlignment="1">
      <alignment horizontal="left" vertical="center"/>
    </xf>
    <xf numFmtId="164" fontId="0" fillId="0" borderId="1" xfId="1" applyFont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166" fontId="3" fillId="3" borderId="1" xfId="0" applyNumberFormat="1" applyFont="1" applyFill="1" applyBorder="1" applyAlignment="1">
      <alignment horizontal="center" vertical="center"/>
    </xf>
    <xf numFmtId="164" fontId="0" fillId="0" borderId="9" xfId="1" applyFont="1" applyBorder="1"/>
    <xf numFmtId="164" fontId="3" fillId="3" borderId="11" xfId="1" applyFont="1" applyFill="1" applyBorder="1"/>
    <xf numFmtId="164" fontId="0" fillId="0" borderId="14" xfId="1" applyFont="1" applyBorder="1" applyProtection="1">
      <protection locked="0"/>
    </xf>
    <xf numFmtId="164" fontId="0" fillId="0" borderId="16" xfId="1" applyFont="1" applyBorder="1" applyProtection="1">
      <protection locked="0"/>
    </xf>
    <xf numFmtId="164" fontId="3" fillId="3" borderId="12" xfId="1" applyFont="1" applyFill="1" applyBorder="1"/>
    <xf numFmtId="0" fontId="2" fillId="0" borderId="17" xfId="0" applyFont="1" applyBorder="1"/>
    <xf numFmtId="0" fontId="4" fillId="0" borderId="17" xfId="0" applyFont="1" applyBorder="1"/>
    <xf numFmtId="0" fontId="0" fillId="0" borderId="17" xfId="0" applyBorder="1"/>
    <xf numFmtId="0" fontId="0" fillId="0" borderId="18" xfId="0" applyBorder="1"/>
    <xf numFmtId="0" fontId="3" fillId="3" borderId="3" xfId="0" applyFont="1" applyFill="1" applyBorder="1"/>
    <xf numFmtId="164" fontId="0" fillId="0" borderId="13" xfId="1" applyFont="1" applyBorder="1"/>
    <xf numFmtId="164" fontId="0" fillId="0" borderId="15" xfId="1" applyFont="1" applyBorder="1"/>
    <xf numFmtId="164" fontId="3" fillId="3" borderId="10" xfId="1" applyFont="1" applyFill="1" applyBorder="1"/>
    <xf numFmtId="0" fontId="3" fillId="0" borderId="0" xfId="0" applyFont="1" applyBorder="1" applyAlignment="1">
      <alignment horizontal="left" vertical="center"/>
    </xf>
    <xf numFmtId="0" fontId="4" fillId="0" borderId="21" xfId="0" applyFont="1" applyBorder="1" applyAlignment="1" applyProtection="1">
      <alignment vertical="center"/>
      <protection locked="0"/>
    </xf>
    <xf numFmtId="0" fontId="0" fillId="0" borderId="21" xfId="0" applyBorder="1" applyProtection="1">
      <protection locked="0"/>
    </xf>
    <xf numFmtId="0" fontId="2" fillId="0" borderId="22" xfId="0" applyFont="1" applyBorder="1"/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164" fontId="0" fillId="0" borderId="19" xfId="1" applyFont="1" applyBorder="1"/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167" fontId="1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2" applyFont="1" applyFill="1" applyBorder="1" applyAlignment="1" applyProtection="1">
      <alignment horizontal="center" vertical="center" wrapText="1"/>
      <protection locked="0"/>
    </xf>
    <xf numFmtId="166" fontId="1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28" xfId="1" applyFont="1" applyBorder="1"/>
    <xf numFmtId="164" fontId="0" fillId="0" borderId="29" xfId="1" applyFont="1" applyBorder="1"/>
    <xf numFmtId="164" fontId="0" fillId="0" borderId="30" xfId="1" applyFont="1" applyBorder="1" applyProtection="1">
      <protection locked="0"/>
    </xf>
    <xf numFmtId="164" fontId="0" fillId="0" borderId="30" xfId="1" applyFont="1" applyBorder="1"/>
    <xf numFmtId="164" fontId="0" fillId="0" borderId="20" xfId="1" applyFont="1" applyBorder="1"/>
    <xf numFmtId="0" fontId="3" fillId="2" borderId="0" xfId="0" applyFont="1" applyFill="1" applyBorder="1" applyAlignment="1">
      <alignment vertical="center" wrapText="1"/>
    </xf>
    <xf numFmtId="0" fontId="2" fillId="0" borderId="32" xfId="0" applyFont="1" applyBorder="1"/>
    <xf numFmtId="0" fontId="4" fillId="0" borderId="32" xfId="0" applyFont="1" applyBorder="1"/>
    <xf numFmtId="0" fontId="0" fillId="0" borderId="32" xfId="0" applyBorder="1"/>
    <xf numFmtId="0" fontId="0" fillId="0" borderId="33" xfId="0" applyBorder="1"/>
    <xf numFmtId="0" fontId="3" fillId="3" borderId="21" xfId="0" applyFont="1" applyFill="1" applyBorder="1"/>
    <xf numFmtId="168" fontId="0" fillId="0" borderId="19" xfId="1" applyNumberFormat="1" applyFont="1" applyBorder="1" applyAlignment="1">
      <alignment horizontal="center"/>
    </xf>
    <xf numFmtId="168" fontId="0" fillId="0" borderId="2" xfId="1" applyNumberFormat="1" applyFont="1" applyBorder="1" applyAlignment="1">
      <alignment horizontal="center"/>
    </xf>
    <xf numFmtId="168" fontId="0" fillId="0" borderId="20" xfId="1" applyNumberFormat="1" applyFont="1" applyBorder="1" applyAlignment="1">
      <alignment horizontal="center"/>
    </xf>
    <xf numFmtId="168" fontId="0" fillId="0" borderId="13" xfId="1" applyNumberFormat="1" applyFont="1" applyBorder="1" applyAlignment="1">
      <alignment horizontal="center"/>
    </xf>
    <xf numFmtId="168" fontId="0" fillId="0" borderId="1" xfId="1" applyNumberFormat="1" applyFont="1" applyBorder="1" applyAlignment="1">
      <alignment horizontal="center"/>
    </xf>
    <xf numFmtId="168" fontId="0" fillId="0" borderId="14" xfId="1" applyNumberFormat="1" applyFont="1" applyBorder="1" applyAlignment="1">
      <alignment horizontal="center"/>
    </xf>
    <xf numFmtId="168" fontId="0" fillId="0" borderId="35" xfId="1" applyNumberFormat="1" applyFont="1" applyBorder="1" applyAlignment="1">
      <alignment horizontal="center"/>
    </xf>
    <xf numFmtId="168" fontId="0" fillId="0" borderId="36" xfId="1" applyNumberFormat="1" applyFont="1" applyBorder="1" applyAlignment="1">
      <alignment horizontal="center"/>
    </xf>
    <xf numFmtId="168" fontId="0" fillId="0" borderId="37" xfId="1" applyNumberFormat="1" applyFont="1" applyBorder="1" applyAlignment="1">
      <alignment horizontal="center"/>
    </xf>
    <xf numFmtId="168" fontId="3" fillId="3" borderId="34" xfId="1" applyNumberFormat="1" applyFont="1" applyFill="1" applyBorder="1" applyAlignment="1">
      <alignment horizontal="center"/>
    </xf>
    <xf numFmtId="168" fontId="3" fillId="3" borderId="11" xfId="1" applyNumberFormat="1" applyFont="1" applyFill="1" applyBorder="1" applyAlignment="1">
      <alignment horizontal="center"/>
    </xf>
    <xf numFmtId="168" fontId="3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  <xf numFmtId="0" fontId="3" fillId="0" borderId="5" xfId="0" applyFont="1" applyFill="1" applyBorder="1" applyAlignment="1">
      <alignment horizontal="left" vertical="center" wrapText="1"/>
    </xf>
    <xf numFmtId="0" fontId="9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165" fontId="3" fillId="3" borderId="6" xfId="0" applyNumberFormat="1" applyFont="1" applyFill="1" applyBorder="1" applyAlignment="1">
      <alignment horizontal="center" vertical="center"/>
    </xf>
    <xf numFmtId="165" fontId="3" fillId="3" borderId="7" xfId="0" applyNumberFormat="1" applyFont="1" applyFill="1" applyBorder="1" applyAlignment="1">
      <alignment horizontal="center" vertical="center"/>
    </xf>
    <xf numFmtId="165" fontId="3" fillId="3" borderId="8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3" fillId="3" borderId="1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0" fontId="3" fillId="3" borderId="26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</cellXfs>
  <cellStyles count="4">
    <cellStyle name="Moeda" xfId="1" builtinId="4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5</xdr:row>
          <xdr:rowOff>38100</xdr:rowOff>
        </xdr:from>
        <xdr:to>
          <xdr:col>11</xdr:col>
          <xdr:colOff>525780</xdr:colOff>
          <xdr:row>5</xdr:row>
          <xdr:rowOff>365760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716280</xdr:colOff>
          <xdr:row>5</xdr:row>
          <xdr:rowOff>45720</xdr:rowOff>
        </xdr:from>
        <xdr:to>
          <xdr:col>13</xdr:col>
          <xdr:colOff>304800</xdr:colOff>
          <xdr:row>5</xdr:row>
          <xdr:rowOff>350520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Deletar Linhas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X24"/>
  <sheetViews>
    <sheetView showGridLines="0" tabSelected="1" zoomScale="84" zoomScaleNormal="84" workbookViewId="0">
      <selection activeCell="E3" sqref="E3"/>
    </sheetView>
  </sheetViews>
  <sheetFormatPr defaultRowHeight="13.2" x14ac:dyDescent="0.25"/>
  <cols>
    <col min="1" max="1" width="5.6640625" style="1" customWidth="1"/>
    <col min="2" max="2" width="9.44140625" style="1" customWidth="1"/>
    <col min="3" max="3" width="12.33203125" style="1" bestFit="1" customWidth="1"/>
    <col min="4" max="4" width="47.109375" style="1" customWidth="1"/>
    <col min="5" max="5" width="37.109375" style="1" customWidth="1"/>
    <col min="6" max="6" width="17.6640625" style="1" customWidth="1"/>
    <col min="7" max="7" width="14.6640625" style="1" customWidth="1"/>
    <col min="8" max="8" width="21.5546875" style="1" customWidth="1"/>
    <col min="9" max="9" width="16" customWidth="1"/>
    <col min="10" max="10" width="18" customWidth="1"/>
    <col min="12" max="12" width="13.33203125" bestFit="1" customWidth="1"/>
  </cols>
  <sheetData>
    <row r="1" spans="1:24" ht="16.2" thickBot="1" x14ac:dyDescent="0.3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4" ht="13.8" thickBot="1" x14ac:dyDescent="0.3">
      <c r="A2" s="75"/>
      <c r="B2" s="75"/>
      <c r="C2" s="75"/>
      <c r="D2" s="75"/>
      <c r="E2" s="2"/>
      <c r="F2" s="2"/>
      <c r="G2" s="2"/>
      <c r="H2" s="2"/>
      <c r="I2" s="27" t="s">
        <v>3</v>
      </c>
      <c r="J2" s="29"/>
    </row>
    <row r="3" spans="1:24" ht="13.8" thickBot="1" x14ac:dyDescent="0.3">
      <c r="A3" s="79" t="s">
        <v>4</v>
      </c>
      <c r="B3" s="79"/>
      <c r="C3" s="79"/>
      <c r="D3" s="79"/>
      <c r="E3" s="28"/>
      <c r="F3" s="5"/>
      <c r="G3" s="5"/>
      <c r="H3" s="5"/>
      <c r="I3" s="4"/>
    </row>
    <row r="4" spans="1:24" x14ac:dyDescent="0.25">
      <c r="A4" s="81"/>
      <c r="B4" s="81"/>
      <c r="C4" s="81"/>
      <c r="D4" s="81"/>
      <c r="E4" s="81"/>
      <c r="F4" s="81"/>
      <c r="G4" s="81"/>
      <c r="H4" s="81"/>
      <c r="I4" s="81"/>
      <c r="J4" s="81"/>
    </row>
    <row r="5" spans="1:24" x14ac:dyDescent="0.25">
      <c r="A5" s="81"/>
      <c r="B5" s="81"/>
      <c r="C5" s="81"/>
      <c r="D5" s="81"/>
      <c r="E5" s="81"/>
      <c r="F5" s="81"/>
      <c r="G5" s="81"/>
      <c r="H5" s="81"/>
      <c r="I5" s="81"/>
      <c r="J5" s="81"/>
      <c r="L5" s="3"/>
    </row>
    <row r="6" spans="1:24" ht="39.6" x14ac:dyDescent="0.25">
      <c r="A6" s="11" t="s">
        <v>32</v>
      </c>
      <c r="B6" s="11" t="s">
        <v>7</v>
      </c>
      <c r="C6" s="11" t="s">
        <v>5</v>
      </c>
      <c r="D6" s="11" t="s">
        <v>1</v>
      </c>
      <c r="E6" s="11" t="s">
        <v>25</v>
      </c>
      <c r="F6" s="11" t="s">
        <v>26</v>
      </c>
      <c r="G6" s="11" t="s">
        <v>2</v>
      </c>
      <c r="H6" s="11" t="s">
        <v>21</v>
      </c>
      <c r="I6" s="11" t="s">
        <v>6</v>
      </c>
      <c r="J6" s="12" t="s">
        <v>22</v>
      </c>
      <c r="X6" s="3"/>
    </row>
    <row r="7" spans="1:24" x14ac:dyDescent="0.25">
      <c r="A7" s="38"/>
      <c r="B7" s="39"/>
      <c r="C7" s="39"/>
      <c r="D7" s="39"/>
      <c r="E7" s="39"/>
      <c r="F7" s="41"/>
      <c r="G7" s="40"/>
      <c r="H7" s="39"/>
      <c r="I7" s="39"/>
      <c r="J7" s="41"/>
      <c r="X7" s="3"/>
    </row>
    <row r="8" spans="1:24" x14ac:dyDescent="0.25">
      <c r="A8" s="38"/>
      <c r="B8" s="39"/>
      <c r="C8" s="39"/>
      <c r="D8" s="39"/>
      <c r="E8" s="39"/>
      <c r="F8" s="41"/>
      <c r="G8" s="40"/>
      <c r="H8" s="39"/>
      <c r="I8" s="39"/>
      <c r="J8" s="41"/>
      <c r="X8" s="3"/>
    </row>
    <row r="9" spans="1:24" x14ac:dyDescent="0.25">
      <c r="A9" s="38"/>
      <c r="B9" s="39"/>
      <c r="C9" s="39"/>
      <c r="D9" s="39"/>
      <c r="E9" s="39"/>
      <c r="F9" s="41"/>
      <c r="G9" s="40"/>
      <c r="H9" s="39"/>
      <c r="I9" s="39"/>
      <c r="J9" s="41"/>
      <c r="X9" s="3"/>
    </row>
    <row r="10" spans="1:24" x14ac:dyDescent="0.25">
      <c r="A10" s="38"/>
      <c r="B10" s="39"/>
      <c r="C10" s="39"/>
      <c r="D10" s="39"/>
      <c r="E10" s="39"/>
      <c r="F10" s="41"/>
      <c r="G10" s="40"/>
      <c r="H10" s="39"/>
      <c r="I10" s="39"/>
      <c r="J10" s="41"/>
      <c r="X10" s="3"/>
    </row>
    <row r="11" spans="1:24" x14ac:dyDescent="0.25">
      <c r="A11" s="38"/>
      <c r="B11" s="39"/>
      <c r="C11" s="39"/>
      <c r="D11" s="39"/>
      <c r="E11" s="39"/>
      <c r="F11" s="41"/>
      <c r="G11" s="40"/>
      <c r="H11" s="39"/>
      <c r="I11" s="39"/>
      <c r="J11" s="41"/>
      <c r="X11" s="3"/>
    </row>
    <row r="12" spans="1:24" x14ac:dyDescent="0.25">
      <c r="A12" s="38"/>
      <c r="B12" s="39"/>
      <c r="C12" s="39"/>
      <c r="D12" s="39"/>
      <c r="E12" s="39"/>
      <c r="F12" s="41"/>
      <c r="G12" s="40"/>
      <c r="H12" s="39"/>
      <c r="I12" s="39"/>
      <c r="J12" s="41"/>
      <c r="X12" s="3"/>
    </row>
    <row r="13" spans="1:24" x14ac:dyDescent="0.25">
      <c r="A13" s="38"/>
      <c r="B13" s="39"/>
      <c r="C13" s="39"/>
      <c r="D13" s="39"/>
      <c r="E13" s="39"/>
      <c r="F13" s="41"/>
      <c r="G13" s="40"/>
      <c r="H13" s="39"/>
      <c r="I13" s="39"/>
      <c r="J13" s="41"/>
      <c r="X13" s="3"/>
    </row>
    <row r="14" spans="1:24" x14ac:dyDescent="0.25">
      <c r="A14" s="38"/>
      <c r="B14" s="39"/>
      <c r="C14" s="39"/>
      <c r="D14" s="39"/>
      <c r="E14" s="39"/>
      <c r="F14" s="41"/>
      <c r="G14" s="40"/>
      <c r="H14" s="39"/>
      <c r="I14" s="39"/>
      <c r="J14" s="41"/>
      <c r="X14" s="3"/>
    </row>
    <row r="15" spans="1:24" x14ac:dyDescent="0.25">
      <c r="A15" s="38"/>
      <c r="B15" s="39"/>
      <c r="C15" s="39"/>
      <c r="D15" s="39"/>
      <c r="E15" s="39"/>
      <c r="F15" s="41"/>
      <c r="G15" s="40"/>
      <c r="H15" s="39"/>
      <c r="I15" s="39"/>
      <c r="J15" s="41"/>
      <c r="X15" s="3"/>
    </row>
    <row r="16" spans="1:24" x14ac:dyDescent="0.25">
      <c r="A16" s="38"/>
      <c r="B16" s="39"/>
      <c r="C16" s="39"/>
      <c r="D16" s="39"/>
      <c r="E16" s="39"/>
      <c r="F16" s="41"/>
      <c r="G16" s="40"/>
      <c r="H16" s="39"/>
      <c r="I16" s="39"/>
      <c r="J16" s="41"/>
      <c r="X16" s="3"/>
    </row>
    <row r="17" spans="1:24" x14ac:dyDescent="0.25">
      <c r="A17" s="38"/>
      <c r="B17" s="39"/>
      <c r="C17" s="39"/>
      <c r="D17" s="39"/>
      <c r="E17" s="39"/>
      <c r="F17" s="41"/>
      <c r="G17" s="40"/>
      <c r="H17" s="39"/>
      <c r="I17" s="39"/>
      <c r="J17" s="41"/>
      <c r="X17" s="3"/>
    </row>
    <row r="18" spans="1:24" x14ac:dyDescent="0.25">
      <c r="A18" s="80" t="s">
        <v>27</v>
      </c>
      <c r="B18" s="80"/>
      <c r="C18" s="80"/>
      <c r="D18" s="80"/>
      <c r="E18" s="80"/>
      <c r="F18" s="76">
        <f ca="1">SUM(INDIRECT("F7:F"&amp;ROW()-1))</f>
        <v>0</v>
      </c>
      <c r="G18" s="77"/>
      <c r="H18" s="77"/>
      <c r="I18" s="78"/>
      <c r="J18" s="13">
        <f ca="1">SUM(INDIRECT("J7:J"&amp;ROW()-1))</f>
        <v>0</v>
      </c>
    </row>
    <row r="19" spans="1:24" s="8" customFormat="1" ht="13.8" thickBot="1" x14ac:dyDescent="0.3">
      <c r="A19" s="6"/>
      <c r="B19" s="6"/>
      <c r="C19" s="6"/>
      <c r="D19" s="6"/>
      <c r="E19" s="6"/>
      <c r="F19" s="7"/>
      <c r="G19" s="7"/>
      <c r="H19" s="7"/>
      <c r="I19" s="7"/>
    </row>
    <row r="20" spans="1:24" ht="61.5" customHeight="1" thickBot="1" x14ac:dyDescent="0.3">
      <c r="A20" s="66" t="s">
        <v>30</v>
      </c>
      <c r="B20" s="67"/>
      <c r="C20" s="67"/>
      <c r="D20" s="67"/>
      <c r="E20" s="67"/>
      <c r="F20" s="67"/>
      <c r="G20" s="67"/>
      <c r="H20" s="67"/>
      <c r="I20" s="67"/>
      <c r="J20" s="68"/>
    </row>
    <row r="21" spans="1:24" x14ac:dyDescent="0.25">
      <c r="A21" s="9"/>
      <c r="B21" s="9"/>
      <c r="C21" s="9"/>
      <c r="D21" s="9"/>
      <c r="E21" s="9"/>
      <c r="F21" s="9"/>
      <c r="G21" s="9"/>
      <c r="H21" s="9"/>
      <c r="I21" s="9"/>
    </row>
    <row r="22" spans="1:24" x14ac:dyDescent="0.25">
      <c r="A22" s="65" t="s">
        <v>31</v>
      </c>
      <c r="B22" s="65"/>
      <c r="C22" s="65"/>
      <c r="D22" s="65"/>
      <c r="E22" s="65"/>
      <c r="F22" s="65"/>
      <c r="G22" s="65"/>
      <c r="H22" s="65"/>
      <c r="I22" s="65"/>
      <c r="J22" s="65"/>
    </row>
    <row r="23" spans="1:24" ht="18.600000000000001" x14ac:dyDescent="0.25">
      <c r="E23" s="69"/>
      <c r="F23" s="69"/>
      <c r="G23" s="69"/>
      <c r="H23" s="69"/>
      <c r="I23" s="69"/>
      <c r="J23" s="69"/>
    </row>
    <row r="24" spans="1:24" ht="17.25" customHeight="1" x14ac:dyDescent="0.25">
      <c r="E24" s="70"/>
      <c r="F24" s="71"/>
      <c r="G24" s="71"/>
      <c r="H24" s="71"/>
      <c r="I24" s="71"/>
      <c r="J24" s="71"/>
    </row>
  </sheetData>
  <sheetProtection algorithmName="SHA-512" hashValue="LRfbp6KFNpoBcrQ4PCeo1bem1yAyah3mfgUSvffL7o+YW/j422Xb6a8X9tgALqr2uARROUMIqEuemk+RsgQoFg==" saltValue="nyYRSumKOWRrMduXx+R83w==" spinCount="100000" sheet="1" objects="1" scenarios="1" formatCells="0" formatColumns="0" formatRows="0" autoFilter="0"/>
  <autoFilter ref="A6:J18"/>
  <mergeCells count="10">
    <mergeCell ref="A22:J22"/>
    <mergeCell ref="A20:J20"/>
    <mergeCell ref="E23:J23"/>
    <mergeCell ref="E24:J24"/>
    <mergeCell ref="A1:J1"/>
    <mergeCell ref="A2:D2"/>
    <mergeCell ref="F18:I18"/>
    <mergeCell ref="A3:D3"/>
    <mergeCell ref="A18:E18"/>
    <mergeCell ref="A4:J5"/>
  </mergeCells>
  <phoneticPr fontId="0" type="noConversion"/>
  <dataValidations count="3">
    <dataValidation type="list" allowBlank="1" showInputMessage="1" showErrorMessage="1" errorTitle="Erro!" error="Fonte Selecionada não listada." sqref="G7:G17">
      <formula1>"Gesp,Agência de Fomento, Fundepag,Outra"</formula1>
    </dataValidation>
    <dataValidation type="list" allowBlank="1" showInputMessage="1" showErrorMessage="1" sqref="I7:I17">
      <formula1>"Obra,Serviço,Material Permanente"</formula1>
    </dataValidation>
    <dataValidation type="list" allowBlank="1" showInputMessage="1" showErrorMessage="1" sqref="B7:B17">
      <formula1>"CCQA, Cereal Chocotec, Cetea, CTC, Diretoria Geral, Fruthotec, Tecnolat"</formula1>
    </dataValidation>
  </dataValidations>
  <pageMargins left="0.39370078740157483" right="0.19685039370078741" top="0.39370078740157483" bottom="0.39370078740157483" header="0.39370078740157483" footer="0.31496062992125984"/>
  <pageSetup paperSize="9" scale="72" orientation="landscape" verticalDpi="300" r:id="rId1"/>
  <headerFooter alignWithMargins="0">
    <oddHeader>&amp;RFolha &amp;P/&amp;N</oddHeader>
    <oddFooter xml:space="preserve">&amp;LFQ-06.05 (anexo à IT-06.01.01) - RA - revisão 09 de 08/07/22 - Página 1/2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otão6_Clique">
                <anchor moveWithCells="1" sizeWithCells="1">
                  <from>
                    <xdr:col>10</xdr:col>
                    <xdr:colOff>99060</xdr:colOff>
                    <xdr:row>5</xdr:row>
                    <xdr:rowOff>38100</xdr:rowOff>
                  </from>
                  <to>
                    <xdr:col>11</xdr:col>
                    <xdr:colOff>525780</xdr:colOff>
                    <xdr:row>5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tão7_Clique">
                <anchor moveWithCells="1" sizeWithCells="1">
                  <from>
                    <xdr:col>11</xdr:col>
                    <xdr:colOff>716280</xdr:colOff>
                    <xdr:row>5</xdr:row>
                    <xdr:rowOff>45720</xdr:rowOff>
                  </from>
                  <to>
                    <xdr:col>13</xdr:col>
                    <xdr:colOff>304800</xdr:colOff>
                    <xdr:row>5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41"/>
  <sheetViews>
    <sheetView showGridLines="0" zoomScaleNormal="100" zoomScaleSheetLayoutView="90" workbookViewId="0">
      <selection activeCell="B6" sqref="B6"/>
    </sheetView>
  </sheetViews>
  <sheetFormatPr defaultRowHeight="13.2" x14ac:dyDescent="0.25"/>
  <cols>
    <col min="1" max="1" width="17" bestFit="1" customWidth="1"/>
    <col min="2" max="6" width="16.44140625" customWidth="1"/>
    <col min="7" max="7" width="18" customWidth="1"/>
  </cols>
  <sheetData>
    <row r="1" spans="1:7" x14ac:dyDescent="0.25">
      <c r="A1" s="82" t="s">
        <v>23</v>
      </c>
      <c r="B1" s="82"/>
      <c r="C1" s="82"/>
      <c r="D1" s="82"/>
      <c r="E1" s="82"/>
      <c r="F1" s="82"/>
    </row>
    <row r="2" spans="1:7" ht="13.8" thickBot="1" x14ac:dyDescent="0.3"/>
    <row r="3" spans="1:7" ht="19.5" customHeight="1" thickBot="1" x14ac:dyDescent="0.3">
      <c r="A3" s="83" t="s">
        <v>7</v>
      </c>
      <c r="B3" s="85" t="s">
        <v>29</v>
      </c>
      <c r="C3" s="86"/>
      <c r="D3" s="86"/>
      <c r="E3" s="86"/>
      <c r="F3" s="86"/>
      <c r="G3" s="87"/>
    </row>
    <row r="4" spans="1:7" ht="27" thickBot="1" x14ac:dyDescent="0.3">
      <c r="A4" s="84"/>
      <c r="B4" s="31" t="s">
        <v>15</v>
      </c>
      <c r="C4" s="32" t="s">
        <v>16</v>
      </c>
      <c r="D4" s="32" t="s">
        <v>17</v>
      </c>
      <c r="E4" s="32" t="s">
        <v>18</v>
      </c>
      <c r="F4" s="33" t="s">
        <v>20</v>
      </c>
      <c r="G4" s="33" t="s">
        <v>19</v>
      </c>
    </row>
    <row r="5" spans="1:7" x14ac:dyDescent="0.25">
      <c r="A5" s="30" t="s">
        <v>8</v>
      </c>
      <c r="B5" s="42">
        <f ca="1">SUMIFS(INDIRECT("'Plano de Investimentos'!F7:F"&amp;ROW('Plano de Investimentos'!H23)-1),INDIRECT("'Plano de Investimentos'!B7:B"&amp;ROW('Plano de Investimentos'!H23)-1),Consolidação!$A5,INDIRECT("'Plano de Investimentos'!G7:G"&amp;ROW('Plano de Investimentos'!H23)-1),Consolidação!B$4)</f>
        <v>0</v>
      </c>
      <c r="C5" s="43">
        <f ca="1">SUMIFS(INDIRECT("'Plano de Investimentos'!F7:F"&amp;ROW('Plano de Investimentos'!H23)-1),INDIRECT("'Plano de Investimentos'!B7:B"&amp;ROW('Plano de Investimentos'!H23)-1),Consolidação!$A5,INDIRECT("'Plano de Investimentos'!G7:G"&amp;ROW('Plano de Investimentos'!H23)-1),Consolidação!C$4)</f>
        <v>0</v>
      </c>
      <c r="D5" s="43">
        <f ca="1">SUMIFS(INDIRECT("'Plano de Investimentos'!F7:F"&amp;ROW('Plano de Investimentos'!H23)-1),INDIRECT("'Plano de Investimentos'!B7:B"&amp;ROW('Plano de Investimentos'!J23)-1),Consolidação!$A5,INDIRECT("'Plano de Investimentos'!G7:G"&amp;ROW('Plano de Investimentos'!H23)-1),Consolidação!D$4)</f>
        <v>0</v>
      </c>
      <c r="E5" s="43">
        <f ca="1">SUMIFS(INDIRECT("'Plano de Investimentos'!F7:F"&amp;ROW('Plano de Investimentos'!H23)-1),INDIRECT("'Plano de Investimentos'!B7:B"&amp;ROW('Plano de Investimentos'!H23)-1),Consolidação!$A5,INDIRECT("'Plano de Investimentos'!G7:G"&amp;ROW('Plano de Investimentos'!H23)-1),Consolidação!E$4)</f>
        <v>0</v>
      </c>
      <c r="F5" s="43"/>
      <c r="G5" s="45">
        <f ca="1">SUM(B5:E5)</f>
        <v>0</v>
      </c>
    </row>
    <row r="6" spans="1:7" x14ac:dyDescent="0.25">
      <c r="A6" s="19" t="s">
        <v>9</v>
      </c>
      <c r="B6" s="34">
        <f ca="1">SUMIFS(INDIRECT("'Plano de Investimentos'!F7:F"&amp;ROW('Plano de Investimentos'!H23)-1),INDIRECT("'Plano de Investimentos'!B7:B"&amp;ROW('Plano de Investimentos'!H23)-1),Consolidação!$A6,INDIRECT("'Plano de Investimentos'!G7:G"&amp;ROW('Plano de Investimentos'!H23)-1),Consolidação!B$4)</f>
        <v>0</v>
      </c>
      <c r="C6" s="10">
        <f ca="1">SUMIFS(INDIRECT("'Plano de Investimentos'!F7:F"&amp;ROW('Plano de Investimentos'!H23)-1),INDIRECT("'Plano de Investimentos'!B7:B"&amp;ROW('Plano de Investimentos'!H23)-1),Consolidação!$A6,INDIRECT("'Plano de Investimentos'!G7:G"&amp;ROW('Plano de Investimentos'!H23)-1),Consolidação!C$4)</f>
        <v>0</v>
      </c>
      <c r="D6" s="10">
        <f ca="1">SUMIFS(INDIRECT("'Plano de Investimentos'!F7:F"&amp;ROW('Plano de Investimentos'!H23)-1),INDIRECT("'Plano de Investimentos'!B7:B"&amp;ROW('Plano de Investimentos'!H23)-1),Consolidação!$A6,INDIRECT("'Plano de Investimentos'!G7:G"&amp;ROW('Plano de Investimentos'!H23)-1),Consolidação!D$4)</f>
        <v>0</v>
      </c>
      <c r="E6" s="10">
        <f ca="1">SUMIFS(INDIRECT("'Plano de Investimentos'!F7:F"&amp;ROW('Plano de Investimentos'!H23)-1),INDIRECT("'Plano de Investimentos'!B7:B"&amp;ROW('Plano de Investimentos'!H23)-1),Consolidação!$A6,INDIRECT("'Plano de Investimentos'!G7:G"&amp;ROW('Plano de Investimentos'!H23)-1),Consolidação!E$4)</f>
        <v>0</v>
      </c>
      <c r="F6" s="10"/>
      <c r="G6" s="46">
        <f t="shared" ref="G6:G11" ca="1" si="0">SUM(B6:E6)</f>
        <v>0</v>
      </c>
    </row>
    <row r="7" spans="1:7" x14ac:dyDescent="0.25">
      <c r="A7" s="20" t="s">
        <v>10</v>
      </c>
      <c r="B7" s="34">
        <f ca="1">SUMIFS(INDIRECT("'Plano de Investimentos'!F7:F"&amp;ROW('Plano de Investimentos'!H23)-1),INDIRECT("'Plano de Investimentos'!B7:B"&amp;ROW('Plano de Investimentos'!H23)-1),Consolidação!$A7,INDIRECT("'Plano de Investimentos'!G7:G"&amp;ROW('Plano de Investimentos'!H23)-1),Consolidação!B$4)</f>
        <v>0</v>
      </c>
      <c r="C7" s="10">
        <f ca="1">SUMIFS(INDIRECT("'Plano de Investimentos'!F7:F"&amp;ROW('Plano de Investimentos'!H23)-1),INDIRECT("'Plano de Investimentos'!B7:B"&amp;ROW('Plano de Investimentos'!H23)-1),Consolidação!$A7,INDIRECT("'Plano de Investimentos'!G7:G"&amp;ROW('Plano de Investimentos'!H23)-1),Consolidação!C$4)</f>
        <v>0</v>
      </c>
      <c r="D7" s="10">
        <f ca="1">SUMIFS(INDIRECT("'Plano de Investimentos'!F7:F"&amp;ROW('Plano de Investimentos'!H23)-1),INDIRECT("'Plano de Investimentos'!B7:B"&amp;ROW('Plano de Investimentos'!H23)-1),Consolidação!$A7,INDIRECT("'Plano de Investimentos'!G7:G"&amp;ROW('Plano de Investimentos'!H23)-1),Consolidação!D$4)</f>
        <v>0</v>
      </c>
      <c r="E7" s="10">
        <f ca="1">SUMIFS(INDIRECT("'Plano de Investimentos'!F7:F"&amp;ROW('Plano de Investimentos'!H23)-1),INDIRECT("'Plano de Investimentos'!B7:B"&amp;ROW('Plano de Investimentos'!H23)-1),Consolidação!$A7,INDIRECT("'Plano de Investimentos'!G7:G"&amp;ROW('Plano de Investimentos'!H23)-1),Consolidação!E$4)</f>
        <v>0</v>
      </c>
      <c r="F7" s="10"/>
      <c r="G7" s="46">
        <f t="shared" ca="1" si="0"/>
        <v>0</v>
      </c>
    </row>
    <row r="8" spans="1:7" x14ac:dyDescent="0.25">
      <c r="A8" s="21" t="s">
        <v>11</v>
      </c>
      <c r="B8" s="34">
        <f ca="1">SUMIFS(INDIRECT("'Plano de Investimentos'!F7:F"&amp;ROW('Plano de Investimentos'!H20)-1),INDIRECT("'Plano de Investimentos'!B7:B"&amp;ROW('Plano de Investimentos'!H20)-1),Consolidação!$A8,INDIRECT("'Plano de Investimentos'!G7:G"&amp;ROW('Plano de Investimentos'!H20)-1),Consolidação!B$4)</f>
        <v>0</v>
      </c>
      <c r="C8" s="10">
        <f ca="1">SUMIFS(INDIRECT("'Plano de Investimentos'!F7:F"&amp;ROW('Plano de Investimentos'!H23)-1),INDIRECT("'Plano de Investimentos'!B7:B"&amp;ROW('Plano de Investimentos'!H23)-1),Consolidação!$A8,INDIRECT("'Plano de Investimentos'!G7:G"&amp;ROW('Plano de Investimentos'!H23)-1),Consolidação!C$4)</f>
        <v>0</v>
      </c>
      <c r="D8" s="10">
        <f ca="1">SUMIFS(INDIRECT("'Plano de Investimentos'!F7:F"&amp;ROW('Plano de Investimentos'!H23)-1),INDIRECT("'Plano de Investimentos'!B7:B"&amp;ROW('Plano de Investimentos'!H23)-1),Consolidação!$A8,INDIRECT("'Plano de Investimentos'!G7:G"&amp;ROW('Plano de Investimentos'!H23)-1),Consolidação!D$4)</f>
        <v>0</v>
      </c>
      <c r="E8" s="10">
        <f ca="1">SUMIFS(INDIRECT("'Plano de Investimentos'!F7:F"&amp;ROW('Plano de Investimentos'!H23)-1),INDIRECT("'Plano de Investimentos'!B7:B"&amp;ROW('Plano de Investimentos'!H23)-1),Consolidação!$A8,INDIRECT("'Plano de Investimentos'!G7:G"&amp;ROW('Plano de Investimentos'!H23)-1),Consolidação!E$4)</f>
        <v>0</v>
      </c>
      <c r="F8" s="10"/>
      <c r="G8" s="46">
        <f t="shared" ca="1" si="0"/>
        <v>0</v>
      </c>
    </row>
    <row r="9" spans="1:7" x14ac:dyDescent="0.25">
      <c r="A9" s="21" t="s">
        <v>12</v>
      </c>
      <c r="B9" s="34">
        <f ca="1">SUMIFS(INDIRECT("'Plano de Investimentos'!F7:F"&amp;ROW('Plano de Investimentos'!H23)-1),INDIRECT("'Plano de Investimentos'!B7:B"&amp;ROW('Plano de Investimentos'!H23)-1),Consolidação!$A9,INDIRECT("'Plano de Investimentos'!G7:G"&amp;ROW('Plano de Investimentos'!H23)-1),Consolidação!B$4)</f>
        <v>0</v>
      </c>
      <c r="C9" s="10">
        <f ca="1">SUMIFS(INDIRECT("'Plano de Investimentos'!F7:F"&amp;ROW('Plano de Investimentos'!H23)-1),INDIRECT("'Plano de Investimentos'!B7:B"&amp;ROW('Plano de Investimentos'!H23)-1),Consolidação!$A9,INDIRECT("'Plano de Investimentos'!G7:G"&amp;ROW('Plano de Investimentos'!H23)-1),Consolidação!C$4)</f>
        <v>0</v>
      </c>
      <c r="D9" s="10">
        <f ca="1">SUMIFS(INDIRECT("'Plano de Investimentos'!F7:F"&amp;ROW('Plano de Investimentos'!H23)-1),INDIRECT("'Plano de Investimentos'!B7:B"&amp;ROW('Plano de Investimentos'!H23)-1),Consolidação!$A9,INDIRECT("'Plano de Investimentos'!G7:G"&amp;ROW('Plano de Investimentos'!H23)-1),Consolidação!D$4)</f>
        <v>0</v>
      </c>
      <c r="E9" s="10">
        <f ca="1">SUMIFS(INDIRECT("'Plano de Investimentos'!F7:F"&amp;ROW('Plano de Investimentos'!H23)-1),INDIRECT("'Plano de Investimentos'!B7:B"&amp;ROW('Plano de Investimentos'!H23)-1),Consolidação!$A9,INDIRECT("'Plano de Investimentos'!G7:G"&amp;ROW('Plano de Investimentos'!H23)-1),Consolidação!E$4)</f>
        <v>0</v>
      </c>
      <c r="F9" s="10"/>
      <c r="G9" s="46">
        <f t="shared" ca="1" si="0"/>
        <v>0</v>
      </c>
    </row>
    <row r="10" spans="1:7" x14ac:dyDescent="0.25">
      <c r="A10" s="21" t="s">
        <v>13</v>
      </c>
      <c r="B10" s="34">
        <f ca="1">SUMIFS(INDIRECT("'Plano de Investimentos'!F7:F"&amp;ROW('Plano de Investimentos'!H23)-1),INDIRECT("'Plano de Investimentos'!B7:B"&amp;ROW('Plano de Investimentos'!H23)-1),Consolidação!$A10,INDIRECT("'Plano de Investimentos'!G7:G"&amp;ROW('Plano de Investimentos'!H23)-1),Consolidação!B$4)</f>
        <v>0</v>
      </c>
      <c r="C10" s="10">
        <f ca="1">SUMIFS(INDIRECT("'Plano de Investimentos'!F7:F"&amp;ROW('Plano de Investimentos'!H23)-1),INDIRECT("'Plano de Investimentos'!B7:B"&amp;ROW('Plano de Investimentos'!I23)-1),Consolidação!$A10,INDIRECT("'Plano de Investimentos'!G7:G"&amp;ROW('Plano de Investimentos'!I23)-1),Consolidação!C$4)</f>
        <v>0</v>
      </c>
      <c r="D10" s="10">
        <f ca="1">SUMIFS(INDIRECT("'Plano de Investimentos'!F7:F"&amp;ROW('Plano de Investimentos'!H23)-1),INDIRECT("'Plano de Investimentos'!B7:B"&amp;ROW('Plano de Investimentos'!H23)-1),Consolidação!$A10,INDIRECT("'Plano de Investimentos'!G7:G"&amp;ROW('Plano de Investimentos'!J23)-1),Consolidação!D$4)</f>
        <v>0</v>
      </c>
      <c r="E10" s="10">
        <f ca="1">SUMIFS(INDIRECT("'Plano de Investimentos'!F7:F"&amp;ROW('Plano de Investimentos'!H23)-1),INDIRECT("'Plano de Investimentos'!B7:B"&amp;ROW('Plano de Investimentos'!H23)-1),Consolidação!$A10,INDIRECT("'Plano de Investimentos'!G7:G"&amp;ROW('Plano de Investimentos'!K23)-1),Consolidação!E$4)</f>
        <v>0</v>
      </c>
      <c r="F10" s="10"/>
      <c r="G10" s="46">
        <f t="shared" ca="1" si="0"/>
        <v>0</v>
      </c>
    </row>
    <row r="11" spans="1:7" ht="13.8" thickBot="1" x14ac:dyDescent="0.3">
      <c r="A11" s="22" t="s">
        <v>14</v>
      </c>
      <c r="B11" s="34">
        <f ca="1">SUMIFS(INDIRECT("'Plano de Investimentos'!F7:F"&amp;ROW('Plano de Investimentos'!H23)-1),INDIRECT("'Plano de Investimentos'!B7:B"&amp;ROW('Plano de Investimentos'!H23)-1),Consolidação!$A11,INDIRECT("'Plano de Investimentos'!G7:G"&amp;ROW('Plano de Investimentos'!H23)-1),Consolidação!B$4)</f>
        <v>0</v>
      </c>
      <c r="C11" s="10">
        <f ca="1">SUMIFS(INDIRECT("'Plano de Investimentos'!F7:F"&amp;ROW('Plano de Investimentos'!H23)-1),INDIRECT("'Plano de Investimentos'!B7:B"&amp;ROW('Plano de Investimentos'!H23)-1),Consolidação!$A11,INDIRECT("'Plano de Investimentos'!G7:G"&amp;ROW('Plano de Investimentos'!H23)-1),Consolidação!C$4)</f>
        <v>0</v>
      </c>
      <c r="D11" s="10">
        <f ca="1">SUMIFS(INDIRECT("'Plano de Investimentos'!F7:F"&amp;ROW('Plano de Investimentos'!H23)-1),INDIRECT("'Plano de Investimentos'!B7:B"&amp;ROW('Plano de Investimentos'!H23)-1),Consolidação!$A11,INDIRECT("'Plano de Investimentos'!G7:G"&amp;ROW('Plano de Investimentos'!H23)-1),Consolidação!D$4)</f>
        <v>0</v>
      </c>
      <c r="E11" s="10">
        <f ca="1">SUMIFS(INDIRECT("'Plano de Investimentos'!F7:F"&amp;ROW('Plano de Investimentos'!H23)-1),INDIRECT("'Plano de Investimentos'!B7:B"&amp;ROW('Plano de Investimentos'!H23)-1),Consolidação!$A11,INDIRECT("'Plano de Investimentos'!G7:G"&amp;ROW('Plano de Investimentos'!H23)-1),Consolidação!E$4)</f>
        <v>0</v>
      </c>
      <c r="F11" s="10"/>
      <c r="G11" s="46">
        <f t="shared" ca="1" si="0"/>
        <v>0</v>
      </c>
    </row>
    <row r="12" spans="1:7" ht="13.8" thickBot="1" x14ac:dyDescent="0.3">
      <c r="A12" s="23" t="s">
        <v>19</v>
      </c>
      <c r="B12" s="26">
        <f ca="1">SUM(B5:B11)</f>
        <v>0</v>
      </c>
      <c r="C12" s="15">
        <f ca="1">SUM(C5:C11)</f>
        <v>0</v>
      </c>
      <c r="D12" s="15">
        <f ca="1">SUM(D5:D11)</f>
        <v>0</v>
      </c>
      <c r="E12" s="15">
        <f ca="1">SUM(E5:E11)</f>
        <v>0</v>
      </c>
      <c r="F12" s="18"/>
      <c r="G12" s="18">
        <f ca="1">SUM(B12:E12)</f>
        <v>0</v>
      </c>
    </row>
    <row r="14" spans="1:7" x14ac:dyDescent="0.25">
      <c r="A14" s="82" t="s">
        <v>24</v>
      </c>
      <c r="B14" s="82"/>
      <c r="C14" s="82"/>
      <c r="D14" s="82"/>
      <c r="E14" s="82"/>
      <c r="F14" s="82"/>
    </row>
    <row r="15" spans="1:7" ht="13.8" thickBot="1" x14ac:dyDescent="0.3"/>
    <row r="16" spans="1:7" ht="13.5" customHeight="1" thickBot="1" x14ac:dyDescent="0.3">
      <c r="A16" s="83" t="s">
        <v>7</v>
      </c>
      <c r="B16" s="85" t="s">
        <v>29</v>
      </c>
      <c r="C16" s="86"/>
      <c r="D16" s="86"/>
      <c r="E16" s="86"/>
      <c r="F16" s="86"/>
      <c r="G16" s="87"/>
    </row>
    <row r="17" spans="1:7" ht="27" thickBot="1" x14ac:dyDescent="0.3">
      <c r="A17" s="84"/>
      <c r="B17" s="35" t="s">
        <v>15</v>
      </c>
      <c r="C17" s="36" t="s">
        <v>16</v>
      </c>
      <c r="D17" s="36" t="s">
        <v>17</v>
      </c>
      <c r="E17" s="36" t="s">
        <v>18</v>
      </c>
      <c r="F17" s="37" t="s">
        <v>20</v>
      </c>
      <c r="G17" s="33" t="s">
        <v>19</v>
      </c>
    </row>
    <row r="18" spans="1:7" x14ac:dyDescent="0.25">
      <c r="A18" s="30" t="s">
        <v>8</v>
      </c>
      <c r="B18" s="42">
        <f ca="1">SUMIFS(INDIRECT("'Plano de Investimentos'!J7:J"&amp;ROW('Plano de Investimentos'!J23)-1),INDIRECT("'Plano de Investimentos'!B7:B"&amp;ROW('Plano de Investimentos'!J23)-1),Consolidação!$A18,INDIRECT("'Plano de Investimentos'!G7:G"&amp;ROW('Plano de Investimentos'!J23)-1),Consolidação!B$4)</f>
        <v>0</v>
      </c>
      <c r="C18" s="43">
        <f ca="1">SUMIFS(INDIRECT("'Plano de Investimentos'!J7:J"&amp;ROW('Plano de Investimentos'!J23)-1),INDIRECT("'Plano de Investimentos'!B7:B"&amp;ROW('Plano de Investimentos'!J23)-1),Consolidação!$A18,INDIRECT("'Plano de Investimentos'!G7:G"&amp;ROW('Plano de Investimentos'!J23)-1),Consolidação!C$4)</f>
        <v>0</v>
      </c>
      <c r="D18" s="43">
        <f ca="1">SUMIFS(INDIRECT("'Plano de Investimentos'!J7:J"&amp;ROW('Plano de Investimentos'!J23)-1),INDIRECT("'Plano de Investimentos'!B7:B"&amp;ROW('Plano de Investimentos'!J23)-1),Consolidação!$A18,INDIRECT("'Plano de Investimentos'!G7:G"&amp;ROW('Plano de Investimentos'!J23)-1),Consolidação!D$4)</f>
        <v>0</v>
      </c>
      <c r="E18" s="43">
        <f ca="1">SUMIFS(INDIRECT("'Plano de Investimentos'!J7:J"&amp;ROW('Plano de Investimentos'!J23)-1),INDIRECT("'Plano de Investimentos'!B7:B"&amp;ROW('Plano de Investimentos'!J23)-1),Consolidação!$A18,INDIRECT("'Plano de Investimentos'!G7:G"&amp;ROW('Plano de Investimentos'!J23)-1),Consolidação!E$4)</f>
        <v>0</v>
      </c>
      <c r="F18" s="44"/>
      <c r="G18" s="45">
        <f ca="1">SUM(B18:E18)</f>
        <v>0</v>
      </c>
    </row>
    <row r="19" spans="1:7" x14ac:dyDescent="0.25">
      <c r="A19" s="19" t="s">
        <v>9</v>
      </c>
      <c r="B19" s="24">
        <f ca="1">SUMIFS(INDIRECT("'Plano de Investimentos'!J7:J"&amp;ROW('Plano de Investimentos'!J23)-1),INDIRECT("'Plano de Investimentos'!B7:B"&amp;ROW('Plano de Investimentos'!J23)-1),Consolidação!$A19,INDIRECT("'Plano de Investimentos'!G7:G"&amp;ROW('Plano de Investimentos'!J23)-1),Consolidação!B$4)</f>
        <v>0</v>
      </c>
      <c r="C19" s="10">
        <f ca="1">SUMIFS(INDIRECT("'Plano de Investimentos'!J7:J"&amp;ROW('Plano de Investimentos'!J23)-1),INDIRECT("'Plano de Investimentos'!B7:B"&amp;ROW('Plano de Investimentos'!J23)-1),Consolidação!$A19,INDIRECT("'Plano de Investimentos'!G7:G"&amp;ROW('Plano de Investimentos'!J23)-1),Consolidação!C$4)</f>
        <v>0</v>
      </c>
      <c r="D19" s="10">
        <f ca="1">SUMIFS(INDIRECT("'Plano de Investimentos'!J7:J"&amp;ROW('Plano de Investimentos'!J23)-1),INDIRECT("'Plano de Investimentos'!B7:B"&amp;ROW('Plano de Investimentos'!J23)-1),Consolidação!$A19,INDIRECT("'Plano de Investimentos'!G7:G"&amp;ROW('Plano de Investimentos'!J23)-1),Consolidação!D$4)</f>
        <v>0</v>
      </c>
      <c r="E19" s="10">
        <f ca="1">SUMIFS(INDIRECT("'Plano de Investimentos'!J7:J"&amp;ROW('Plano de Investimentos'!J23)-1),INDIRECT("'Plano de Investimentos'!B7:B"&amp;ROW('Plano de Investimentos'!J23)-1),Consolidação!$A19,INDIRECT("'Plano de Investimentos'!G7:G"&amp;ROW('Plano de Investimentos'!J23)-1),Consolidação!E$4)</f>
        <v>0</v>
      </c>
      <c r="F19" s="16"/>
      <c r="G19" s="46">
        <f t="shared" ref="G19:G24" ca="1" si="1">SUM(B19:E19)</f>
        <v>0</v>
      </c>
    </row>
    <row r="20" spans="1:7" x14ac:dyDescent="0.25">
      <c r="A20" s="20" t="s">
        <v>10</v>
      </c>
      <c r="B20" s="24">
        <f ca="1">SUMIFS(INDIRECT("'Plano de Investimentos'!J7:J"&amp;ROW('Plano de Investimentos'!J23)-1),INDIRECT("'Plano de Investimentos'!B7:B"&amp;ROW('Plano de Investimentos'!J23)-1),Consolidação!$A20,INDIRECT("'Plano de Investimentos'!G7:G"&amp;ROW('Plano de Investimentos'!J23)-1),Consolidação!B$4)</f>
        <v>0</v>
      </c>
      <c r="C20" s="10">
        <f ca="1">SUMIFS(INDIRECT("'Plano de Investimentos'!J7:J"&amp;ROW('Plano de Investimentos'!J23)-1),INDIRECT("'Plano de Investimentos'!B7:B"&amp;ROW('Plano de Investimentos'!J23)-1),Consolidação!$A20,INDIRECT("'Plano de Investimentos'!G7:G"&amp;ROW('Plano de Investimentos'!J23)-1),Consolidação!C$4)</f>
        <v>0</v>
      </c>
      <c r="D20" s="10">
        <f ca="1">SUMIFS(INDIRECT("'Plano de Investimentos'!J7:J"&amp;ROW('Plano de Investimentos'!J23)-1),INDIRECT("'Plano de Investimentos'!B7:B"&amp;ROW('Plano de Investimentos'!J23)-1),Consolidação!$A20,INDIRECT("'Plano de Investimentos'!G7:G"&amp;ROW('Plano de Investimentos'!J23)-1),Consolidação!D$4)</f>
        <v>0</v>
      </c>
      <c r="E20" s="10">
        <f ca="1">SUMIFS(INDIRECT("'Plano de Investimentos'!J7:J"&amp;ROW('Plano de Investimentos'!J23)-1),INDIRECT("'Plano de Investimentos'!B7:B"&amp;ROW('Plano de Investimentos'!J23)-1),Consolidação!$A20,INDIRECT("'Plano de Investimentos'!G7:G"&amp;ROW('Plano de Investimentos'!J23)-1),Consolidação!E$4)</f>
        <v>0</v>
      </c>
      <c r="F20" s="16"/>
      <c r="G20" s="46">
        <f t="shared" ca="1" si="1"/>
        <v>0</v>
      </c>
    </row>
    <row r="21" spans="1:7" x14ac:dyDescent="0.25">
      <c r="A21" s="21" t="s">
        <v>11</v>
      </c>
      <c r="B21" s="24">
        <f ca="1">SUMIFS(INDIRECT("'Plano de Investimentos'!J7:J"&amp;ROW('Plano de Investimentos'!J23)-1),INDIRECT("'Plano de Investimentos'!B7:B"&amp;ROW('Plano de Investimentos'!J23)-1),Consolidação!$A21,INDIRECT("'Plano de Investimentos'!G7:G"&amp;ROW('Plano de Investimentos'!J23)-1),Consolidação!B$4)</f>
        <v>0</v>
      </c>
      <c r="C21" s="10">
        <f ca="1">SUMIFS(INDIRECT("'Plano de Investimentos'!J7:J"&amp;ROW('Plano de Investimentos'!J23)-1),INDIRECT("'Plano de Investimentos'!B7:B"&amp;ROW('Plano de Investimentos'!J23)-1),Consolidação!$A21,INDIRECT("'Plano de Investimentos'!G7:G"&amp;ROW('Plano de Investimentos'!J23)-1),Consolidação!C$4)</f>
        <v>0</v>
      </c>
      <c r="D21" s="10">
        <f ca="1">SUMIFS(INDIRECT("'Plano de Investimentos'!J7:J"&amp;ROW('Plano de Investimentos'!J23)-1),INDIRECT("'Plano de Investimentos'!B7:B"&amp;ROW('Plano de Investimentos'!J23)-1),Consolidação!$A21,INDIRECT("'Plano de Investimentos'!G7:G"&amp;ROW('Plano de Investimentos'!J23)-1),Consolidação!D$4)</f>
        <v>0</v>
      </c>
      <c r="E21" s="10">
        <f ca="1">SUMIFS(INDIRECT("'Plano de Investimentos'!J7:J"&amp;ROW('Plano de Investimentos'!J23)-1),INDIRECT("'Plano de Investimentos'!B7:B"&amp;ROW('Plano de Investimentos'!J23)-1),Consolidação!$A21,INDIRECT("'Plano de Investimentos'!G7:G"&amp;ROW('Plano de Investimentos'!J23)-1),Consolidação!E$4)</f>
        <v>0</v>
      </c>
      <c r="F21" s="16"/>
      <c r="G21" s="46">
        <f t="shared" ca="1" si="1"/>
        <v>0</v>
      </c>
    </row>
    <row r="22" spans="1:7" x14ac:dyDescent="0.25">
      <c r="A22" s="21" t="s">
        <v>12</v>
      </c>
      <c r="B22" s="24">
        <f ca="1">SUMIFS(INDIRECT("'Plano de Investimentos'!J7:J"&amp;ROW('Plano de Investimentos'!J23)-1),INDIRECT("'Plano de Investimentos'!B7:B"&amp;ROW('Plano de Investimentos'!J23)-1),Consolidação!$A22,INDIRECT("'Plano de Investimentos'!G7:G"&amp;ROW('Plano de Investimentos'!J23)-1),Consolidação!B$4)</f>
        <v>0</v>
      </c>
      <c r="C22" s="10">
        <f ca="1">SUMIFS(INDIRECT("'Plano de Investimentos'!J7:J"&amp;ROW('Plano de Investimentos'!J23)-1),INDIRECT("'Plano de Investimentos'!B7:B"&amp;ROW('Plano de Investimentos'!J23)-1),Consolidação!$A22,INDIRECT("'Plano de Investimentos'!G7:G"&amp;ROW('Plano de Investimentos'!J23)-1),Consolidação!C$4)</f>
        <v>0</v>
      </c>
      <c r="D22" s="10">
        <f ca="1">SUMIFS(INDIRECT("'Plano de Investimentos'!J7:J"&amp;ROW('Plano de Investimentos'!J23)-1),INDIRECT("'Plano de Investimentos'!B7:B"&amp;ROW('Plano de Investimentos'!J23)-1),Consolidação!$A22,INDIRECT("'Plano de Investimentos'!G7:G"&amp;ROW('Plano de Investimentos'!J23)-1),Consolidação!D$4)</f>
        <v>0</v>
      </c>
      <c r="E22" s="10">
        <f ca="1">SUMIFS(INDIRECT("'Plano de Investimentos'!J7:J"&amp;ROW('Plano de Investimentos'!J23)-1),INDIRECT("'Plano de Investimentos'!B7:B"&amp;ROW('Plano de Investimentos'!J23)-1),Consolidação!$A22,INDIRECT("'Plano de Investimentos'!G7:G"&amp;ROW('Plano de Investimentos'!J23)-1),Consolidação!E$4)</f>
        <v>0</v>
      </c>
      <c r="F22" s="16"/>
      <c r="G22" s="46">
        <f t="shared" ca="1" si="1"/>
        <v>0</v>
      </c>
    </row>
    <row r="23" spans="1:7" x14ac:dyDescent="0.25">
      <c r="A23" s="21" t="s">
        <v>13</v>
      </c>
      <c r="B23" s="24">
        <f ca="1">SUMIFS(INDIRECT("'Plano de Investimentos'!J7:J"&amp;ROW('Plano de Investimentos'!J23)-1),INDIRECT("'Plano de Investimentos'!B7:B"&amp;ROW('Plano de Investimentos'!J23)-1),Consolidação!$A23,INDIRECT("'Plano de Investimentos'!G7:G"&amp;ROW('Plano de Investimentos'!J23)-1),Consolidação!B$4)</f>
        <v>0</v>
      </c>
      <c r="C23" s="10">
        <f ca="1">SUMIFS(INDIRECT("'Plano de Investimentos'!J7:J"&amp;ROW('Plano de Investimentos'!J23)-1),INDIRECT("'Plano de Investimentos'!B7:B"&amp;ROW('Plano de Investimentos'!J23)-1),Consolidação!$A23,INDIRECT("'Plano de Investimentos'!G7:G"&amp;ROW('Plano de Investimentos'!J23)-1),Consolidação!C$4)</f>
        <v>0</v>
      </c>
      <c r="D23" s="10">
        <f ca="1">SUMIFS(INDIRECT("'Plano de Investimentos'!J7:J"&amp;ROW('Plano de Investimentos'!J23)-1),INDIRECT("'Plano de Investimentos'!B7:B"&amp;ROW('Plano de Investimentos'!J23)-1),Consolidação!$A23,INDIRECT("'Plano de Investimentos'!G7:G"&amp;ROW('Plano de Investimentos'!J23)-1),Consolidação!D$4)</f>
        <v>0</v>
      </c>
      <c r="E23" s="10">
        <f ca="1">SUMIFS(INDIRECT("'Plano de Investimentos'!J7:J"&amp;ROW('Plano de Investimentos'!J23)-1),INDIRECT("'Plano de Investimentos'!B7:B"&amp;ROW('Plano de Investimentos'!J23)-1),Consolidação!$A23,INDIRECT("'Plano de Investimentos'!G7:G"&amp;ROW('Plano de Investimentos'!J23)-1),Consolidação!E$4)</f>
        <v>0</v>
      </c>
      <c r="F23" s="16"/>
      <c r="G23" s="46">
        <f t="shared" ca="1" si="1"/>
        <v>0</v>
      </c>
    </row>
    <row r="24" spans="1:7" ht="13.8" thickBot="1" x14ac:dyDescent="0.3">
      <c r="A24" s="22" t="s">
        <v>14</v>
      </c>
      <c r="B24" s="25">
        <f ca="1">SUMIFS(INDIRECT("'Plano de Investimentos'!J7:J"&amp;ROW('Plano de Investimentos'!J23)-1),INDIRECT("'Plano de Investimentos'!B7:B"&amp;ROW('Plano de Investimentos'!J23)-1),Consolidação!$A24,INDIRECT("'Plano de Investimentos'!G7:G"&amp;ROW('Plano de Investimentos'!J23)-1),Consolidação!B$4)</f>
        <v>0</v>
      </c>
      <c r="C24" s="14">
        <f ca="1">SUMIFS(INDIRECT("'Plano de Investimentos'!J7:J"&amp;ROW('Plano de Investimentos'!J23)-1),INDIRECT("'Plano de Investimentos'!B7:B"&amp;ROW('Plano de Investimentos'!J23)-1),Consolidação!$A24,INDIRECT("'Plano de Investimentos'!G7:G"&amp;ROW('Plano de Investimentos'!J23)-1),Consolidação!C$4)</f>
        <v>0</v>
      </c>
      <c r="D24" s="14">
        <f ca="1">SUMIFS(INDIRECT("'Plano de Investimentos'!J7:J"&amp;ROW('Plano de Investimentos'!J23)-1),INDIRECT("'Plano de Investimentos'!B7:B"&amp;ROW('Plano de Investimentos'!J23)-1),Consolidação!$A24,INDIRECT("'Plano de Investimentos'!G7:G"&amp;ROW('Plano de Investimentos'!J23)-1),Consolidação!D$4)</f>
        <v>0</v>
      </c>
      <c r="E24" s="14">
        <f ca="1">SUMIFS(INDIRECT("'Plano de Investimentos'!J7:J"&amp;ROW('Plano de Investimentos'!K23)-1),INDIRECT("'Plano de Investimentos'!B7:B"&amp;ROW('Plano de Investimentos'!J23)-1),Consolidação!$A24,INDIRECT("'Plano de Investimentos'!G7:G"&amp;ROW('Plano de Investimentos'!J23)-1),Consolidação!E$4)</f>
        <v>0</v>
      </c>
      <c r="F24" s="17"/>
      <c r="G24" s="46">
        <f t="shared" ca="1" si="1"/>
        <v>0</v>
      </c>
    </row>
    <row r="25" spans="1:7" ht="13.8" thickBot="1" x14ac:dyDescent="0.3">
      <c r="A25" s="23" t="s">
        <v>19</v>
      </c>
      <c r="B25" s="26">
        <f ca="1">SUM(B18:B24)</f>
        <v>0</v>
      </c>
      <c r="C25" s="15">
        <f ca="1">SUM(C18:C24)</f>
        <v>0</v>
      </c>
      <c r="D25" s="15">
        <f ca="1">SUM(D18:D24)</f>
        <v>0</v>
      </c>
      <c r="E25" s="15">
        <f ca="1">SUM(E18:E24)</f>
        <v>0</v>
      </c>
      <c r="F25" s="18"/>
      <c r="G25" s="18">
        <f ca="1">SUM(B25:E25)</f>
        <v>0</v>
      </c>
    </row>
    <row r="27" spans="1:7" x14ac:dyDescent="0.25">
      <c r="A27" s="82" t="s">
        <v>33</v>
      </c>
      <c r="B27" s="82"/>
      <c r="C27" s="82"/>
      <c r="D27" s="82"/>
      <c r="E27" s="82"/>
      <c r="F27" s="82"/>
    </row>
    <row r="28" spans="1:7" ht="13.8" thickBot="1" x14ac:dyDescent="0.3"/>
    <row r="29" spans="1:7" ht="12.75" customHeight="1" thickBot="1" x14ac:dyDescent="0.3">
      <c r="A29" s="88" t="s">
        <v>7</v>
      </c>
      <c r="B29" s="86" t="s">
        <v>29</v>
      </c>
      <c r="C29" s="86"/>
      <c r="D29" s="86"/>
      <c r="E29" s="86"/>
      <c r="F29" s="87"/>
      <c r="G29" s="47"/>
    </row>
    <row r="30" spans="1:7" ht="27" thickBot="1" x14ac:dyDescent="0.3">
      <c r="A30" s="89"/>
      <c r="B30" s="31" t="s">
        <v>15</v>
      </c>
      <c r="C30" s="32" t="s">
        <v>16</v>
      </c>
      <c r="D30" s="32" t="s">
        <v>17</v>
      </c>
      <c r="E30" s="32" t="s">
        <v>18</v>
      </c>
      <c r="F30" s="33" t="s">
        <v>19</v>
      </c>
    </row>
    <row r="31" spans="1:7" x14ac:dyDescent="0.25">
      <c r="A31" s="48" t="s">
        <v>8</v>
      </c>
      <c r="B31" s="53" t="str">
        <f t="shared" ref="B31:E38" ca="1" si="2">IFERROR((B18/B5)*100,"-")</f>
        <v>-</v>
      </c>
      <c r="C31" s="54" t="str">
        <f t="shared" ca="1" si="2"/>
        <v>-</v>
      </c>
      <c r="D31" s="54" t="str">
        <f t="shared" ca="1" si="2"/>
        <v>-</v>
      </c>
      <c r="E31" s="54" t="str">
        <f t="shared" ca="1" si="2"/>
        <v>-</v>
      </c>
      <c r="F31" s="55" t="str">
        <f t="shared" ref="F31:F38" ca="1" si="3">IFERROR((G18/G5)*100,"-")</f>
        <v>-</v>
      </c>
    </row>
    <row r="32" spans="1:7" x14ac:dyDescent="0.25">
      <c r="A32" s="48" t="s">
        <v>9</v>
      </c>
      <c r="B32" s="56" t="str">
        <f t="shared" ca="1" si="2"/>
        <v>-</v>
      </c>
      <c r="C32" s="57" t="str">
        <f t="shared" ca="1" si="2"/>
        <v>-</v>
      </c>
      <c r="D32" s="57" t="str">
        <f t="shared" ca="1" si="2"/>
        <v>-</v>
      </c>
      <c r="E32" s="57" t="str">
        <f t="shared" ca="1" si="2"/>
        <v>-</v>
      </c>
      <c r="F32" s="58" t="str">
        <f t="shared" ca="1" si="3"/>
        <v>-</v>
      </c>
    </row>
    <row r="33" spans="1:6" x14ac:dyDescent="0.25">
      <c r="A33" s="49" t="s">
        <v>10</v>
      </c>
      <c r="B33" s="56" t="str">
        <f t="shared" ca="1" si="2"/>
        <v>-</v>
      </c>
      <c r="C33" s="57" t="str">
        <f t="shared" ca="1" si="2"/>
        <v>-</v>
      </c>
      <c r="D33" s="57" t="str">
        <f t="shared" ca="1" si="2"/>
        <v>-</v>
      </c>
      <c r="E33" s="57" t="str">
        <f t="shared" ca="1" si="2"/>
        <v>-</v>
      </c>
      <c r="F33" s="58" t="str">
        <f t="shared" ca="1" si="3"/>
        <v>-</v>
      </c>
    </row>
    <row r="34" spans="1:6" x14ac:dyDescent="0.25">
      <c r="A34" s="50" t="s">
        <v>11</v>
      </c>
      <c r="B34" s="56" t="str">
        <f t="shared" ca="1" si="2"/>
        <v>-</v>
      </c>
      <c r="C34" s="57" t="str">
        <f t="shared" ca="1" si="2"/>
        <v>-</v>
      </c>
      <c r="D34" s="57" t="str">
        <f t="shared" ca="1" si="2"/>
        <v>-</v>
      </c>
      <c r="E34" s="57" t="str">
        <f t="shared" ca="1" si="2"/>
        <v>-</v>
      </c>
      <c r="F34" s="58" t="str">
        <f t="shared" ca="1" si="3"/>
        <v>-</v>
      </c>
    </row>
    <row r="35" spans="1:6" x14ac:dyDescent="0.25">
      <c r="A35" s="50" t="s">
        <v>12</v>
      </c>
      <c r="B35" s="56" t="str">
        <f t="shared" ca="1" si="2"/>
        <v>-</v>
      </c>
      <c r="C35" s="57" t="str">
        <f t="shared" ca="1" si="2"/>
        <v>-</v>
      </c>
      <c r="D35" s="57" t="str">
        <f t="shared" ca="1" si="2"/>
        <v>-</v>
      </c>
      <c r="E35" s="57" t="str">
        <f t="shared" ca="1" si="2"/>
        <v>-</v>
      </c>
      <c r="F35" s="58" t="str">
        <f t="shared" ca="1" si="3"/>
        <v>-</v>
      </c>
    </row>
    <row r="36" spans="1:6" x14ac:dyDescent="0.25">
      <c r="A36" s="50" t="s">
        <v>13</v>
      </c>
      <c r="B36" s="56" t="str">
        <f t="shared" ca="1" si="2"/>
        <v>-</v>
      </c>
      <c r="C36" s="57" t="str">
        <f t="shared" ca="1" si="2"/>
        <v>-</v>
      </c>
      <c r="D36" s="57" t="str">
        <f t="shared" ca="1" si="2"/>
        <v>-</v>
      </c>
      <c r="E36" s="57" t="str">
        <f t="shared" ca="1" si="2"/>
        <v>-</v>
      </c>
      <c r="F36" s="58" t="str">
        <f t="shared" ca="1" si="3"/>
        <v>-</v>
      </c>
    </row>
    <row r="37" spans="1:6" ht="13.8" thickBot="1" x14ac:dyDescent="0.3">
      <c r="A37" s="51" t="s">
        <v>14</v>
      </c>
      <c r="B37" s="59" t="str">
        <f t="shared" ca="1" si="2"/>
        <v>-</v>
      </c>
      <c r="C37" s="60" t="str">
        <f t="shared" ca="1" si="2"/>
        <v>-</v>
      </c>
      <c r="D37" s="60" t="str">
        <f t="shared" ca="1" si="2"/>
        <v>-</v>
      </c>
      <c r="E37" s="60" t="str">
        <f t="shared" ca="1" si="2"/>
        <v>-</v>
      </c>
      <c r="F37" s="61" t="str">
        <f t="shared" ca="1" si="3"/>
        <v>-</v>
      </c>
    </row>
    <row r="38" spans="1:6" ht="13.8" thickBot="1" x14ac:dyDescent="0.3">
      <c r="A38" s="52" t="s">
        <v>19</v>
      </c>
      <c r="B38" s="62" t="str">
        <f t="shared" ca="1" si="2"/>
        <v>-</v>
      </c>
      <c r="C38" s="63" t="str">
        <f t="shared" ca="1" si="2"/>
        <v>-</v>
      </c>
      <c r="D38" s="63" t="str">
        <f t="shared" ca="1" si="2"/>
        <v>-</v>
      </c>
      <c r="E38" s="63" t="str">
        <f t="shared" ca="1" si="2"/>
        <v>-</v>
      </c>
      <c r="F38" s="64" t="str">
        <f t="shared" ca="1" si="3"/>
        <v>-</v>
      </c>
    </row>
    <row r="41" spans="1:6" x14ac:dyDescent="0.25">
      <c r="A41" s="65" t="s">
        <v>28</v>
      </c>
      <c r="B41" s="65"/>
      <c r="C41" s="65"/>
      <c r="D41" s="65"/>
      <c r="E41" s="65"/>
      <c r="F41" s="65"/>
    </row>
  </sheetData>
  <sheetProtection password="BCCE" sheet="1" objects="1" scenarios="1" formatCells="0" formatColumns="0" formatRows="0" autoFilter="0"/>
  <mergeCells count="10">
    <mergeCell ref="A41:F41"/>
    <mergeCell ref="A1:F1"/>
    <mergeCell ref="A14:F14"/>
    <mergeCell ref="A16:A17"/>
    <mergeCell ref="A3:A4"/>
    <mergeCell ref="B3:G3"/>
    <mergeCell ref="B16:G16"/>
    <mergeCell ref="A27:F27"/>
    <mergeCell ref="A29:A30"/>
    <mergeCell ref="B29:F29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72" orientation="landscape" r:id="rId1"/>
  <headerFooter alignWithMargins="0">
    <oddHeader>&amp;RFolha &amp;P/&amp;N</oddHeader>
    <oddFooter>&amp;LFQ-06.05 (anexo à IT-06.01.01) - RA - revisão 09 de 08/07/22 - Página 2/2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Plano de Investimentos</vt:lpstr>
      <vt:lpstr>Consolidação</vt:lpstr>
      <vt:lpstr>Consolidação!Area_de_impressao</vt:lpstr>
      <vt:lpstr>'Plano de Investimentos'!Area_de_impressao</vt:lpstr>
      <vt:lpstr>Consolidação!fonte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Daiana Guimarães</cp:lastModifiedBy>
  <cp:lastPrinted>2022-07-06T12:19:14Z</cp:lastPrinted>
  <dcterms:created xsi:type="dcterms:W3CDTF">1997-01-10T22:22:50Z</dcterms:created>
  <dcterms:modified xsi:type="dcterms:W3CDTF">2022-10-24T17:44:04Z</dcterms:modified>
</cp:coreProperties>
</file>