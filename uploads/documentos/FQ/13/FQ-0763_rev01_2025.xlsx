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5\K 21 10 2025\"/>
    </mc:Choice>
  </mc:AlternateContent>
  <xr:revisionPtr revIDLastSave="0" documentId="13_ncr:1_{31C6CD73-B4E0-41C7-9B9D-9F46A59A2F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0763" sheetId="18" r:id="rId1"/>
  </sheets>
  <definedNames>
    <definedName name="_xlnm.Print_Area" localSheetId="0">'FQ0763'!$A$1:$M$160</definedName>
    <definedName name="_xlnm.Print_Titles" localSheetId="0">'FQ0763'!$1:$8</definedName>
  </definedNames>
  <calcPr calcId="191029"/>
</workbook>
</file>

<file path=xl/calcChain.xml><?xml version="1.0" encoding="utf-8"?>
<calcChain xmlns="http://schemas.openxmlformats.org/spreadsheetml/2006/main">
  <c r="H147" i="18" l="1"/>
  <c r="H154" i="18" l="1"/>
  <c r="H151" i="18"/>
  <c r="H146" i="18"/>
  <c r="H142" i="18"/>
  <c r="H141" i="18"/>
  <c r="H140" i="18"/>
  <c r="H126" i="18"/>
  <c r="H127" i="18"/>
  <c r="H119" i="18"/>
  <c r="H70" i="18"/>
  <c r="H58" i="18"/>
  <c r="H52" i="18"/>
  <c r="H31" i="18"/>
  <c r="H16" i="18"/>
  <c r="H11" i="18"/>
  <c r="H143" i="18" l="1"/>
  <c r="H107" i="18"/>
  <c r="H77" i="18" l="1"/>
  <c r="H25" i="18" l="1"/>
  <c r="H30" i="18" l="1"/>
  <c r="H32" i="18"/>
  <c r="H47" i="18"/>
  <c r="H72" i="18"/>
  <c r="H93" i="18"/>
  <c r="H113" i="18"/>
  <c r="H115" i="18"/>
  <c r="H120" i="18"/>
  <c r="H133" i="18"/>
  <c r="H9" i="18"/>
  <c r="H23" i="18"/>
  <c r="H56" i="18"/>
  <c r="H68" i="18"/>
  <c r="H80" i="18"/>
  <c r="H86" i="18"/>
  <c r="H90" i="18"/>
  <c r="H96" i="18"/>
  <c r="H108" i="18"/>
  <c r="H117" i="18"/>
  <c r="H125" i="18"/>
  <c r="H148" i="18"/>
  <c r="H13" i="18"/>
  <c r="H17" i="18"/>
  <c r="H19" i="18"/>
  <c r="H22" i="18"/>
  <c r="H26" i="18"/>
  <c r="H34" i="18"/>
  <c r="H54" i="18"/>
  <c r="H57" i="18"/>
  <c r="H59" i="18"/>
  <c r="H71" i="18"/>
  <c r="H73" i="18"/>
  <c r="H79" i="18"/>
  <c r="H85" i="18"/>
  <c r="H95" i="18"/>
  <c r="H103" i="18"/>
  <c r="H105" i="18"/>
  <c r="H131" i="18"/>
  <c r="H150" i="18"/>
  <c r="H10" i="18" l="1"/>
  <c r="H12" i="18"/>
  <c r="H14" i="18"/>
  <c r="H15" i="18"/>
  <c r="H18" i="18"/>
  <c r="H21" i="18"/>
  <c r="H24" i="18"/>
  <c r="H27" i="18"/>
  <c r="H28" i="18"/>
  <c r="H29" i="18"/>
  <c r="H33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8" i="18"/>
  <c r="H49" i="18"/>
  <c r="H50" i="18"/>
  <c r="H51" i="18"/>
  <c r="H53" i="18"/>
  <c r="H55" i="18"/>
  <c r="H60" i="18"/>
  <c r="H61" i="18"/>
  <c r="H62" i="18"/>
  <c r="H63" i="18"/>
  <c r="H64" i="18"/>
  <c r="H65" i="18"/>
  <c r="H66" i="18"/>
  <c r="H67" i="18"/>
  <c r="H69" i="18"/>
  <c r="H74" i="18"/>
  <c r="H75" i="18"/>
  <c r="H76" i="18"/>
  <c r="H78" i="18"/>
  <c r="H81" i="18"/>
  <c r="H82" i="18"/>
  <c r="H83" i="18"/>
  <c r="H84" i="18"/>
  <c r="H87" i="18"/>
  <c r="H88" i="18"/>
  <c r="H89" i="18"/>
  <c r="H91" i="18"/>
  <c r="H92" i="18"/>
  <c r="H94" i="18"/>
  <c r="H97" i="18"/>
  <c r="H98" i="18"/>
  <c r="H99" i="18"/>
  <c r="H100" i="18"/>
  <c r="H101" i="18"/>
  <c r="H102" i="18"/>
  <c r="H104" i="18"/>
  <c r="H106" i="18"/>
  <c r="H109" i="18"/>
  <c r="H110" i="18"/>
  <c r="H111" i="18"/>
  <c r="H112" i="18"/>
  <c r="H114" i="18"/>
  <c r="H116" i="18"/>
  <c r="H118" i="18"/>
  <c r="H121" i="18"/>
  <c r="H122" i="18"/>
  <c r="H123" i="18"/>
  <c r="H124" i="18"/>
  <c r="H128" i="18"/>
  <c r="H129" i="18"/>
  <c r="H130" i="18"/>
  <c r="H132" i="18"/>
  <c r="H134" i="18"/>
  <c r="H135" i="18"/>
  <c r="H136" i="18"/>
  <c r="H137" i="18"/>
  <c r="H138" i="18"/>
  <c r="H139" i="18"/>
  <c r="H144" i="18"/>
  <c r="H145" i="18"/>
  <c r="H149" i="18"/>
  <c r="H152" i="18"/>
  <c r="H153" i="18"/>
  <c r="H155" i="18"/>
  <c r="H156" i="18"/>
  <c r="H157" i="18"/>
  <c r="H158" i="18"/>
  <c r="H2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Cinthia - RA</author>
  </authors>
  <commentList>
    <comment ref="M8" authorId="0" shapeId="0" xr:uid="{D3F6DD0C-E493-4103-AEE0-DBC6AB488ED2}">
      <text>
        <r>
          <rPr>
            <b/>
            <sz val="9"/>
            <color indexed="81"/>
            <rFont val="Segoe UI"/>
            <family val="2"/>
          </rPr>
          <t xml:space="preserve">Qualidade: </t>
        </r>
        <r>
          <rPr>
            <sz val="9"/>
            <color indexed="81"/>
            <rFont val="Segoe UI"/>
            <family val="2"/>
          </rPr>
          <t xml:space="preserve">Informar neste campo quando for transferência entre Unidade.
</t>
        </r>
      </text>
    </comment>
  </commentList>
</comments>
</file>

<file path=xl/sharedStrings.xml><?xml version="1.0" encoding="utf-8"?>
<sst xmlns="http://schemas.openxmlformats.org/spreadsheetml/2006/main" count="335" uniqueCount="175">
  <si>
    <t>Bicarbonato de Sódio</t>
  </si>
  <si>
    <t>Borato de Sódio</t>
  </si>
  <si>
    <t>Carbonato de Sódio</t>
  </si>
  <si>
    <t>Ciclohexano</t>
  </si>
  <si>
    <t>Formamida</t>
  </si>
  <si>
    <t>Permanganato de Potássio</t>
  </si>
  <si>
    <t>Piridina</t>
  </si>
  <si>
    <t>Tetrahidrofurano</t>
  </si>
  <si>
    <t>Tetracloreto de Carbono</t>
  </si>
  <si>
    <t>Cloreto de Potássio</t>
  </si>
  <si>
    <t>Carbonato de Potássio</t>
  </si>
  <si>
    <t>Cloreto de Amônio</t>
  </si>
  <si>
    <t>Heptano</t>
  </si>
  <si>
    <t xml:space="preserve">Ácido Benzóico </t>
  </si>
  <si>
    <t>Éter Etílico</t>
  </si>
  <si>
    <t>Acetonitrila</t>
  </si>
  <si>
    <t>Acetona</t>
  </si>
  <si>
    <t>Acetato de Etila</t>
  </si>
  <si>
    <t>Éter de Petróleo</t>
  </si>
  <si>
    <t>Hidróxido de Sódio</t>
  </si>
  <si>
    <t>Hidróxido de Potássio</t>
  </si>
  <si>
    <t>Ácido Clorídrico</t>
  </si>
  <si>
    <t>Acetaldeído</t>
  </si>
  <si>
    <t>Acetato de Butila</t>
  </si>
  <si>
    <t>Acetato de Isopropila</t>
  </si>
  <si>
    <t>Acetato de Sódio</t>
  </si>
  <si>
    <t>Ácido Acético</t>
  </si>
  <si>
    <t>Ácido Bórico</t>
  </si>
  <si>
    <t>Ácido Fórmico</t>
  </si>
  <si>
    <t>Ácido Gálico</t>
  </si>
  <si>
    <t>Ácido Hexafosfórico</t>
  </si>
  <si>
    <t>Ácido Pícrico</t>
  </si>
  <si>
    <t>Ácido Sulfúrico</t>
  </si>
  <si>
    <t>Ácido Tricloroacético</t>
  </si>
  <si>
    <t>Álcool Etílico</t>
  </si>
  <si>
    <t>Álcool Isoamílico</t>
  </si>
  <si>
    <t>Álcool Isobutílico</t>
  </si>
  <si>
    <t>Álcool Isopropílico</t>
  </si>
  <si>
    <t>Álcool Metílico</t>
  </si>
  <si>
    <t>Álcool N - Butílico</t>
  </si>
  <si>
    <t>Álcool N - Propílico</t>
  </si>
  <si>
    <t>Amoníaco</t>
  </si>
  <si>
    <t>Amônio Metavanadato</t>
  </si>
  <si>
    <t>Anídrido Acético</t>
  </si>
  <si>
    <t>Anisidina</t>
  </si>
  <si>
    <t>Benzeno</t>
  </si>
  <si>
    <t>Benzina de Petróleo</t>
  </si>
  <si>
    <t>Bicarbonato de Potássio</t>
  </si>
  <si>
    <t>Borohidreto de Sódio</t>
  </si>
  <si>
    <t>Bromo</t>
  </si>
  <si>
    <t>Cafeína</t>
  </si>
  <si>
    <t>Carvão Ativado</t>
  </si>
  <si>
    <t>Cianeto de Potássio</t>
  </si>
  <si>
    <t>Ciclohexanona</t>
  </si>
  <si>
    <t>Cloreto de Alumínio</t>
  </si>
  <si>
    <t>Cloreto de Cálcio</t>
  </si>
  <si>
    <t>Clorofórmio</t>
  </si>
  <si>
    <t>Cromato de Potássio</t>
  </si>
  <si>
    <t>Diacetil ou Butanodiona</t>
  </si>
  <si>
    <t>Diazometano</t>
  </si>
  <si>
    <t>Dicloroindophenil</t>
  </si>
  <si>
    <t>Dicromato de Potássio</t>
  </si>
  <si>
    <t>Dietilenoglicol</t>
  </si>
  <si>
    <t>Dimetilamina</t>
  </si>
  <si>
    <t>Dimetilamino Benzaldeido</t>
  </si>
  <si>
    <t>Etileno DiaminoTetrassódico</t>
  </si>
  <si>
    <t>Etileno Glicol</t>
  </si>
  <si>
    <t>Etilmetilcetona</t>
  </si>
  <si>
    <t>Fenol</t>
  </si>
  <si>
    <t>Fluoreto de Potássio</t>
  </si>
  <si>
    <t>Folin Ciocaltean</t>
  </si>
  <si>
    <t>Glicerina</t>
  </si>
  <si>
    <t>Glicerol</t>
  </si>
  <si>
    <t>Hexano</t>
  </si>
  <si>
    <t>Hidrazina</t>
  </si>
  <si>
    <t>Hidroxi-Benzidrazida</t>
  </si>
  <si>
    <t>Hidróxido de Amônio</t>
  </si>
  <si>
    <t>Hidróxido de Cálcio</t>
  </si>
  <si>
    <t>Hipoclorito de Sódio</t>
  </si>
  <si>
    <t>Iodeto de Potássio</t>
  </si>
  <si>
    <t xml:space="preserve">Iôdo </t>
  </si>
  <si>
    <t>Iôdo Ressublimado</t>
  </si>
  <si>
    <t>Manitol</t>
  </si>
  <si>
    <t>Metil Benzeno</t>
  </si>
  <si>
    <t>Metilisobuticetona</t>
  </si>
  <si>
    <t>Nitrato de Bário</t>
  </si>
  <si>
    <t>Nitrato de Chumbo</t>
  </si>
  <si>
    <t>Nitrato de Potássio</t>
  </si>
  <si>
    <t>Nitrato de Sódio</t>
  </si>
  <si>
    <t>Orto-Toluidina</t>
  </si>
  <si>
    <t>Óxido de Trifosfina</t>
  </si>
  <si>
    <t>Peróxido de Hidrogênio</t>
  </si>
  <si>
    <t>Reagente de Karl Fischer</t>
  </si>
  <si>
    <t>Resarzurina</t>
  </si>
  <si>
    <t>Resorcina</t>
  </si>
  <si>
    <t>Safranina</t>
  </si>
  <si>
    <t>Sulfato de Amonio</t>
  </si>
  <si>
    <t>Toluol</t>
  </si>
  <si>
    <t>Tricloetileno</t>
  </si>
  <si>
    <t>Trolox (6 hidrolix,2,5,7,8 tetr,2ac</t>
  </si>
  <si>
    <t>Xileno</t>
  </si>
  <si>
    <t>Xilol</t>
  </si>
  <si>
    <t>Acido Bromidrico</t>
  </si>
  <si>
    <t>Butilamina</t>
  </si>
  <si>
    <t>Cloreto de Metileno</t>
  </si>
  <si>
    <t>Dietilamina</t>
  </si>
  <si>
    <t>Etilamina</t>
  </si>
  <si>
    <t>Feniletanolamina</t>
  </si>
  <si>
    <t>Formiato de Amônio</t>
  </si>
  <si>
    <t>Hidroxilamina</t>
  </si>
  <si>
    <t>Metilamina</t>
  </si>
  <si>
    <t>Teofilina</t>
  </si>
  <si>
    <t>Ácido Nítrico</t>
  </si>
  <si>
    <t>Ácido Perclórico</t>
  </si>
  <si>
    <t xml:space="preserve">Azida de Sódio </t>
  </si>
  <si>
    <t xml:space="preserve">Fluoreto de Sódio </t>
  </si>
  <si>
    <t>Magnésio e suas ligas em pó</t>
  </si>
  <si>
    <t>Mascara contra Gases</t>
  </si>
  <si>
    <t>Nitrato de Amônio</t>
  </si>
  <si>
    <t>Pinacolona(3,3-dicloro-2butanona)</t>
  </si>
  <si>
    <t>PRODUTO</t>
  </si>
  <si>
    <t>As informações preenchidas nesta tabela são de responsabilidade das Unidades Técnicas que fazem uso de Produtos Controlados, o Apoio Operacional da Diretoria Geral é responsável por consolidar as informações recebidas e reportar aos Órgãos Competentes.</t>
  </si>
  <si>
    <t>UNIDADE</t>
  </si>
  <si>
    <t>CNPJ</t>
  </si>
  <si>
    <t>FORNECEDOR</t>
  </si>
  <si>
    <t>CONTROLE DE ESTOQUE DE PRODUTOS CONTROLADOS</t>
  </si>
  <si>
    <t>Unidade de medida</t>
  </si>
  <si>
    <t>Quantidade adquirida</t>
  </si>
  <si>
    <t>Estoque anterior</t>
  </si>
  <si>
    <t>Consumo</t>
  </si>
  <si>
    <t>Saldo atual</t>
  </si>
  <si>
    <t>Número da NF</t>
  </si>
  <si>
    <t>Data de emissão NF</t>
  </si>
  <si>
    <t>MÊS</t>
  </si>
  <si>
    <t>RESPONSÁVEL</t>
  </si>
  <si>
    <t>ANO</t>
  </si>
  <si>
    <t>1,2-Dicloroetano</t>
  </si>
  <si>
    <t>Polícia Cívil</t>
  </si>
  <si>
    <t>Polícia Federal</t>
  </si>
  <si>
    <t>Exército</t>
  </si>
  <si>
    <t>x</t>
  </si>
  <si>
    <t>Clorofórmio de Etila (Clorocarbonato de etila)</t>
  </si>
  <si>
    <t xml:space="preserve">Ácido Amino - Acético </t>
  </si>
  <si>
    <t>Ácido Fosfórico (mistura e soluções)</t>
  </si>
  <si>
    <t xml:space="preserve">N-Metilformamida </t>
  </si>
  <si>
    <t>Octano-Iso</t>
  </si>
  <si>
    <t>Sulfato de Sódio Lauril (misturas e soluções)</t>
  </si>
  <si>
    <t>Sulfeto de Sódio (mistura e soluções)</t>
  </si>
  <si>
    <t>Trietilamina (mistura e soluções)</t>
  </si>
  <si>
    <t>Ácido Fluorídrico</t>
  </si>
  <si>
    <r>
      <rPr>
        <u/>
        <sz val="10"/>
        <rFont val="Arial"/>
        <family val="2"/>
      </rPr>
      <t>Observações</t>
    </r>
    <r>
      <rPr>
        <sz val="10"/>
        <rFont val="Arial"/>
        <family val="2"/>
      </rPr>
      <t>:  
A - Havendo mais de uma nota do mesmo tipo de produto químico, acrescentar informação no campo fornecedor.
B - Quando houver necessidade de inclusão de novo produto químico controlado, a Unidade deve contatar o Apoio Operacional - DG para inclusão. Não é necessário revisar o formulário.</t>
    </r>
  </si>
  <si>
    <t>ATUALIZADO EM:</t>
  </si>
  <si>
    <t>INFORMAÇÕES:</t>
  </si>
  <si>
    <t>Diclorometano</t>
  </si>
  <si>
    <t>Hidróxido de Sódio (solução)</t>
  </si>
  <si>
    <t>Ácido Orto - Fosfórico</t>
  </si>
  <si>
    <t>Bissulfito de Sódio</t>
  </si>
  <si>
    <t>Carbonato de Cálcio</t>
  </si>
  <si>
    <t>Cloreto de Sódio</t>
  </si>
  <si>
    <t>Metiletilcetona</t>
  </si>
  <si>
    <t>N-Heptano</t>
  </si>
  <si>
    <t>N-Hexano</t>
  </si>
  <si>
    <t>Sulfato de Cobre</t>
  </si>
  <si>
    <t>Sulfato de Ferro</t>
  </si>
  <si>
    <t>Sulfato de Magnésio</t>
  </si>
  <si>
    <t>Sulfato de Sódio Anidro</t>
  </si>
  <si>
    <t>Sulfeto de Sódio (Monohidratado)</t>
  </si>
  <si>
    <t>Acetato de Amônio</t>
  </si>
  <si>
    <t>Acetato de Zinco</t>
  </si>
  <si>
    <t>Tolueno</t>
  </si>
  <si>
    <t>Trietanolamina(tri(2-hidroxietil)amina)</t>
  </si>
  <si>
    <t>DPPH (2,2-Diphenyl, 1-picrylhydrazyl)</t>
  </si>
  <si>
    <t>Uréia</t>
  </si>
  <si>
    <t>Observações</t>
  </si>
  <si>
    <t>FQ-07.63 (anexo ao PQ-07.04) - RA - revisão 01 de 21/10/25 - Página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</si>
</sst>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i/>
      <sz val="10"/>
      <color theme="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u/>
      <sz val="10"/>
      <color rgb="FFFF0000"/>
      <name val="Arial"/>
      <family val="2"/>
    </font>
    <font>
      <i/>
      <sz val="10"/>
      <color rgb="FF0000FF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4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4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1" fillId="5" borderId="12" xfId="0" applyFont="1" applyFill="1" applyBorder="1" applyAlignment="1" applyProtection="1">
      <alignment horizontal="center" vertical="center"/>
      <protection locked="0"/>
    </xf>
    <xf numFmtId="0" fontId="1" fillId="5" borderId="17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 applyProtection="1">
      <alignment horizontal="center" vertical="center"/>
      <protection locked="0"/>
    </xf>
    <xf numFmtId="164" fontId="1" fillId="5" borderId="2" xfId="0" applyNumberFormat="1" applyFont="1" applyFill="1" applyBorder="1" applyAlignment="1" applyProtection="1">
      <alignment horizontal="center" vertical="center"/>
      <protection locked="0"/>
    </xf>
    <xf numFmtId="164" fontId="1" fillId="5" borderId="6" xfId="0" applyNumberFormat="1" applyFont="1" applyFill="1" applyBorder="1" applyAlignment="1" applyProtection="1">
      <alignment horizontal="center" vertical="center"/>
      <protection locked="0"/>
    </xf>
    <xf numFmtId="0" fontId="1" fillId="5" borderId="9" xfId="0" applyFont="1" applyFill="1" applyBorder="1" applyAlignment="1" applyProtection="1">
      <alignment horizontal="center" vertical="center" wrapText="1"/>
      <protection locked="0"/>
    </xf>
    <xf numFmtId="14" fontId="1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7" xfId="0" applyFont="1" applyFill="1" applyBorder="1" applyAlignment="1" applyProtection="1">
      <alignment horizontal="center" vertical="center" wrapText="1"/>
      <protection locked="0"/>
    </xf>
    <xf numFmtId="14" fontId="1" fillId="5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2" xfId="0" applyFont="1" applyFill="1" applyBorder="1" applyAlignment="1" applyProtection="1">
      <alignment horizontal="center" vertical="center" wrapText="1"/>
      <protection locked="0"/>
    </xf>
    <xf numFmtId="14" fontId="1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1" fillId="5" borderId="16" xfId="0" applyNumberFormat="1" applyFont="1" applyFill="1" applyBorder="1" applyAlignment="1">
      <alignment horizontal="center" vertical="center"/>
    </xf>
    <xf numFmtId="164" fontId="1" fillId="5" borderId="6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14" fontId="2" fillId="0" borderId="13" xfId="0" applyNumberFormat="1" applyFont="1" applyBorder="1" applyAlignment="1" applyProtection="1">
      <alignment horizontal="center" vertical="center"/>
      <protection locked="0"/>
    </xf>
    <xf numFmtId="14" fontId="2" fillId="0" borderId="14" xfId="0" applyNumberFormat="1" applyFont="1" applyBorder="1" applyAlignment="1" applyProtection="1">
      <alignment horizontal="center" vertical="center"/>
      <protection locked="0"/>
    </xf>
    <xf numFmtId="14" fontId="2" fillId="0" borderId="15" xfId="0" applyNumberFormat="1" applyFont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6" fillId="3" borderId="18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18"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>
          <fgColor indexed="64"/>
          <bgColor theme="0"/>
        </patternFill>
      </fill>
      <alignment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0000FF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8:M158" totalsRowShown="0" headerRowDxfId="16" dataDxfId="14" headerRowBorderDxfId="15" tableBorderDxfId="13">
  <autoFilter ref="A8:M158" xr:uid="{00000000-0009-0000-0100-000001000000}"/>
  <sortState xmlns:xlrd2="http://schemas.microsoft.com/office/spreadsheetml/2017/richdata2" ref="A9:L185">
    <sortCondition ref="A9:A185"/>
  </sortState>
  <tableColumns count="13">
    <tableColumn id="1" xr3:uid="{00000000-0010-0000-0000-000001000000}" name="PRODUTO" dataDxfId="12"/>
    <tableColumn id="3" xr3:uid="{00000000-0010-0000-0000-000003000000}" name="Estoque anterior" dataDxfId="11"/>
    <tableColumn id="4" xr3:uid="{00000000-0010-0000-0000-000004000000}" name="Consumo" dataDxfId="10"/>
    <tableColumn id="6" xr3:uid="{00000000-0010-0000-0000-000006000000}" name="Quantidade adquirida" dataDxfId="9"/>
    <tableColumn id="9" xr3:uid="{00000000-0010-0000-0000-000009000000}" name="CNPJ" dataDxfId="8"/>
    <tableColumn id="8" xr3:uid="{00000000-0010-0000-0000-000008000000}" name="Número da NF" dataDxfId="7"/>
    <tableColumn id="5" xr3:uid="{00000000-0010-0000-0000-000005000000}" name="Data de emissão NF" dataDxfId="6"/>
    <tableColumn id="2" xr3:uid="{00000000-0010-0000-0000-000002000000}" name="Saldo atual" dataDxfId="5">
      <calculatedColumnFormula>Tabela1[[#This Row],[Quantidade adquirida]]-Tabela1[[#This Row],[Consumo]]+Tabela1[[#This Row],[Estoque anterior]]</calculatedColumnFormula>
    </tableColumn>
    <tableColumn id="10" xr3:uid="{00000000-0010-0000-0000-00000A000000}" name="Unidade de medida" dataDxfId="4"/>
    <tableColumn id="7" xr3:uid="{00000000-0010-0000-0000-000007000000}" name="Polícia Cívil" dataDxfId="3"/>
    <tableColumn id="11" xr3:uid="{00000000-0010-0000-0000-00000B000000}" name="Polícia Federal" dataDxfId="2"/>
    <tableColumn id="12" xr3:uid="{00000000-0010-0000-0000-00000C000000}" name="Exército" dataDxfId="1"/>
    <tableColumn id="14" xr3:uid="{F79971D1-2C40-492E-99A8-0646F5E212A7}" name="Observ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view="pageBreakPreview" zoomScale="80" zoomScaleNormal="80" zoomScaleSheetLayoutView="80" workbookViewId="0">
      <pane ySplit="8" topLeftCell="A131" activePane="bottomLeft" state="frozen"/>
      <selection pane="bottomLeft" activeCell="B142" sqref="B142:D142"/>
    </sheetView>
  </sheetViews>
  <sheetFormatPr defaultRowHeight="15" x14ac:dyDescent="0.25"/>
  <cols>
    <col min="1" max="1" width="34.5703125" style="5" customWidth="1"/>
    <col min="2" max="3" width="12.7109375" style="5" customWidth="1"/>
    <col min="4" max="4" width="15.140625" style="5" customWidth="1"/>
    <col min="5" max="5" width="25.7109375" style="5" customWidth="1"/>
    <col min="6" max="7" width="12.7109375" style="5" customWidth="1"/>
    <col min="8" max="8" width="12.5703125" style="12" customWidth="1"/>
    <col min="9" max="9" width="10.5703125" style="5" customWidth="1"/>
    <col min="10" max="12" width="9.140625" style="14"/>
    <col min="13" max="13" width="29.85546875" customWidth="1"/>
  </cols>
  <sheetData>
    <row r="1" spans="1:13" ht="24.75" customHeight="1" thickBot="1" x14ac:dyDescent="0.3">
      <c r="A1" s="46" t="s">
        <v>125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48" customHeight="1" thickBot="1" x14ac:dyDescent="0.3">
      <c r="A2" s="43" t="s">
        <v>121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</row>
    <row r="3" spans="1:13" ht="8.25" customHeight="1" thickBot="1" x14ac:dyDescent="0.3">
      <c r="A3" s="7"/>
      <c r="B3" s="16"/>
      <c r="C3" s="16"/>
      <c r="D3" s="16"/>
      <c r="E3" s="16"/>
      <c r="F3" s="16"/>
      <c r="G3" s="16"/>
      <c r="H3" s="16"/>
      <c r="I3" s="16"/>
      <c r="J3" s="7"/>
      <c r="K3" s="7"/>
      <c r="L3" s="7"/>
    </row>
    <row r="4" spans="1:13" ht="24.95" customHeight="1" thickBot="1" x14ac:dyDescent="0.3">
      <c r="A4" s="51" t="s">
        <v>152</v>
      </c>
      <c r="B4" s="60" t="s">
        <v>133</v>
      </c>
      <c r="C4" s="61"/>
      <c r="D4" s="15" t="s">
        <v>135</v>
      </c>
      <c r="E4" s="64" t="s">
        <v>122</v>
      </c>
      <c r="F4" s="65"/>
      <c r="G4" s="64" t="s">
        <v>134</v>
      </c>
      <c r="H4" s="66"/>
      <c r="I4" s="65"/>
      <c r="J4" s="53" t="s">
        <v>151</v>
      </c>
      <c r="K4" s="54"/>
      <c r="L4" s="54"/>
      <c r="M4" s="55"/>
    </row>
    <row r="5" spans="1:13" ht="24.95" customHeight="1" thickBot="1" x14ac:dyDescent="0.3">
      <c r="A5" s="52"/>
      <c r="B5" s="62"/>
      <c r="C5" s="63"/>
      <c r="D5" s="28"/>
      <c r="E5" s="70"/>
      <c r="F5" s="71"/>
      <c r="G5" s="67"/>
      <c r="H5" s="68"/>
      <c r="I5" s="69"/>
      <c r="J5" s="56"/>
      <c r="K5" s="57"/>
      <c r="L5" s="57"/>
      <c r="M5" s="58"/>
    </row>
    <row r="6" spans="1:13" ht="11.25" customHeight="1" x14ac:dyDescent="0.25">
      <c r="A6" s="2"/>
      <c r="B6" s="3"/>
      <c r="C6" s="4"/>
      <c r="D6" s="4"/>
      <c r="E6" s="4"/>
      <c r="F6" s="4"/>
      <c r="G6" s="4"/>
      <c r="H6" s="11"/>
    </row>
    <row r="7" spans="1:13" ht="15.75" customHeight="1" x14ac:dyDescent="0.25">
      <c r="A7" s="6"/>
      <c r="B7" s="6"/>
      <c r="C7" s="6"/>
      <c r="D7" s="6"/>
      <c r="E7" s="59" t="s">
        <v>124</v>
      </c>
      <c r="F7" s="59"/>
      <c r="G7" s="59"/>
    </row>
    <row r="8" spans="1:13" ht="43.5" customHeight="1" thickBot="1" x14ac:dyDescent="0.3">
      <c r="A8" s="1" t="s">
        <v>120</v>
      </c>
      <c r="B8" s="8" t="s">
        <v>128</v>
      </c>
      <c r="C8" s="8" t="s">
        <v>129</v>
      </c>
      <c r="D8" s="18" t="s">
        <v>127</v>
      </c>
      <c r="E8" s="9" t="s">
        <v>123</v>
      </c>
      <c r="F8" s="9" t="s">
        <v>131</v>
      </c>
      <c r="G8" s="9" t="s">
        <v>132</v>
      </c>
      <c r="H8" s="10" t="s">
        <v>130</v>
      </c>
      <c r="I8" s="17" t="s">
        <v>126</v>
      </c>
      <c r="J8" s="13" t="s">
        <v>137</v>
      </c>
      <c r="K8" s="13" t="s">
        <v>138</v>
      </c>
      <c r="L8" s="13" t="s">
        <v>139</v>
      </c>
      <c r="M8" s="42" t="s">
        <v>173</v>
      </c>
    </row>
    <row r="9" spans="1:13" x14ac:dyDescent="0.25">
      <c r="A9" s="21" t="s">
        <v>136</v>
      </c>
      <c r="B9" s="30"/>
      <c r="C9" s="30"/>
      <c r="D9" s="30"/>
      <c r="E9" s="33"/>
      <c r="F9" s="33"/>
      <c r="G9" s="34"/>
      <c r="H9" s="39">
        <f>Tabela1[[#This Row],[Quantidade adquirida]]-Tabela1[[#This Row],[Consumo]]+Tabela1[[#This Row],[Estoque anterior]]</f>
        <v>0</v>
      </c>
      <c r="I9" s="27"/>
      <c r="J9" s="22"/>
      <c r="K9" s="22" t="s">
        <v>140</v>
      </c>
      <c r="L9" s="22"/>
      <c r="M9" s="27"/>
    </row>
    <row r="10" spans="1:13" x14ac:dyDescent="0.25">
      <c r="A10" s="19" t="s">
        <v>22</v>
      </c>
      <c r="B10" s="31"/>
      <c r="C10" s="31"/>
      <c r="D10" s="31"/>
      <c r="E10" s="35"/>
      <c r="F10" s="35"/>
      <c r="G10" s="36"/>
      <c r="H10" s="39">
        <f>Tabela1[[#This Row],[Quantidade adquirida]]-Tabela1[[#This Row],[Consumo]]+Tabela1[[#This Row],[Estoque anterior]]</f>
        <v>0</v>
      </c>
      <c r="I10" s="25"/>
      <c r="J10" s="23" t="s">
        <v>140</v>
      </c>
      <c r="K10" s="23"/>
      <c r="L10" s="23"/>
      <c r="M10" s="25"/>
    </row>
    <row r="11" spans="1:13" x14ac:dyDescent="0.25">
      <c r="A11" s="19" t="s">
        <v>167</v>
      </c>
      <c r="B11" s="31"/>
      <c r="C11" s="31"/>
      <c r="D11" s="31"/>
      <c r="E11" s="35"/>
      <c r="F11" s="35"/>
      <c r="G11" s="36"/>
      <c r="H11" s="39">
        <f>Tabela1[[#This Row],[Quantidade adquirida]]-Tabela1[[#This Row],[Consumo]]+Tabela1[[#This Row],[Estoque anterior]]</f>
        <v>0</v>
      </c>
      <c r="I11" s="25"/>
      <c r="J11" s="23" t="s">
        <v>140</v>
      </c>
      <c r="K11" s="23"/>
      <c r="L11" s="23"/>
      <c r="M11" s="25"/>
    </row>
    <row r="12" spans="1:13" x14ac:dyDescent="0.25">
      <c r="A12" s="19" t="s">
        <v>23</v>
      </c>
      <c r="B12" s="31"/>
      <c r="C12" s="31"/>
      <c r="D12" s="31"/>
      <c r="E12" s="35"/>
      <c r="F12" s="35"/>
      <c r="G12" s="36"/>
      <c r="H12" s="39">
        <f>Tabela1[[#This Row],[Quantidade adquirida]]-Tabela1[[#This Row],[Consumo]]+Tabela1[[#This Row],[Estoque anterior]]</f>
        <v>0</v>
      </c>
      <c r="I12" s="25"/>
      <c r="J12" s="23" t="s">
        <v>140</v>
      </c>
      <c r="K12" s="23"/>
      <c r="L12" s="23"/>
      <c r="M12" s="25"/>
    </row>
    <row r="13" spans="1:13" x14ac:dyDescent="0.25">
      <c r="A13" s="19" t="s">
        <v>17</v>
      </c>
      <c r="B13" s="31"/>
      <c r="C13" s="31"/>
      <c r="D13" s="31"/>
      <c r="E13" s="35"/>
      <c r="F13" s="35"/>
      <c r="G13" s="36"/>
      <c r="H13" s="39">
        <f>Tabela1[[#This Row],[Quantidade adquirida]]-Tabela1[[#This Row],[Consumo]]+Tabela1[[#This Row],[Estoque anterior]]</f>
        <v>0</v>
      </c>
      <c r="I13" s="25"/>
      <c r="J13" s="23"/>
      <c r="K13" s="23" t="s">
        <v>140</v>
      </c>
      <c r="L13" s="23"/>
      <c r="M13" s="25"/>
    </row>
    <row r="14" spans="1:13" x14ac:dyDescent="0.25">
      <c r="A14" s="19" t="s">
        <v>24</v>
      </c>
      <c r="B14" s="31"/>
      <c r="C14" s="31"/>
      <c r="D14" s="31"/>
      <c r="E14" s="35"/>
      <c r="F14" s="35"/>
      <c r="G14" s="36"/>
      <c r="H14" s="39">
        <f>Tabela1[[#This Row],[Quantidade adquirida]]-Tabela1[[#This Row],[Consumo]]+Tabela1[[#This Row],[Estoque anterior]]</f>
        <v>0</v>
      </c>
      <c r="I14" s="25"/>
      <c r="J14" s="23" t="s">
        <v>140</v>
      </c>
      <c r="K14" s="23"/>
      <c r="L14" s="23"/>
      <c r="M14" s="25"/>
    </row>
    <row r="15" spans="1:13" x14ac:dyDescent="0.25">
      <c r="A15" s="19" t="s">
        <v>25</v>
      </c>
      <c r="B15" s="31"/>
      <c r="C15" s="31"/>
      <c r="D15" s="31"/>
      <c r="E15" s="35"/>
      <c r="F15" s="35"/>
      <c r="G15" s="36"/>
      <c r="H15" s="39">
        <f>Tabela1[[#This Row],[Quantidade adquirida]]-Tabela1[[#This Row],[Consumo]]+Tabela1[[#This Row],[Estoque anterior]]</f>
        <v>0</v>
      </c>
      <c r="I15" s="25"/>
      <c r="J15" s="23" t="s">
        <v>140</v>
      </c>
      <c r="K15" s="23"/>
      <c r="L15" s="23"/>
      <c r="M15" s="25"/>
    </row>
    <row r="16" spans="1:13" x14ac:dyDescent="0.25">
      <c r="A16" s="19" t="s">
        <v>168</v>
      </c>
      <c r="B16" s="31"/>
      <c r="C16" s="31"/>
      <c r="D16" s="31"/>
      <c r="E16" s="35"/>
      <c r="F16" s="35"/>
      <c r="G16" s="36"/>
      <c r="H16" s="39">
        <f>Tabela1[[#This Row],[Quantidade adquirida]]-Tabela1[[#This Row],[Consumo]]+Tabela1[[#This Row],[Estoque anterior]]</f>
        <v>0</v>
      </c>
      <c r="I16" s="25"/>
      <c r="J16" s="23" t="s">
        <v>140</v>
      </c>
      <c r="K16" s="23"/>
      <c r="L16" s="23"/>
      <c r="M16" s="25"/>
    </row>
    <row r="17" spans="1:13" x14ac:dyDescent="0.25">
      <c r="A17" s="19" t="s">
        <v>16</v>
      </c>
      <c r="B17" s="31"/>
      <c r="C17" s="31"/>
      <c r="D17" s="31"/>
      <c r="E17" s="35"/>
      <c r="F17" s="35"/>
      <c r="G17" s="36"/>
      <c r="H17" s="39">
        <f>Tabela1[[#This Row],[Quantidade adquirida]]-Tabela1[[#This Row],[Consumo]]+Tabela1[[#This Row],[Estoque anterior]]</f>
        <v>0</v>
      </c>
      <c r="I17" s="25"/>
      <c r="J17" s="23"/>
      <c r="K17" s="23" t="s">
        <v>140</v>
      </c>
      <c r="L17" s="23"/>
      <c r="M17" s="25"/>
    </row>
    <row r="18" spans="1:13" x14ac:dyDescent="0.25">
      <c r="A18" s="19" t="s">
        <v>15</v>
      </c>
      <c r="B18" s="31"/>
      <c r="C18" s="31"/>
      <c r="D18" s="31"/>
      <c r="E18" s="35"/>
      <c r="F18" s="35"/>
      <c r="G18" s="36"/>
      <c r="H18" s="39">
        <f>Tabela1[[#This Row],[Quantidade adquirida]]-Tabela1[[#This Row],[Consumo]]+Tabela1[[#This Row],[Estoque anterior]]</f>
        <v>0</v>
      </c>
      <c r="I18" s="25"/>
      <c r="J18" s="23" t="s">
        <v>140</v>
      </c>
      <c r="K18" s="23"/>
      <c r="L18" s="23"/>
      <c r="M18" s="25"/>
    </row>
    <row r="19" spans="1:13" x14ac:dyDescent="0.25">
      <c r="A19" s="19" t="s">
        <v>26</v>
      </c>
      <c r="B19" s="31"/>
      <c r="C19" s="31"/>
      <c r="D19" s="31"/>
      <c r="E19" s="35"/>
      <c r="F19" s="35"/>
      <c r="G19" s="36"/>
      <c r="H19" s="39">
        <f>Tabela1[[#This Row],[Quantidade adquirida]]-Tabela1[[#This Row],[Consumo]]+Tabela1[[#This Row],[Estoque anterior]]</f>
        <v>0</v>
      </c>
      <c r="I19" s="25"/>
      <c r="J19" s="23"/>
      <c r="K19" s="23" t="s">
        <v>140</v>
      </c>
      <c r="L19" s="23"/>
      <c r="M19" s="25"/>
    </row>
    <row r="20" spans="1:13" x14ac:dyDescent="0.25">
      <c r="A20" s="19" t="s">
        <v>142</v>
      </c>
      <c r="B20" s="31"/>
      <c r="C20" s="31"/>
      <c r="D20" s="31"/>
      <c r="E20" s="35"/>
      <c r="F20" s="35"/>
      <c r="G20" s="36"/>
      <c r="H20" s="39">
        <f>Tabela1[[#This Row],[Quantidade adquirida]]-Tabela1[[#This Row],[Consumo]]+Tabela1[[#This Row],[Estoque anterior]]</f>
        <v>0</v>
      </c>
      <c r="I20" s="25"/>
      <c r="J20" s="23" t="s">
        <v>140</v>
      </c>
      <c r="K20" s="23"/>
      <c r="L20" s="23"/>
      <c r="M20" s="25"/>
    </row>
    <row r="21" spans="1:13" x14ac:dyDescent="0.25">
      <c r="A21" s="19" t="s">
        <v>13</v>
      </c>
      <c r="B21" s="31"/>
      <c r="C21" s="31"/>
      <c r="D21" s="31"/>
      <c r="E21" s="35"/>
      <c r="F21" s="35"/>
      <c r="G21" s="36"/>
      <c r="H21" s="39">
        <f>Tabela1[[#This Row],[Quantidade adquirida]]-Tabela1[[#This Row],[Consumo]]+Tabela1[[#This Row],[Estoque anterior]]</f>
        <v>0</v>
      </c>
      <c r="I21" s="25"/>
      <c r="J21" s="23" t="s">
        <v>140</v>
      </c>
      <c r="K21" s="23" t="s">
        <v>140</v>
      </c>
      <c r="L21" s="23"/>
      <c r="M21" s="25"/>
    </row>
    <row r="22" spans="1:13" x14ac:dyDescent="0.25">
      <c r="A22" s="19" t="s">
        <v>27</v>
      </c>
      <c r="B22" s="31"/>
      <c r="C22" s="31"/>
      <c r="D22" s="31"/>
      <c r="E22" s="35"/>
      <c r="F22" s="35"/>
      <c r="G22" s="36"/>
      <c r="H22" s="39">
        <f>Tabela1[[#This Row],[Quantidade adquirida]]-Tabela1[[#This Row],[Consumo]]+Tabela1[[#This Row],[Estoque anterior]]</f>
        <v>0</v>
      </c>
      <c r="I22" s="25"/>
      <c r="J22" s="23"/>
      <c r="K22" s="23" t="s">
        <v>140</v>
      </c>
      <c r="L22" s="23"/>
      <c r="M22" s="25"/>
    </row>
    <row r="23" spans="1:13" x14ac:dyDescent="0.25">
      <c r="A23" s="19" t="s">
        <v>102</v>
      </c>
      <c r="B23" s="31"/>
      <c r="C23" s="31"/>
      <c r="D23" s="31"/>
      <c r="E23" s="35"/>
      <c r="F23" s="35"/>
      <c r="G23" s="36"/>
      <c r="H23" s="39">
        <f>Tabela1[[#This Row],[Quantidade adquirida]]-Tabela1[[#This Row],[Consumo]]+Tabela1[[#This Row],[Estoque anterior]]</f>
        <v>0</v>
      </c>
      <c r="I23" s="25"/>
      <c r="J23" s="23"/>
      <c r="K23" s="23" t="s">
        <v>140</v>
      </c>
      <c r="L23" s="23"/>
      <c r="M23" s="25"/>
    </row>
    <row r="24" spans="1:13" x14ac:dyDescent="0.25">
      <c r="A24" s="19" t="s">
        <v>21</v>
      </c>
      <c r="B24" s="31"/>
      <c r="C24" s="31"/>
      <c r="D24" s="31"/>
      <c r="E24" s="35"/>
      <c r="F24" s="35"/>
      <c r="G24" s="36"/>
      <c r="H24" s="39">
        <f>Tabela1[[#This Row],[Quantidade adquirida]]-Tabela1[[#This Row],[Consumo]]+Tabela1[[#This Row],[Estoque anterior]]</f>
        <v>0</v>
      </c>
      <c r="I24" s="25"/>
      <c r="J24" s="23" t="s">
        <v>140</v>
      </c>
      <c r="K24" s="23" t="s">
        <v>140</v>
      </c>
      <c r="L24" s="23"/>
      <c r="M24" s="25"/>
    </row>
    <row r="25" spans="1:13" x14ac:dyDescent="0.25">
      <c r="A25" s="19" t="s">
        <v>149</v>
      </c>
      <c r="B25" s="31"/>
      <c r="C25" s="31"/>
      <c r="D25" s="31"/>
      <c r="E25" s="35"/>
      <c r="F25" s="35"/>
      <c r="G25" s="36"/>
      <c r="H25" s="29">
        <f>Tabela1[[#This Row],[Quantidade adquirida]]-Tabela1[[#This Row],[Consumo]]+Tabela1[[#This Row],[Estoque anterior]]</f>
        <v>0</v>
      </c>
      <c r="I25" s="25"/>
      <c r="J25" s="23" t="s">
        <v>140</v>
      </c>
      <c r="K25" s="23"/>
      <c r="L25" s="23" t="s">
        <v>140</v>
      </c>
      <c r="M25" s="25"/>
    </row>
    <row r="26" spans="1:13" x14ac:dyDescent="0.25">
      <c r="A26" s="19" t="s">
        <v>28</v>
      </c>
      <c r="B26" s="31"/>
      <c r="C26" s="31"/>
      <c r="D26" s="31"/>
      <c r="E26" s="35"/>
      <c r="F26" s="35"/>
      <c r="G26" s="36"/>
      <c r="H26" s="39">
        <f>Tabela1[[#This Row],[Quantidade adquirida]]-Tabela1[[#This Row],[Consumo]]+Tabela1[[#This Row],[Estoque anterior]]</f>
        <v>0</v>
      </c>
      <c r="I26" s="25"/>
      <c r="J26" s="23"/>
      <c r="K26" s="23" t="s">
        <v>140</v>
      </c>
      <c r="L26" s="23"/>
      <c r="M26" s="25"/>
    </row>
    <row r="27" spans="1:13" x14ac:dyDescent="0.25">
      <c r="A27" s="19" t="s">
        <v>143</v>
      </c>
      <c r="B27" s="31"/>
      <c r="C27" s="31"/>
      <c r="D27" s="31"/>
      <c r="E27" s="35"/>
      <c r="F27" s="35"/>
      <c r="G27" s="36"/>
      <c r="H27" s="39">
        <f>Tabela1[[#This Row],[Quantidade adquirida]]-Tabela1[[#This Row],[Consumo]]+Tabela1[[#This Row],[Estoque anterior]]</f>
        <v>0</v>
      </c>
      <c r="I27" s="25"/>
      <c r="J27" s="23" t="s">
        <v>140</v>
      </c>
      <c r="K27" s="23"/>
      <c r="L27" s="23"/>
      <c r="M27" s="25"/>
    </row>
    <row r="28" spans="1:13" x14ac:dyDescent="0.25">
      <c r="A28" s="19" t="s">
        <v>29</v>
      </c>
      <c r="B28" s="31"/>
      <c r="C28" s="31"/>
      <c r="D28" s="31"/>
      <c r="E28" s="35"/>
      <c r="F28" s="35"/>
      <c r="G28" s="36"/>
      <c r="H28" s="39">
        <f>Tabela1[[#This Row],[Quantidade adquirida]]-Tabela1[[#This Row],[Consumo]]+Tabela1[[#This Row],[Estoque anterior]]</f>
        <v>0</v>
      </c>
      <c r="I28" s="25"/>
      <c r="J28" s="23" t="s">
        <v>140</v>
      </c>
      <c r="K28" s="23"/>
      <c r="L28" s="23"/>
      <c r="M28" s="25"/>
    </row>
    <row r="29" spans="1:13" x14ac:dyDescent="0.25">
      <c r="A29" s="19" t="s">
        <v>30</v>
      </c>
      <c r="B29" s="31"/>
      <c r="C29" s="31"/>
      <c r="D29" s="31"/>
      <c r="E29" s="35"/>
      <c r="F29" s="35"/>
      <c r="G29" s="36"/>
      <c r="H29" s="39">
        <f>Tabela1[[#This Row],[Quantidade adquirida]]-Tabela1[[#This Row],[Consumo]]+Tabela1[[#This Row],[Estoque anterior]]</f>
        <v>0</v>
      </c>
      <c r="I29" s="25"/>
      <c r="J29" s="23" t="s">
        <v>140</v>
      </c>
      <c r="K29" s="23"/>
      <c r="L29" s="23"/>
      <c r="M29" s="25"/>
    </row>
    <row r="30" spans="1:13" x14ac:dyDescent="0.25">
      <c r="A30" s="19" t="s">
        <v>112</v>
      </c>
      <c r="B30" s="31"/>
      <c r="C30" s="31"/>
      <c r="D30" s="31"/>
      <c r="E30" s="35"/>
      <c r="F30" s="35"/>
      <c r="G30" s="36"/>
      <c r="H30" s="39">
        <f>Tabela1[[#This Row],[Quantidade adquirida]]-Tabela1[[#This Row],[Consumo]]+Tabela1[[#This Row],[Estoque anterior]]</f>
        <v>0</v>
      </c>
      <c r="I30" s="25"/>
      <c r="J30" s="23"/>
      <c r="K30" s="23"/>
      <c r="L30" s="23" t="s">
        <v>140</v>
      </c>
      <c r="M30" s="25"/>
    </row>
    <row r="31" spans="1:13" x14ac:dyDescent="0.25">
      <c r="A31" s="19" t="s">
        <v>155</v>
      </c>
      <c r="B31" s="31"/>
      <c r="C31" s="31"/>
      <c r="D31" s="31"/>
      <c r="E31" s="35"/>
      <c r="F31" s="35"/>
      <c r="G31" s="36"/>
      <c r="H31" s="39">
        <f>Tabela1[[#This Row],[Quantidade adquirida]]-Tabela1[[#This Row],[Consumo]]+Tabela1[[#This Row],[Estoque anterior]]</f>
        <v>0</v>
      </c>
      <c r="I31" s="25"/>
      <c r="J31" s="23" t="s">
        <v>140</v>
      </c>
      <c r="K31" s="23"/>
      <c r="L31" s="23"/>
      <c r="M31" s="25"/>
    </row>
    <row r="32" spans="1:13" x14ac:dyDescent="0.25">
      <c r="A32" s="19" t="s">
        <v>113</v>
      </c>
      <c r="B32" s="31"/>
      <c r="C32" s="31"/>
      <c r="D32" s="31"/>
      <c r="E32" s="35"/>
      <c r="F32" s="35"/>
      <c r="G32" s="36"/>
      <c r="H32" s="39">
        <f>Tabela1[[#This Row],[Quantidade adquirida]]-Tabela1[[#This Row],[Consumo]]+Tabela1[[#This Row],[Estoque anterior]]</f>
        <v>0</v>
      </c>
      <c r="I32" s="25"/>
      <c r="J32" s="23"/>
      <c r="K32" s="23"/>
      <c r="L32" s="23" t="s">
        <v>140</v>
      </c>
      <c r="M32" s="25"/>
    </row>
    <row r="33" spans="1:13" x14ac:dyDescent="0.25">
      <c r="A33" s="19" t="s">
        <v>31</v>
      </c>
      <c r="B33" s="31"/>
      <c r="C33" s="31"/>
      <c r="D33" s="31"/>
      <c r="E33" s="35"/>
      <c r="F33" s="35"/>
      <c r="G33" s="36"/>
      <c r="H33" s="39">
        <f>Tabela1[[#This Row],[Quantidade adquirida]]-Tabela1[[#This Row],[Consumo]]+Tabela1[[#This Row],[Estoque anterior]]</f>
        <v>0</v>
      </c>
      <c r="I33" s="25"/>
      <c r="J33" s="23" t="s">
        <v>140</v>
      </c>
      <c r="K33" s="23"/>
      <c r="L33" s="23"/>
      <c r="M33" s="25"/>
    </row>
    <row r="34" spans="1:13" x14ac:dyDescent="0.25">
      <c r="A34" s="19" t="s">
        <v>32</v>
      </c>
      <c r="B34" s="31"/>
      <c r="C34" s="31"/>
      <c r="D34" s="31"/>
      <c r="E34" s="35"/>
      <c r="F34" s="35"/>
      <c r="G34" s="36"/>
      <c r="H34" s="39">
        <f>Tabela1[[#This Row],[Quantidade adquirida]]-Tabela1[[#This Row],[Consumo]]+Tabela1[[#This Row],[Estoque anterior]]</f>
        <v>0</v>
      </c>
      <c r="I34" s="25"/>
      <c r="J34" s="23"/>
      <c r="K34" s="23" t="s">
        <v>140</v>
      </c>
      <c r="L34" s="23"/>
      <c r="M34" s="25"/>
    </row>
    <row r="35" spans="1:13" x14ac:dyDescent="0.25">
      <c r="A35" s="19" t="s">
        <v>33</v>
      </c>
      <c r="B35" s="31"/>
      <c r="C35" s="31"/>
      <c r="D35" s="31"/>
      <c r="E35" s="35"/>
      <c r="F35" s="35"/>
      <c r="G35" s="36"/>
      <c r="H35" s="39">
        <f>Tabela1[[#This Row],[Quantidade adquirida]]-Tabela1[[#This Row],[Consumo]]+Tabela1[[#This Row],[Estoque anterior]]</f>
        <v>0</v>
      </c>
      <c r="I35" s="25"/>
      <c r="J35" s="23" t="s">
        <v>140</v>
      </c>
      <c r="K35" s="23"/>
      <c r="L35" s="23"/>
      <c r="M35" s="25"/>
    </row>
    <row r="36" spans="1:13" x14ac:dyDescent="0.25">
      <c r="A36" s="19" t="s">
        <v>34</v>
      </c>
      <c r="B36" s="31"/>
      <c r="C36" s="31"/>
      <c r="D36" s="31"/>
      <c r="E36" s="35"/>
      <c r="F36" s="35"/>
      <c r="G36" s="36"/>
      <c r="H36" s="39">
        <f>Tabela1[[#This Row],[Quantidade adquirida]]-Tabela1[[#This Row],[Consumo]]+Tabela1[[#This Row],[Estoque anterior]]</f>
        <v>0</v>
      </c>
      <c r="I36" s="25"/>
      <c r="J36" s="23" t="s">
        <v>140</v>
      </c>
      <c r="K36" s="23"/>
      <c r="L36" s="23"/>
      <c r="M36" s="25"/>
    </row>
    <row r="37" spans="1:13" x14ac:dyDescent="0.25">
      <c r="A37" s="19" t="s">
        <v>35</v>
      </c>
      <c r="B37" s="31"/>
      <c r="C37" s="31"/>
      <c r="D37" s="31"/>
      <c r="E37" s="35"/>
      <c r="F37" s="35"/>
      <c r="G37" s="36"/>
      <c r="H37" s="39">
        <f>Tabela1[[#This Row],[Quantidade adquirida]]-Tabela1[[#This Row],[Consumo]]+Tabela1[[#This Row],[Estoque anterior]]</f>
        <v>0</v>
      </c>
      <c r="I37" s="25"/>
      <c r="J37" s="23" t="s">
        <v>140</v>
      </c>
      <c r="K37" s="23"/>
      <c r="L37" s="23"/>
      <c r="M37" s="25"/>
    </row>
    <row r="38" spans="1:13" x14ac:dyDescent="0.25">
      <c r="A38" s="19" t="s">
        <v>36</v>
      </c>
      <c r="B38" s="31"/>
      <c r="C38" s="31"/>
      <c r="D38" s="31"/>
      <c r="E38" s="35"/>
      <c r="F38" s="35"/>
      <c r="G38" s="36"/>
      <c r="H38" s="39">
        <f>Tabela1[[#This Row],[Quantidade adquirida]]-Tabela1[[#This Row],[Consumo]]+Tabela1[[#This Row],[Estoque anterior]]</f>
        <v>0</v>
      </c>
      <c r="I38" s="25"/>
      <c r="J38" s="23" t="s">
        <v>140</v>
      </c>
      <c r="K38" s="23"/>
      <c r="L38" s="23"/>
      <c r="M38" s="25"/>
    </row>
    <row r="39" spans="1:13" x14ac:dyDescent="0.25">
      <c r="A39" s="19" t="s">
        <v>37</v>
      </c>
      <c r="B39" s="31"/>
      <c r="C39" s="31"/>
      <c r="D39" s="31"/>
      <c r="E39" s="35"/>
      <c r="F39" s="35"/>
      <c r="G39" s="36"/>
      <c r="H39" s="39">
        <f>Tabela1[[#This Row],[Quantidade adquirida]]-Tabela1[[#This Row],[Consumo]]+Tabela1[[#This Row],[Estoque anterior]]</f>
        <v>0</v>
      </c>
      <c r="I39" s="25"/>
      <c r="J39" s="23" t="s">
        <v>140</v>
      </c>
      <c r="K39" s="23"/>
      <c r="L39" s="23"/>
      <c r="M39" s="25"/>
    </row>
    <row r="40" spans="1:13" x14ac:dyDescent="0.25">
      <c r="A40" s="19" t="s">
        <v>38</v>
      </c>
      <c r="B40" s="31"/>
      <c r="C40" s="31"/>
      <c r="D40" s="31"/>
      <c r="E40" s="35"/>
      <c r="F40" s="35"/>
      <c r="G40" s="36"/>
      <c r="H40" s="39">
        <f>Tabela1[[#This Row],[Quantidade adquirida]]-Tabela1[[#This Row],[Consumo]]+Tabela1[[#This Row],[Estoque anterior]]</f>
        <v>0</v>
      </c>
      <c r="I40" s="25"/>
      <c r="J40" s="23" t="s">
        <v>140</v>
      </c>
      <c r="K40" s="23"/>
      <c r="L40" s="23"/>
      <c r="M40" s="25"/>
    </row>
    <row r="41" spans="1:13" x14ac:dyDescent="0.25">
      <c r="A41" s="19" t="s">
        <v>39</v>
      </c>
      <c r="B41" s="31"/>
      <c r="C41" s="31"/>
      <c r="D41" s="31"/>
      <c r="E41" s="35"/>
      <c r="F41" s="35"/>
      <c r="G41" s="36"/>
      <c r="H41" s="39">
        <f>Tabela1[[#This Row],[Quantidade adquirida]]-Tabela1[[#This Row],[Consumo]]+Tabela1[[#This Row],[Estoque anterior]]</f>
        <v>0</v>
      </c>
      <c r="I41" s="25"/>
      <c r="J41" s="23" t="s">
        <v>140</v>
      </c>
      <c r="K41" s="23"/>
      <c r="L41" s="23"/>
      <c r="M41" s="25"/>
    </row>
    <row r="42" spans="1:13" x14ac:dyDescent="0.25">
      <c r="A42" s="19" t="s">
        <v>40</v>
      </c>
      <c r="B42" s="31"/>
      <c r="C42" s="31"/>
      <c r="D42" s="31"/>
      <c r="E42" s="35"/>
      <c r="F42" s="35"/>
      <c r="G42" s="36"/>
      <c r="H42" s="39">
        <f>Tabela1[[#This Row],[Quantidade adquirida]]-Tabela1[[#This Row],[Consumo]]+Tabela1[[#This Row],[Estoque anterior]]</f>
        <v>0</v>
      </c>
      <c r="I42" s="25"/>
      <c r="J42" s="23" t="s">
        <v>140</v>
      </c>
      <c r="K42" s="23"/>
      <c r="L42" s="23"/>
      <c r="M42" s="25"/>
    </row>
    <row r="43" spans="1:13" x14ac:dyDescent="0.25">
      <c r="A43" s="19" t="s">
        <v>41</v>
      </c>
      <c r="B43" s="31"/>
      <c r="C43" s="31"/>
      <c r="D43" s="31"/>
      <c r="E43" s="35"/>
      <c r="F43" s="35"/>
      <c r="G43" s="36"/>
      <c r="H43" s="39">
        <f>Tabela1[[#This Row],[Quantidade adquirida]]-Tabela1[[#This Row],[Consumo]]+Tabela1[[#This Row],[Estoque anterior]]</f>
        <v>0</v>
      </c>
      <c r="I43" s="25"/>
      <c r="J43" s="23" t="s">
        <v>140</v>
      </c>
      <c r="K43" s="23"/>
      <c r="L43" s="23"/>
      <c r="M43" s="25"/>
    </row>
    <row r="44" spans="1:13" x14ac:dyDescent="0.25">
      <c r="A44" s="19" t="s">
        <v>42</v>
      </c>
      <c r="B44" s="31"/>
      <c r="C44" s="31"/>
      <c r="D44" s="31"/>
      <c r="E44" s="35"/>
      <c r="F44" s="35"/>
      <c r="G44" s="36"/>
      <c r="H44" s="39">
        <f>Tabela1[[#This Row],[Quantidade adquirida]]-Tabela1[[#This Row],[Consumo]]+Tabela1[[#This Row],[Estoque anterior]]</f>
        <v>0</v>
      </c>
      <c r="I44" s="25"/>
      <c r="J44" s="23" t="s">
        <v>140</v>
      </c>
      <c r="K44" s="23"/>
      <c r="L44" s="23"/>
      <c r="M44" s="25"/>
    </row>
    <row r="45" spans="1:13" x14ac:dyDescent="0.25">
      <c r="A45" s="19" t="s">
        <v>43</v>
      </c>
      <c r="B45" s="31"/>
      <c r="C45" s="31"/>
      <c r="D45" s="31"/>
      <c r="E45" s="35"/>
      <c r="F45" s="35"/>
      <c r="G45" s="36"/>
      <c r="H45" s="39">
        <f>Tabela1[[#This Row],[Quantidade adquirida]]-Tabela1[[#This Row],[Consumo]]+Tabela1[[#This Row],[Estoque anterior]]</f>
        <v>0</v>
      </c>
      <c r="I45" s="25"/>
      <c r="J45" s="23" t="s">
        <v>140</v>
      </c>
      <c r="K45" s="23" t="s">
        <v>140</v>
      </c>
      <c r="L45" s="23"/>
      <c r="M45" s="25"/>
    </row>
    <row r="46" spans="1:13" x14ac:dyDescent="0.25">
      <c r="A46" s="19" t="s">
        <v>44</v>
      </c>
      <c r="B46" s="31"/>
      <c r="C46" s="31"/>
      <c r="D46" s="31"/>
      <c r="E46" s="35"/>
      <c r="F46" s="35"/>
      <c r="G46" s="36"/>
      <c r="H46" s="39">
        <f>Tabela1[[#This Row],[Quantidade adquirida]]-Tabela1[[#This Row],[Consumo]]+Tabela1[[#This Row],[Estoque anterior]]</f>
        <v>0</v>
      </c>
      <c r="I46" s="25"/>
      <c r="J46" s="23" t="s">
        <v>140</v>
      </c>
      <c r="K46" s="23"/>
      <c r="L46" s="23"/>
      <c r="M46" s="25"/>
    </row>
    <row r="47" spans="1:13" x14ac:dyDescent="0.25">
      <c r="A47" s="19" t="s">
        <v>114</v>
      </c>
      <c r="B47" s="31"/>
      <c r="C47" s="31"/>
      <c r="D47" s="31"/>
      <c r="E47" s="35"/>
      <c r="F47" s="35"/>
      <c r="G47" s="36"/>
      <c r="H47" s="39">
        <f>Tabela1[[#This Row],[Quantidade adquirida]]-Tabela1[[#This Row],[Consumo]]+Tabela1[[#This Row],[Estoque anterior]]</f>
        <v>0</v>
      </c>
      <c r="I47" s="25"/>
      <c r="J47" s="23"/>
      <c r="K47" s="23"/>
      <c r="L47" s="23" t="s">
        <v>140</v>
      </c>
      <c r="M47" s="25"/>
    </row>
    <row r="48" spans="1:13" x14ac:dyDescent="0.25">
      <c r="A48" s="19" t="s">
        <v>45</v>
      </c>
      <c r="B48" s="31"/>
      <c r="C48" s="31"/>
      <c r="D48" s="31"/>
      <c r="E48" s="35"/>
      <c r="F48" s="35"/>
      <c r="G48" s="36"/>
      <c r="H48" s="39">
        <f>Tabela1[[#This Row],[Quantidade adquirida]]-Tabela1[[#This Row],[Consumo]]+Tabela1[[#This Row],[Estoque anterior]]</f>
        <v>0</v>
      </c>
      <c r="I48" s="25"/>
      <c r="J48" s="23" t="s">
        <v>140</v>
      </c>
      <c r="K48" s="23"/>
      <c r="L48" s="23"/>
      <c r="M48" s="25"/>
    </row>
    <row r="49" spans="1:13" x14ac:dyDescent="0.25">
      <c r="A49" s="19" t="s">
        <v>46</v>
      </c>
      <c r="B49" s="31"/>
      <c r="C49" s="31"/>
      <c r="D49" s="31"/>
      <c r="E49" s="35"/>
      <c r="F49" s="35"/>
      <c r="G49" s="36"/>
      <c r="H49" s="39">
        <f>Tabela1[[#This Row],[Quantidade adquirida]]-Tabela1[[#This Row],[Consumo]]+Tabela1[[#This Row],[Estoque anterior]]</f>
        <v>0</v>
      </c>
      <c r="I49" s="25"/>
      <c r="J49" s="23" t="s">
        <v>140</v>
      </c>
      <c r="K49" s="23"/>
      <c r="L49" s="23"/>
      <c r="M49" s="25"/>
    </row>
    <row r="50" spans="1:13" x14ac:dyDescent="0.25">
      <c r="A50" s="19" t="s">
        <v>47</v>
      </c>
      <c r="B50" s="31"/>
      <c r="C50" s="31"/>
      <c r="D50" s="31"/>
      <c r="E50" s="35"/>
      <c r="F50" s="35"/>
      <c r="G50" s="36"/>
      <c r="H50" s="39">
        <f>Tabela1[[#This Row],[Quantidade adquirida]]-Tabela1[[#This Row],[Consumo]]+Tabela1[[#This Row],[Estoque anterior]]</f>
        <v>0</v>
      </c>
      <c r="I50" s="25"/>
      <c r="J50" s="23" t="s">
        <v>140</v>
      </c>
      <c r="K50" s="23" t="s">
        <v>140</v>
      </c>
      <c r="L50" s="23"/>
      <c r="M50" s="25"/>
    </row>
    <row r="51" spans="1:13" x14ac:dyDescent="0.25">
      <c r="A51" s="19" t="s">
        <v>0</v>
      </c>
      <c r="B51" s="31"/>
      <c r="C51" s="31"/>
      <c r="D51" s="31"/>
      <c r="E51" s="35"/>
      <c r="F51" s="35"/>
      <c r="G51" s="36"/>
      <c r="H51" s="39">
        <f>Tabela1[[#This Row],[Quantidade adquirida]]-Tabela1[[#This Row],[Consumo]]+Tabela1[[#This Row],[Estoque anterior]]</f>
        <v>0</v>
      </c>
      <c r="I51" s="25"/>
      <c r="J51" s="23" t="s">
        <v>140</v>
      </c>
      <c r="K51" s="23"/>
      <c r="L51" s="23"/>
      <c r="M51" s="25"/>
    </row>
    <row r="52" spans="1:13" x14ac:dyDescent="0.25">
      <c r="A52" s="19" t="s">
        <v>156</v>
      </c>
      <c r="B52" s="31"/>
      <c r="C52" s="31"/>
      <c r="D52" s="31"/>
      <c r="E52" s="35"/>
      <c r="F52" s="35"/>
      <c r="G52" s="36"/>
      <c r="H52" s="39">
        <f>Tabela1[[#This Row],[Quantidade adquirida]]-Tabela1[[#This Row],[Consumo]]+Tabela1[[#This Row],[Estoque anterior]]</f>
        <v>0</v>
      </c>
      <c r="I52" s="25"/>
      <c r="J52" s="23" t="s">
        <v>140</v>
      </c>
      <c r="K52" s="23"/>
      <c r="L52" s="23"/>
      <c r="M52" s="25"/>
    </row>
    <row r="53" spans="1:13" x14ac:dyDescent="0.25">
      <c r="A53" s="19" t="s">
        <v>1</v>
      </c>
      <c r="B53" s="31"/>
      <c r="C53" s="31"/>
      <c r="D53" s="31"/>
      <c r="E53" s="35"/>
      <c r="F53" s="35"/>
      <c r="G53" s="36"/>
      <c r="H53" s="39">
        <f>Tabela1[[#This Row],[Quantidade adquirida]]-Tabela1[[#This Row],[Consumo]]+Tabela1[[#This Row],[Estoque anterior]]</f>
        <v>0</v>
      </c>
      <c r="I53" s="25"/>
      <c r="J53" s="23" t="s">
        <v>140</v>
      </c>
      <c r="K53" s="23"/>
      <c r="L53" s="23"/>
      <c r="M53" s="25"/>
    </row>
    <row r="54" spans="1:13" x14ac:dyDescent="0.25">
      <c r="A54" s="41" t="s">
        <v>48</v>
      </c>
      <c r="B54" s="31"/>
      <c r="C54" s="31"/>
      <c r="D54" s="31"/>
      <c r="E54" s="35"/>
      <c r="F54" s="35"/>
      <c r="G54" s="36"/>
      <c r="H54" s="39">
        <f>Tabela1[[#This Row],[Quantidade adquirida]]-Tabela1[[#This Row],[Consumo]]+Tabela1[[#This Row],[Estoque anterior]]</f>
        <v>0</v>
      </c>
      <c r="I54" s="25"/>
      <c r="J54" s="23"/>
      <c r="K54" s="23" t="s">
        <v>140</v>
      </c>
      <c r="L54" s="23"/>
      <c r="M54" s="25"/>
    </row>
    <row r="55" spans="1:13" x14ac:dyDescent="0.25">
      <c r="A55" s="19" t="s">
        <v>49</v>
      </c>
      <c r="B55" s="31"/>
      <c r="C55" s="31"/>
      <c r="D55" s="31"/>
      <c r="E55" s="35"/>
      <c r="F55" s="35"/>
      <c r="G55" s="36"/>
      <c r="H55" s="39">
        <f>Tabela1[[#This Row],[Quantidade adquirida]]-Tabela1[[#This Row],[Consumo]]+Tabela1[[#This Row],[Estoque anterior]]</f>
        <v>0</v>
      </c>
      <c r="I55" s="25"/>
      <c r="J55" s="23" t="s">
        <v>140</v>
      </c>
      <c r="K55" s="23"/>
      <c r="L55" s="23"/>
      <c r="M55" s="25"/>
    </row>
    <row r="56" spans="1:13" x14ac:dyDescent="0.25">
      <c r="A56" s="19" t="s">
        <v>103</v>
      </c>
      <c r="B56" s="31"/>
      <c r="C56" s="31"/>
      <c r="D56" s="31"/>
      <c r="E56" s="35"/>
      <c r="F56" s="35"/>
      <c r="G56" s="36"/>
      <c r="H56" s="39">
        <f>Tabela1[[#This Row],[Quantidade adquirida]]-Tabela1[[#This Row],[Consumo]]+Tabela1[[#This Row],[Estoque anterior]]</f>
        <v>0</v>
      </c>
      <c r="I56" s="25"/>
      <c r="J56" s="23"/>
      <c r="K56" s="23" t="s">
        <v>140</v>
      </c>
      <c r="L56" s="23"/>
      <c r="M56" s="25"/>
    </row>
    <row r="57" spans="1:13" x14ac:dyDescent="0.25">
      <c r="A57" s="19" t="s">
        <v>50</v>
      </c>
      <c r="B57" s="31"/>
      <c r="C57" s="31"/>
      <c r="D57" s="31"/>
      <c r="E57" s="35"/>
      <c r="F57" s="35"/>
      <c r="G57" s="36"/>
      <c r="H57" s="39">
        <f>Tabela1[[#This Row],[Quantidade adquirida]]-Tabela1[[#This Row],[Consumo]]+Tabela1[[#This Row],[Estoque anterior]]</f>
        <v>0</v>
      </c>
      <c r="I57" s="25"/>
      <c r="J57" s="23"/>
      <c r="K57" s="23" t="s">
        <v>140</v>
      </c>
      <c r="L57" s="23"/>
      <c r="M57" s="25"/>
    </row>
    <row r="58" spans="1:13" x14ac:dyDescent="0.25">
      <c r="A58" s="19" t="s">
        <v>157</v>
      </c>
      <c r="B58" s="31"/>
      <c r="C58" s="31"/>
      <c r="D58" s="31"/>
      <c r="E58" s="35"/>
      <c r="F58" s="35"/>
      <c r="G58" s="36"/>
      <c r="H58" s="39">
        <f>Tabela1[[#This Row],[Quantidade adquirida]]-Tabela1[[#This Row],[Consumo]]+Tabela1[[#This Row],[Estoque anterior]]</f>
        <v>0</v>
      </c>
      <c r="I58" s="25"/>
      <c r="J58" s="23" t="s">
        <v>140</v>
      </c>
      <c r="K58" s="23"/>
      <c r="L58" s="23"/>
      <c r="M58" s="25"/>
    </row>
    <row r="59" spans="1:13" x14ac:dyDescent="0.25">
      <c r="A59" s="19" t="s">
        <v>10</v>
      </c>
      <c r="B59" s="31"/>
      <c r="C59" s="31"/>
      <c r="D59" s="31"/>
      <c r="E59" s="35"/>
      <c r="F59" s="35"/>
      <c r="G59" s="36"/>
      <c r="H59" s="39">
        <f>Tabela1[[#This Row],[Quantidade adquirida]]-Tabela1[[#This Row],[Consumo]]+Tabela1[[#This Row],[Estoque anterior]]</f>
        <v>0</v>
      </c>
      <c r="I59" s="25"/>
      <c r="J59" s="23"/>
      <c r="K59" s="23" t="s">
        <v>140</v>
      </c>
      <c r="L59" s="23"/>
      <c r="M59" s="25"/>
    </row>
    <row r="60" spans="1:13" x14ac:dyDescent="0.25">
      <c r="A60" s="19" t="s">
        <v>2</v>
      </c>
      <c r="B60" s="31"/>
      <c r="C60" s="31"/>
      <c r="D60" s="31"/>
      <c r="E60" s="35"/>
      <c r="F60" s="35"/>
      <c r="G60" s="36"/>
      <c r="H60" s="39">
        <f>Tabela1[[#This Row],[Quantidade adquirida]]-Tabela1[[#This Row],[Consumo]]+Tabela1[[#This Row],[Estoque anterior]]</f>
        <v>0</v>
      </c>
      <c r="I60" s="25"/>
      <c r="J60" s="23" t="s">
        <v>140</v>
      </c>
      <c r="K60" s="23"/>
      <c r="L60" s="23"/>
      <c r="M60" s="25"/>
    </row>
    <row r="61" spans="1:13" x14ac:dyDescent="0.25">
      <c r="A61" s="19" t="s">
        <v>51</v>
      </c>
      <c r="B61" s="31"/>
      <c r="C61" s="31"/>
      <c r="D61" s="31"/>
      <c r="E61" s="35"/>
      <c r="F61" s="35"/>
      <c r="G61" s="36"/>
      <c r="H61" s="39">
        <f>Tabela1[[#This Row],[Quantidade adquirida]]-Tabela1[[#This Row],[Consumo]]+Tabela1[[#This Row],[Estoque anterior]]</f>
        <v>0</v>
      </c>
      <c r="I61" s="25"/>
      <c r="J61" s="23" t="s">
        <v>140</v>
      </c>
      <c r="K61" s="23"/>
      <c r="L61" s="23"/>
      <c r="M61" s="25"/>
    </row>
    <row r="62" spans="1:13" x14ac:dyDescent="0.25">
      <c r="A62" s="19" t="s">
        <v>52</v>
      </c>
      <c r="B62" s="31"/>
      <c r="C62" s="31"/>
      <c r="D62" s="31"/>
      <c r="E62" s="35"/>
      <c r="F62" s="35"/>
      <c r="G62" s="36"/>
      <c r="H62" s="39">
        <f>Tabela1[[#This Row],[Quantidade adquirida]]-Tabela1[[#This Row],[Consumo]]+Tabela1[[#This Row],[Estoque anterior]]</f>
        <v>0</v>
      </c>
      <c r="I62" s="25"/>
      <c r="J62" s="23" t="s">
        <v>140</v>
      </c>
      <c r="K62" s="23"/>
      <c r="L62" s="23"/>
      <c r="M62" s="25"/>
    </row>
    <row r="63" spans="1:13" x14ac:dyDescent="0.25">
      <c r="A63" s="19" t="s">
        <v>3</v>
      </c>
      <c r="B63" s="31"/>
      <c r="C63" s="31"/>
      <c r="D63" s="31"/>
      <c r="E63" s="35"/>
      <c r="F63" s="35"/>
      <c r="G63" s="36"/>
      <c r="H63" s="39">
        <f>Tabela1[[#This Row],[Quantidade adquirida]]-Tabela1[[#This Row],[Consumo]]+Tabela1[[#This Row],[Estoque anterior]]</f>
        <v>0</v>
      </c>
      <c r="I63" s="25"/>
      <c r="J63" s="23" t="s">
        <v>140</v>
      </c>
      <c r="K63" s="23"/>
      <c r="L63" s="23"/>
      <c r="M63" s="25"/>
    </row>
    <row r="64" spans="1:13" x14ac:dyDescent="0.25">
      <c r="A64" s="19" t="s">
        <v>53</v>
      </c>
      <c r="B64" s="31"/>
      <c r="C64" s="31"/>
      <c r="D64" s="31"/>
      <c r="E64" s="35"/>
      <c r="F64" s="35"/>
      <c r="G64" s="36"/>
      <c r="H64" s="39">
        <f>Tabela1[[#This Row],[Quantidade adquirida]]-Tabela1[[#This Row],[Consumo]]+Tabela1[[#This Row],[Estoque anterior]]</f>
        <v>0</v>
      </c>
      <c r="I64" s="25"/>
      <c r="J64" s="23" t="s">
        <v>140</v>
      </c>
      <c r="K64" s="23"/>
      <c r="L64" s="23"/>
      <c r="M64" s="25"/>
    </row>
    <row r="65" spans="1:13" x14ac:dyDescent="0.25">
      <c r="A65" s="19" t="s">
        <v>54</v>
      </c>
      <c r="B65" s="31"/>
      <c r="C65" s="31"/>
      <c r="D65" s="31"/>
      <c r="E65" s="35"/>
      <c r="F65" s="35"/>
      <c r="G65" s="36"/>
      <c r="H65" s="39">
        <f>Tabela1[[#This Row],[Quantidade adquirida]]-Tabela1[[#This Row],[Consumo]]+Tabela1[[#This Row],[Estoque anterior]]</f>
        <v>0</v>
      </c>
      <c r="I65" s="25"/>
      <c r="J65" s="23" t="s">
        <v>140</v>
      </c>
      <c r="K65" s="23"/>
      <c r="L65" s="23"/>
      <c r="M65" s="25"/>
    </row>
    <row r="66" spans="1:13" x14ac:dyDescent="0.25">
      <c r="A66" s="19" t="s">
        <v>11</v>
      </c>
      <c r="B66" s="31"/>
      <c r="C66" s="31"/>
      <c r="D66" s="31"/>
      <c r="E66" s="35"/>
      <c r="F66" s="35"/>
      <c r="G66" s="36"/>
      <c r="H66" s="39">
        <f>Tabela1[[#This Row],[Quantidade adquirida]]-Tabela1[[#This Row],[Consumo]]+Tabela1[[#This Row],[Estoque anterior]]</f>
        <v>0</v>
      </c>
      <c r="I66" s="25"/>
      <c r="J66" s="23" t="s">
        <v>140</v>
      </c>
      <c r="K66" s="23" t="s">
        <v>140</v>
      </c>
      <c r="L66" s="23"/>
      <c r="M66" s="25"/>
    </row>
    <row r="67" spans="1:13" x14ac:dyDescent="0.25">
      <c r="A67" s="19" t="s">
        <v>55</v>
      </c>
      <c r="B67" s="31"/>
      <c r="C67" s="31"/>
      <c r="D67" s="31"/>
      <c r="E67" s="35"/>
      <c r="F67" s="35"/>
      <c r="G67" s="36"/>
      <c r="H67" s="39">
        <f>Tabela1[[#This Row],[Quantidade adquirida]]-Tabela1[[#This Row],[Consumo]]+Tabela1[[#This Row],[Estoque anterior]]</f>
        <v>0</v>
      </c>
      <c r="I67" s="25"/>
      <c r="J67" s="23" t="s">
        <v>140</v>
      </c>
      <c r="K67" s="23"/>
      <c r="L67" s="23"/>
      <c r="M67" s="25"/>
    </row>
    <row r="68" spans="1:13" x14ac:dyDescent="0.25">
      <c r="A68" s="19" t="s">
        <v>104</v>
      </c>
      <c r="B68" s="31"/>
      <c r="C68" s="31"/>
      <c r="D68" s="31"/>
      <c r="E68" s="35"/>
      <c r="F68" s="35"/>
      <c r="G68" s="36"/>
      <c r="H68" s="39">
        <f>Tabela1[[#This Row],[Quantidade adquirida]]-Tabela1[[#This Row],[Consumo]]+Tabela1[[#This Row],[Estoque anterior]]</f>
        <v>0</v>
      </c>
      <c r="I68" s="25"/>
      <c r="J68" s="23"/>
      <c r="K68" s="23" t="s">
        <v>140</v>
      </c>
      <c r="L68" s="23"/>
      <c r="M68" s="25"/>
    </row>
    <row r="69" spans="1:13" x14ac:dyDescent="0.25">
      <c r="A69" s="19" t="s">
        <v>9</v>
      </c>
      <c r="B69" s="31"/>
      <c r="C69" s="31"/>
      <c r="D69" s="31"/>
      <c r="E69" s="35"/>
      <c r="F69" s="35"/>
      <c r="G69" s="36"/>
      <c r="H69" s="39">
        <f>Tabela1[[#This Row],[Quantidade adquirida]]-Tabela1[[#This Row],[Consumo]]+Tabela1[[#This Row],[Estoque anterior]]</f>
        <v>0</v>
      </c>
      <c r="I69" s="25"/>
      <c r="J69" s="23" t="s">
        <v>140</v>
      </c>
      <c r="K69" s="23"/>
      <c r="L69" s="23"/>
      <c r="M69" s="25"/>
    </row>
    <row r="70" spans="1:13" x14ac:dyDescent="0.25">
      <c r="A70" s="19" t="s">
        <v>158</v>
      </c>
      <c r="B70" s="31"/>
      <c r="C70" s="31"/>
      <c r="D70" s="31"/>
      <c r="E70" s="35"/>
      <c r="F70" s="35"/>
      <c r="G70" s="36"/>
      <c r="H70" s="39">
        <f>Tabela1[[#This Row],[Quantidade adquirida]]-Tabela1[[#This Row],[Consumo]]+Tabela1[[#This Row],[Estoque anterior]]</f>
        <v>0</v>
      </c>
      <c r="I70" s="25"/>
      <c r="J70" s="23" t="s">
        <v>140</v>
      </c>
      <c r="K70" s="23"/>
      <c r="L70" s="23"/>
      <c r="M70" s="25"/>
    </row>
    <row r="71" spans="1:13" x14ac:dyDescent="0.25">
      <c r="A71" s="19" t="s">
        <v>56</v>
      </c>
      <c r="B71" s="31"/>
      <c r="C71" s="31"/>
      <c r="D71" s="31"/>
      <c r="E71" s="35"/>
      <c r="F71" s="35"/>
      <c r="G71" s="36"/>
      <c r="H71" s="39">
        <f>Tabela1[[#This Row],[Quantidade adquirida]]-Tabela1[[#This Row],[Consumo]]+Tabela1[[#This Row],[Estoque anterior]]</f>
        <v>0</v>
      </c>
      <c r="I71" s="25"/>
      <c r="J71" s="23"/>
      <c r="K71" s="23" t="s">
        <v>140</v>
      </c>
      <c r="L71" s="23"/>
      <c r="M71" s="25"/>
    </row>
    <row r="72" spans="1:13" ht="24.75" customHeight="1" x14ac:dyDescent="0.25">
      <c r="A72" s="19" t="s">
        <v>141</v>
      </c>
      <c r="B72" s="31"/>
      <c r="C72" s="31"/>
      <c r="D72" s="31"/>
      <c r="E72" s="35"/>
      <c r="F72" s="35"/>
      <c r="G72" s="36"/>
      <c r="H72" s="39">
        <f>Tabela1[[#This Row],[Quantidade adquirida]]-Tabela1[[#This Row],[Consumo]]+Tabela1[[#This Row],[Estoque anterior]]</f>
        <v>0</v>
      </c>
      <c r="I72" s="25"/>
      <c r="J72" s="23"/>
      <c r="K72" s="23"/>
      <c r="L72" s="23" t="s">
        <v>140</v>
      </c>
      <c r="M72" s="25"/>
    </row>
    <row r="73" spans="1:13" x14ac:dyDescent="0.25">
      <c r="A73" s="19" t="s">
        <v>57</v>
      </c>
      <c r="B73" s="31"/>
      <c r="C73" s="31"/>
      <c r="D73" s="31"/>
      <c r="E73" s="35"/>
      <c r="F73" s="35"/>
      <c r="G73" s="36"/>
      <c r="H73" s="39">
        <f>Tabela1[[#This Row],[Quantidade adquirida]]-Tabela1[[#This Row],[Consumo]]+Tabela1[[#This Row],[Estoque anterior]]</f>
        <v>0</v>
      </c>
      <c r="I73" s="25"/>
      <c r="J73" s="23"/>
      <c r="K73" s="23" t="s">
        <v>140</v>
      </c>
      <c r="L73" s="23"/>
      <c r="M73" s="25"/>
    </row>
    <row r="74" spans="1:13" x14ac:dyDescent="0.25">
      <c r="A74" s="19" t="s">
        <v>171</v>
      </c>
      <c r="B74" s="31"/>
      <c r="C74" s="31"/>
      <c r="D74" s="31"/>
      <c r="E74" s="35"/>
      <c r="F74" s="35"/>
      <c r="G74" s="36"/>
      <c r="H74" s="39">
        <f>Tabela1[[#This Row],[Quantidade adquirida]]-Tabela1[[#This Row],[Consumo]]+Tabela1[[#This Row],[Estoque anterior]]</f>
        <v>0</v>
      </c>
      <c r="I74" s="25"/>
      <c r="J74" s="23" t="s">
        <v>140</v>
      </c>
      <c r="K74" s="23"/>
      <c r="L74" s="23"/>
      <c r="M74" s="25"/>
    </row>
    <row r="75" spans="1:13" x14ac:dyDescent="0.25">
      <c r="A75" s="19" t="s">
        <v>58</v>
      </c>
      <c r="B75" s="31"/>
      <c r="C75" s="31"/>
      <c r="D75" s="31"/>
      <c r="E75" s="35"/>
      <c r="F75" s="35"/>
      <c r="G75" s="36"/>
      <c r="H75" s="39">
        <f>Tabela1[[#This Row],[Quantidade adquirida]]-Tabela1[[#This Row],[Consumo]]+Tabela1[[#This Row],[Estoque anterior]]</f>
        <v>0</v>
      </c>
      <c r="I75" s="25"/>
      <c r="J75" s="23" t="s">
        <v>140</v>
      </c>
      <c r="K75" s="23"/>
      <c r="L75" s="23"/>
      <c r="M75" s="25"/>
    </row>
    <row r="76" spans="1:13" x14ac:dyDescent="0.25">
      <c r="A76" s="19" t="s">
        <v>59</v>
      </c>
      <c r="B76" s="31"/>
      <c r="C76" s="31"/>
      <c r="D76" s="31"/>
      <c r="E76" s="35"/>
      <c r="F76" s="35"/>
      <c r="G76" s="36"/>
      <c r="H76" s="39">
        <f>Tabela1[[#This Row],[Quantidade adquirida]]-Tabela1[[#This Row],[Consumo]]+Tabela1[[#This Row],[Estoque anterior]]</f>
        <v>0</v>
      </c>
      <c r="I76" s="25"/>
      <c r="J76" s="23" t="s">
        <v>140</v>
      </c>
      <c r="K76" s="23"/>
      <c r="L76" s="23"/>
      <c r="M76" s="25"/>
    </row>
    <row r="77" spans="1:13" x14ac:dyDescent="0.25">
      <c r="A77" s="19" t="s">
        <v>153</v>
      </c>
      <c r="B77" s="31"/>
      <c r="C77" s="31"/>
      <c r="D77" s="31"/>
      <c r="E77" s="35"/>
      <c r="F77" s="35"/>
      <c r="G77" s="36"/>
      <c r="H77" s="39">
        <f>Tabela1[[#This Row],[Quantidade adquirida]]-Tabela1[[#This Row],[Consumo]]+Tabela1[[#This Row],[Estoque anterior]]</f>
        <v>0</v>
      </c>
      <c r="I77" s="25"/>
      <c r="J77" s="23" t="s">
        <v>140</v>
      </c>
      <c r="K77" s="23"/>
      <c r="L77" s="23"/>
      <c r="M77" s="25"/>
    </row>
    <row r="78" spans="1:13" x14ac:dyDescent="0.25">
      <c r="A78" s="19" t="s">
        <v>60</v>
      </c>
      <c r="B78" s="31"/>
      <c r="C78" s="31"/>
      <c r="D78" s="31"/>
      <c r="E78" s="35"/>
      <c r="F78" s="35"/>
      <c r="G78" s="36"/>
      <c r="H78" s="39">
        <f>Tabela1[[#This Row],[Quantidade adquirida]]-Tabela1[[#This Row],[Consumo]]+Tabela1[[#This Row],[Estoque anterior]]</f>
        <v>0</v>
      </c>
      <c r="I78" s="25"/>
      <c r="J78" s="23" t="s">
        <v>140</v>
      </c>
      <c r="K78" s="23"/>
      <c r="L78" s="23"/>
      <c r="M78" s="25"/>
    </row>
    <row r="79" spans="1:13" x14ac:dyDescent="0.25">
      <c r="A79" s="19" t="s">
        <v>61</v>
      </c>
      <c r="B79" s="31"/>
      <c r="C79" s="31"/>
      <c r="D79" s="31"/>
      <c r="E79" s="35"/>
      <c r="F79" s="35"/>
      <c r="G79" s="36"/>
      <c r="H79" s="39">
        <f>Tabela1[[#This Row],[Quantidade adquirida]]-Tabela1[[#This Row],[Consumo]]+Tabela1[[#This Row],[Estoque anterior]]</f>
        <v>0</v>
      </c>
      <c r="I79" s="25"/>
      <c r="J79" s="23"/>
      <c r="K79" s="23" t="s">
        <v>140</v>
      </c>
      <c r="L79" s="23"/>
      <c r="M79" s="25"/>
    </row>
    <row r="80" spans="1:13" x14ac:dyDescent="0.25">
      <c r="A80" s="19" t="s">
        <v>105</v>
      </c>
      <c r="B80" s="31"/>
      <c r="C80" s="31"/>
      <c r="D80" s="31"/>
      <c r="E80" s="35"/>
      <c r="F80" s="35"/>
      <c r="G80" s="36"/>
      <c r="H80" s="39">
        <f>Tabela1[[#This Row],[Quantidade adquirida]]-Tabela1[[#This Row],[Consumo]]+Tabela1[[#This Row],[Estoque anterior]]</f>
        <v>0</v>
      </c>
      <c r="I80" s="25"/>
      <c r="J80" s="23"/>
      <c r="K80" s="23" t="s">
        <v>140</v>
      </c>
      <c r="L80" s="23"/>
      <c r="M80" s="25"/>
    </row>
    <row r="81" spans="1:13" x14ac:dyDescent="0.25">
      <c r="A81" s="19" t="s">
        <v>62</v>
      </c>
      <c r="B81" s="31"/>
      <c r="C81" s="31"/>
      <c r="D81" s="31"/>
      <c r="E81" s="35"/>
      <c r="F81" s="35"/>
      <c r="G81" s="36"/>
      <c r="H81" s="39">
        <f>Tabela1[[#This Row],[Quantidade adquirida]]-Tabela1[[#This Row],[Consumo]]+Tabela1[[#This Row],[Estoque anterior]]</f>
        <v>0</v>
      </c>
      <c r="I81" s="25"/>
      <c r="J81" s="23" t="s">
        <v>140</v>
      </c>
      <c r="K81" s="23"/>
      <c r="L81" s="23"/>
      <c r="M81" s="25"/>
    </row>
    <row r="82" spans="1:13" x14ac:dyDescent="0.25">
      <c r="A82" s="19" t="s">
        <v>63</v>
      </c>
      <c r="B82" s="31"/>
      <c r="C82" s="31"/>
      <c r="D82" s="31"/>
      <c r="E82" s="35"/>
      <c r="F82" s="35"/>
      <c r="G82" s="36"/>
      <c r="H82" s="39">
        <f>Tabela1[[#This Row],[Quantidade adquirida]]-Tabela1[[#This Row],[Consumo]]+Tabela1[[#This Row],[Estoque anterior]]</f>
        <v>0</v>
      </c>
      <c r="I82" s="25"/>
      <c r="J82" s="23" t="s">
        <v>140</v>
      </c>
      <c r="K82" s="23"/>
      <c r="L82" s="23"/>
      <c r="M82" s="25"/>
    </row>
    <row r="83" spans="1:13" x14ac:dyDescent="0.25">
      <c r="A83" s="19" t="s">
        <v>64</v>
      </c>
      <c r="B83" s="31"/>
      <c r="C83" s="31"/>
      <c r="D83" s="31"/>
      <c r="E83" s="35"/>
      <c r="F83" s="35"/>
      <c r="G83" s="36"/>
      <c r="H83" s="39">
        <f>Tabela1[[#This Row],[Quantidade adquirida]]-Tabela1[[#This Row],[Consumo]]+Tabela1[[#This Row],[Estoque anterior]]</f>
        <v>0</v>
      </c>
      <c r="I83" s="25"/>
      <c r="J83" s="23" t="s">
        <v>140</v>
      </c>
      <c r="K83" s="23"/>
      <c r="L83" s="23"/>
      <c r="M83" s="25"/>
    </row>
    <row r="84" spans="1:13" x14ac:dyDescent="0.25">
      <c r="A84" s="19" t="s">
        <v>18</v>
      </c>
      <c r="B84" s="31"/>
      <c r="C84" s="31"/>
      <c r="D84" s="31"/>
      <c r="E84" s="35"/>
      <c r="F84" s="35"/>
      <c r="G84" s="36"/>
      <c r="H84" s="39">
        <f>Tabela1[[#This Row],[Quantidade adquirida]]-Tabela1[[#This Row],[Consumo]]+Tabela1[[#This Row],[Estoque anterior]]</f>
        <v>0</v>
      </c>
      <c r="I84" s="25"/>
      <c r="J84" s="23" t="s">
        <v>140</v>
      </c>
      <c r="K84" s="23"/>
      <c r="L84" s="23"/>
      <c r="M84" s="25"/>
    </row>
    <row r="85" spans="1:13" x14ac:dyDescent="0.25">
      <c r="A85" s="19" t="s">
        <v>14</v>
      </c>
      <c r="B85" s="31"/>
      <c r="C85" s="31"/>
      <c r="D85" s="31"/>
      <c r="E85" s="35"/>
      <c r="F85" s="35"/>
      <c r="G85" s="36"/>
      <c r="H85" s="39">
        <f>Tabela1[[#This Row],[Quantidade adquirida]]-Tabela1[[#This Row],[Consumo]]+Tabela1[[#This Row],[Estoque anterior]]</f>
        <v>0</v>
      </c>
      <c r="I85" s="25"/>
      <c r="J85" s="23"/>
      <c r="K85" s="23" t="s">
        <v>140</v>
      </c>
      <c r="L85" s="23"/>
      <c r="M85" s="25"/>
    </row>
    <row r="86" spans="1:13" x14ac:dyDescent="0.25">
      <c r="A86" s="19" t="s">
        <v>106</v>
      </c>
      <c r="B86" s="31"/>
      <c r="C86" s="31"/>
      <c r="D86" s="31"/>
      <c r="E86" s="35"/>
      <c r="F86" s="35"/>
      <c r="G86" s="36"/>
      <c r="H86" s="39">
        <f>Tabela1[[#This Row],[Quantidade adquirida]]-Tabela1[[#This Row],[Consumo]]+Tabela1[[#This Row],[Estoque anterior]]</f>
        <v>0</v>
      </c>
      <c r="I86" s="25"/>
      <c r="J86" s="23"/>
      <c r="K86" s="23" t="s">
        <v>140</v>
      </c>
      <c r="L86" s="23"/>
      <c r="M86" s="25"/>
    </row>
    <row r="87" spans="1:13" x14ac:dyDescent="0.25">
      <c r="A87" s="19" t="s">
        <v>65</v>
      </c>
      <c r="B87" s="31"/>
      <c r="C87" s="31"/>
      <c r="D87" s="31"/>
      <c r="E87" s="35"/>
      <c r="F87" s="35"/>
      <c r="G87" s="36"/>
      <c r="H87" s="39">
        <f>Tabela1[[#This Row],[Quantidade adquirida]]-Tabela1[[#This Row],[Consumo]]+Tabela1[[#This Row],[Estoque anterior]]</f>
        <v>0</v>
      </c>
      <c r="I87" s="25"/>
      <c r="J87" s="23" t="s">
        <v>140</v>
      </c>
      <c r="K87" s="23"/>
      <c r="L87" s="23"/>
      <c r="M87" s="25"/>
    </row>
    <row r="88" spans="1:13" x14ac:dyDescent="0.25">
      <c r="A88" s="19" t="s">
        <v>66</v>
      </c>
      <c r="B88" s="31"/>
      <c r="C88" s="31"/>
      <c r="D88" s="31"/>
      <c r="E88" s="35"/>
      <c r="F88" s="35"/>
      <c r="G88" s="36"/>
      <c r="H88" s="39">
        <f>Tabela1[[#This Row],[Quantidade adquirida]]-Tabela1[[#This Row],[Consumo]]+Tabela1[[#This Row],[Estoque anterior]]</f>
        <v>0</v>
      </c>
      <c r="I88" s="25"/>
      <c r="J88" s="23" t="s">
        <v>140</v>
      </c>
      <c r="K88" s="23"/>
      <c r="L88" s="23"/>
      <c r="M88" s="25"/>
    </row>
    <row r="89" spans="1:13" x14ac:dyDescent="0.25">
      <c r="A89" s="19" t="s">
        <v>67</v>
      </c>
      <c r="B89" s="31"/>
      <c r="C89" s="31"/>
      <c r="D89" s="31"/>
      <c r="E89" s="35"/>
      <c r="F89" s="35"/>
      <c r="G89" s="36"/>
      <c r="H89" s="39">
        <f>Tabela1[[#This Row],[Quantidade adquirida]]-Tabela1[[#This Row],[Consumo]]+Tabela1[[#This Row],[Estoque anterior]]</f>
        <v>0</v>
      </c>
      <c r="I89" s="25"/>
      <c r="J89" s="23" t="s">
        <v>140</v>
      </c>
      <c r="K89" s="23"/>
      <c r="L89" s="23"/>
      <c r="M89" s="25"/>
    </row>
    <row r="90" spans="1:13" x14ac:dyDescent="0.25">
      <c r="A90" s="19" t="s">
        <v>107</v>
      </c>
      <c r="B90" s="31"/>
      <c r="C90" s="31"/>
      <c r="D90" s="31"/>
      <c r="E90" s="35"/>
      <c r="F90" s="35"/>
      <c r="G90" s="36"/>
      <c r="H90" s="39">
        <f>Tabela1[[#This Row],[Quantidade adquirida]]-Tabela1[[#This Row],[Consumo]]+Tabela1[[#This Row],[Estoque anterior]]</f>
        <v>0</v>
      </c>
      <c r="I90" s="25"/>
      <c r="J90" s="23"/>
      <c r="K90" s="23" t="s">
        <v>140</v>
      </c>
      <c r="L90" s="23"/>
      <c r="M90" s="25"/>
    </row>
    <row r="91" spans="1:13" x14ac:dyDescent="0.25">
      <c r="A91" s="19" t="s">
        <v>68</v>
      </c>
      <c r="B91" s="31"/>
      <c r="C91" s="31"/>
      <c r="D91" s="31"/>
      <c r="E91" s="35"/>
      <c r="F91" s="35"/>
      <c r="G91" s="36"/>
      <c r="H91" s="39">
        <f>Tabela1[[#This Row],[Quantidade adquirida]]-Tabela1[[#This Row],[Consumo]]+Tabela1[[#This Row],[Estoque anterior]]</f>
        <v>0</v>
      </c>
      <c r="I91" s="25"/>
      <c r="J91" s="23" t="s">
        <v>140</v>
      </c>
      <c r="K91" s="23"/>
      <c r="L91" s="23"/>
      <c r="M91" s="25"/>
    </row>
    <row r="92" spans="1:13" x14ac:dyDescent="0.25">
      <c r="A92" s="19" t="s">
        <v>69</v>
      </c>
      <c r="B92" s="31"/>
      <c r="C92" s="31"/>
      <c r="D92" s="31"/>
      <c r="E92" s="35"/>
      <c r="F92" s="35"/>
      <c r="G92" s="36"/>
      <c r="H92" s="39">
        <f>Tabela1[[#This Row],[Quantidade adquirida]]-Tabela1[[#This Row],[Consumo]]+Tabela1[[#This Row],[Estoque anterior]]</f>
        <v>0</v>
      </c>
      <c r="I92" s="25"/>
      <c r="J92" s="23" t="s">
        <v>140</v>
      </c>
      <c r="K92" s="23"/>
      <c r="L92" s="23"/>
      <c r="M92" s="25"/>
    </row>
    <row r="93" spans="1:13" x14ac:dyDescent="0.25">
      <c r="A93" s="19" t="s">
        <v>115</v>
      </c>
      <c r="B93" s="31"/>
      <c r="C93" s="31"/>
      <c r="D93" s="31"/>
      <c r="E93" s="35"/>
      <c r="F93" s="35"/>
      <c r="G93" s="36"/>
      <c r="H93" s="39">
        <f>Tabela1[[#This Row],[Quantidade adquirida]]-Tabela1[[#This Row],[Consumo]]+Tabela1[[#This Row],[Estoque anterior]]</f>
        <v>0</v>
      </c>
      <c r="I93" s="25"/>
      <c r="J93" s="23"/>
      <c r="K93" s="23"/>
      <c r="L93" s="23" t="s">
        <v>140</v>
      </c>
      <c r="M93" s="25"/>
    </row>
    <row r="94" spans="1:13" x14ac:dyDescent="0.25">
      <c r="A94" s="19" t="s">
        <v>70</v>
      </c>
      <c r="B94" s="31"/>
      <c r="C94" s="31"/>
      <c r="D94" s="31"/>
      <c r="E94" s="35"/>
      <c r="F94" s="35"/>
      <c r="G94" s="36"/>
      <c r="H94" s="39">
        <f>Tabela1[[#This Row],[Quantidade adquirida]]-Tabela1[[#This Row],[Consumo]]+Tabela1[[#This Row],[Estoque anterior]]</f>
        <v>0</v>
      </c>
      <c r="I94" s="25"/>
      <c r="J94" s="23" t="s">
        <v>140</v>
      </c>
      <c r="K94" s="23"/>
      <c r="L94" s="23"/>
      <c r="M94" s="25"/>
    </row>
    <row r="95" spans="1:13" x14ac:dyDescent="0.25">
      <c r="A95" s="19" t="s">
        <v>4</v>
      </c>
      <c r="B95" s="31"/>
      <c r="C95" s="31"/>
      <c r="D95" s="31"/>
      <c r="E95" s="35"/>
      <c r="F95" s="35"/>
      <c r="G95" s="36"/>
      <c r="H95" s="39">
        <f>Tabela1[[#This Row],[Quantidade adquirida]]-Tabela1[[#This Row],[Consumo]]+Tabela1[[#This Row],[Estoque anterior]]</f>
        <v>0</v>
      </c>
      <c r="I95" s="25"/>
      <c r="J95" s="23"/>
      <c r="K95" s="23" t="s">
        <v>140</v>
      </c>
      <c r="L95" s="23"/>
      <c r="M95" s="25"/>
    </row>
    <row r="96" spans="1:13" x14ac:dyDescent="0.25">
      <c r="A96" s="19" t="s">
        <v>108</v>
      </c>
      <c r="B96" s="31"/>
      <c r="C96" s="31"/>
      <c r="D96" s="31"/>
      <c r="E96" s="35"/>
      <c r="F96" s="35"/>
      <c r="G96" s="36"/>
      <c r="H96" s="39">
        <f>Tabela1[[#This Row],[Quantidade adquirida]]-Tabela1[[#This Row],[Consumo]]+Tabela1[[#This Row],[Estoque anterior]]</f>
        <v>0</v>
      </c>
      <c r="I96" s="25"/>
      <c r="J96" s="23"/>
      <c r="K96" s="23" t="s">
        <v>140</v>
      </c>
      <c r="L96" s="23"/>
      <c r="M96" s="25"/>
    </row>
    <row r="97" spans="1:13" x14ac:dyDescent="0.25">
      <c r="A97" s="19" t="s">
        <v>71</v>
      </c>
      <c r="B97" s="31"/>
      <c r="C97" s="31"/>
      <c r="D97" s="31"/>
      <c r="E97" s="35"/>
      <c r="F97" s="35"/>
      <c r="G97" s="36"/>
      <c r="H97" s="39">
        <f>Tabela1[[#This Row],[Quantidade adquirida]]-Tabela1[[#This Row],[Consumo]]+Tabela1[[#This Row],[Estoque anterior]]</f>
        <v>0</v>
      </c>
      <c r="I97" s="25"/>
      <c r="J97" s="23" t="s">
        <v>140</v>
      </c>
      <c r="K97" s="23"/>
      <c r="L97" s="23"/>
      <c r="M97" s="25"/>
    </row>
    <row r="98" spans="1:13" x14ac:dyDescent="0.25">
      <c r="A98" s="19" t="s">
        <v>72</v>
      </c>
      <c r="B98" s="31"/>
      <c r="C98" s="31"/>
      <c r="D98" s="31"/>
      <c r="E98" s="35"/>
      <c r="F98" s="35"/>
      <c r="G98" s="36"/>
      <c r="H98" s="39">
        <f>Tabela1[[#This Row],[Quantidade adquirida]]-Tabela1[[#This Row],[Consumo]]+Tabela1[[#This Row],[Estoque anterior]]</f>
        <v>0</v>
      </c>
      <c r="I98" s="25"/>
      <c r="J98" s="23" t="s">
        <v>140</v>
      </c>
      <c r="K98" s="23"/>
      <c r="L98" s="23"/>
      <c r="M98" s="25"/>
    </row>
    <row r="99" spans="1:13" x14ac:dyDescent="0.25">
      <c r="A99" s="19" t="s">
        <v>12</v>
      </c>
      <c r="B99" s="31"/>
      <c r="C99" s="31"/>
      <c r="D99" s="31"/>
      <c r="E99" s="35"/>
      <c r="F99" s="35"/>
      <c r="G99" s="36"/>
      <c r="H99" s="39">
        <f>Tabela1[[#This Row],[Quantidade adquirida]]-Tabela1[[#This Row],[Consumo]]+Tabela1[[#This Row],[Estoque anterior]]</f>
        <v>0</v>
      </c>
      <c r="I99" s="25"/>
      <c r="J99" s="23" t="s">
        <v>140</v>
      </c>
      <c r="K99" s="23"/>
      <c r="L99" s="23"/>
      <c r="M99" s="25"/>
    </row>
    <row r="100" spans="1:13" x14ac:dyDescent="0.25">
      <c r="A100" s="19" t="s">
        <v>73</v>
      </c>
      <c r="B100" s="31"/>
      <c r="C100" s="31"/>
      <c r="D100" s="31"/>
      <c r="E100" s="35"/>
      <c r="F100" s="35"/>
      <c r="G100" s="36"/>
      <c r="H100" s="39">
        <f>Tabela1[[#This Row],[Quantidade adquirida]]-Tabela1[[#This Row],[Consumo]]+Tabela1[[#This Row],[Estoque anterior]]</f>
        <v>0</v>
      </c>
      <c r="I100" s="25"/>
      <c r="J100" s="23" t="s">
        <v>140</v>
      </c>
      <c r="K100" s="23"/>
      <c r="L100" s="23"/>
      <c r="M100" s="25"/>
    </row>
    <row r="101" spans="1:13" x14ac:dyDescent="0.25">
      <c r="A101" s="19" t="s">
        <v>74</v>
      </c>
      <c r="B101" s="31"/>
      <c r="C101" s="31"/>
      <c r="D101" s="31"/>
      <c r="E101" s="35"/>
      <c r="F101" s="35"/>
      <c r="G101" s="36"/>
      <c r="H101" s="39">
        <f>Tabela1[[#This Row],[Quantidade adquirida]]-Tabela1[[#This Row],[Consumo]]+Tabela1[[#This Row],[Estoque anterior]]</f>
        <v>0</v>
      </c>
      <c r="I101" s="25"/>
      <c r="J101" s="23" t="s">
        <v>140</v>
      </c>
      <c r="K101" s="23"/>
      <c r="L101" s="23"/>
      <c r="M101" s="25"/>
    </row>
    <row r="102" spans="1:13" x14ac:dyDescent="0.25">
      <c r="A102" s="19" t="s">
        <v>75</v>
      </c>
      <c r="B102" s="31"/>
      <c r="C102" s="31"/>
      <c r="D102" s="31"/>
      <c r="E102" s="35"/>
      <c r="F102" s="35"/>
      <c r="G102" s="36"/>
      <c r="H102" s="39">
        <f>Tabela1[[#This Row],[Quantidade adquirida]]-Tabela1[[#This Row],[Consumo]]+Tabela1[[#This Row],[Estoque anterior]]</f>
        <v>0</v>
      </c>
      <c r="I102" s="25"/>
      <c r="J102" s="23" t="s">
        <v>140</v>
      </c>
      <c r="K102" s="23"/>
      <c r="L102" s="23"/>
      <c r="M102" s="25"/>
    </row>
    <row r="103" spans="1:13" x14ac:dyDescent="0.25">
      <c r="A103" s="19" t="s">
        <v>76</v>
      </c>
      <c r="B103" s="31"/>
      <c r="C103" s="31"/>
      <c r="D103" s="31"/>
      <c r="E103" s="35"/>
      <c r="F103" s="35"/>
      <c r="G103" s="36"/>
      <c r="H103" s="39">
        <f>Tabela1[[#This Row],[Quantidade adquirida]]-Tabela1[[#This Row],[Consumo]]+Tabela1[[#This Row],[Estoque anterior]]</f>
        <v>0</v>
      </c>
      <c r="I103" s="25"/>
      <c r="J103" s="23"/>
      <c r="K103" s="23" t="s">
        <v>140</v>
      </c>
      <c r="L103" s="23"/>
      <c r="M103" s="25"/>
    </row>
    <row r="104" spans="1:13" x14ac:dyDescent="0.25">
      <c r="A104" s="19" t="s">
        <v>77</v>
      </c>
      <c r="B104" s="31"/>
      <c r="C104" s="31"/>
      <c r="D104" s="31"/>
      <c r="E104" s="35"/>
      <c r="F104" s="35"/>
      <c r="G104" s="36"/>
      <c r="H104" s="39">
        <f>Tabela1[[#This Row],[Quantidade adquirida]]-Tabela1[[#This Row],[Consumo]]+Tabela1[[#This Row],[Estoque anterior]]</f>
        <v>0</v>
      </c>
      <c r="I104" s="25"/>
      <c r="J104" s="23" t="s">
        <v>140</v>
      </c>
      <c r="K104" s="23"/>
      <c r="L104" s="23"/>
      <c r="M104" s="25"/>
    </row>
    <row r="105" spans="1:13" x14ac:dyDescent="0.25">
      <c r="A105" s="19" t="s">
        <v>20</v>
      </c>
      <c r="B105" s="31"/>
      <c r="C105" s="31"/>
      <c r="D105" s="31"/>
      <c r="E105" s="35"/>
      <c r="F105" s="35"/>
      <c r="G105" s="36"/>
      <c r="H105" s="39">
        <f>Tabela1[[#This Row],[Quantidade adquirida]]-Tabela1[[#This Row],[Consumo]]+Tabela1[[#This Row],[Estoque anterior]]</f>
        <v>0</v>
      </c>
      <c r="I105" s="25"/>
      <c r="J105" s="23"/>
      <c r="K105" s="23" t="s">
        <v>140</v>
      </c>
      <c r="L105" s="23"/>
      <c r="M105" s="25"/>
    </row>
    <row r="106" spans="1:13" x14ac:dyDescent="0.25">
      <c r="A106" s="19" t="s">
        <v>19</v>
      </c>
      <c r="B106" s="31"/>
      <c r="C106" s="31"/>
      <c r="D106" s="31"/>
      <c r="E106" s="35"/>
      <c r="F106" s="35"/>
      <c r="G106" s="36"/>
      <c r="H106" s="39">
        <f>Tabela1[[#This Row],[Quantidade adquirida]]-Tabela1[[#This Row],[Consumo]]+Tabela1[[#This Row],[Estoque anterior]]</f>
        <v>0</v>
      </c>
      <c r="I106" s="25"/>
      <c r="J106" s="23" t="s">
        <v>140</v>
      </c>
      <c r="K106" s="23"/>
      <c r="L106" s="23"/>
      <c r="M106" s="25"/>
    </row>
    <row r="107" spans="1:13" x14ac:dyDescent="0.25">
      <c r="A107" s="19" t="s">
        <v>154</v>
      </c>
      <c r="B107" s="31"/>
      <c r="C107" s="31"/>
      <c r="D107" s="31"/>
      <c r="E107" s="35"/>
      <c r="F107" s="35"/>
      <c r="G107" s="36"/>
      <c r="H107" s="39">
        <f>Tabela1[[#This Row],[Quantidade adquirida]]-Tabela1[[#This Row],[Consumo]]+Tabela1[[#This Row],[Estoque anterior]]</f>
        <v>0</v>
      </c>
      <c r="I107" s="25"/>
      <c r="J107" s="23" t="s">
        <v>140</v>
      </c>
      <c r="K107" s="23"/>
      <c r="L107" s="23"/>
      <c r="M107" s="25"/>
    </row>
    <row r="108" spans="1:13" x14ac:dyDescent="0.25">
      <c r="A108" s="19" t="s">
        <v>109</v>
      </c>
      <c r="B108" s="31"/>
      <c r="C108" s="31"/>
      <c r="D108" s="31"/>
      <c r="E108" s="35"/>
      <c r="F108" s="35"/>
      <c r="G108" s="36"/>
      <c r="H108" s="39">
        <f>Tabela1[[#This Row],[Quantidade adquirida]]-Tabela1[[#This Row],[Consumo]]+Tabela1[[#This Row],[Estoque anterior]]</f>
        <v>0</v>
      </c>
      <c r="I108" s="25"/>
      <c r="J108" s="23"/>
      <c r="K108" s="23" t="s">
        <v>140</v>
      </c>
      <c r="L108" s="23"/>
      <c r="M108" s="25"/>
    </row>
    <row r="109" spans="1:13" x14ac:dyDescent="0.25">
      <c r="A109" s="19" t="s">
        <v>78</v>
      </c>
      <c r="B109" s="31"/>
      <c r="C109" s="31"/>
      <c r="D109" s="31"/>
      <c r="E109" s="35"/>
      <c r="F109" s="35"/>
      <c r="G109" s="36"/>
      <c r="H109" s="39">
        <f>Tabela1[[#This Row],[Quantidade adquirida]]-Tabela1[[#This Row],[Consumo]]+Tabela1[[#This Row],[Estoque anterior]]</f>
        <v>0</v>
      </c>
      <c r="I109" s="25"/>
      <c r="J109" s="23" t="s">
        <v>140</v>
      </c>
      <c r="K109" s="23"/>
      <c r="L109" s="23"/>
      <c r="M109" s="25"/>
    </row>
    <row r="110" spans="1:13" x14ac:dyDescent="0.25">
      <c r="A110" s="19" t="s">
        <v>79</v>
      </c>
      <c r="B110" s="31"/>
      <c r="C110" s="31"/>
      <c r="D110" s="31"/>
      <c r="E110" s="35"/>
      <c r="F110" s="35"/>
      <c r="G110" s="36"/>
      <c r="H110" s="39">
        <f>Tabela1[[#This Row],[Quantidade adquirida]]-Tabela1[[#This Row],[Consumo]]+Tabela1[[#This Row],[Estoque anterior]]</f>
        <v>0</v>
      </c>
      <c r="I110" s="25"/>
      <c r="J110" s="23" t="s">
        <v>140</v>
      </c>
      <c r="K110" s="23"/>
      <c r="L110" s="23"/>
      <c r="M110" s="25"/>
    </row>
    <row r="111" spans="1:13" x14ac:dyDescent="0.25">
      <c r="A111" s="20" t="s">
        <v>80</v>
      </c>
      <c r="B111" s="32"/>
      <c r="C111" s="32"/>
      <c r="D111" s="32"/>
      <c r="E111" s="37"/>
      <c r="F111" s="37"/>
      <c r="G111" s="38"/>
      <c r="H111" s="39">
        <f>Tabela1[[#This Row],[Quantidade adquirida]]-Tabela1[[#This Row],[Consumo]]+Tabela1[[#This Row],[Estoque anterior]]</f>
        <v>0</v>
      </c>
      <c r="I111" s="26"/>
      <c r="J111" s="24" t="s">
        <v>140</v>
      </c>
      <c r="K111" s="24" t="s">
        <v>140</v>
      </c>
      <c r="L111" s="24"/>
      <c r="M111" s="26"/>
    </row>
    <row r="112" spans="1:13" x14ac:dyDescent="0.25">
      <c r="A112" s="19" t="s">
        <v>81</v>
      </c>
      <c r="B112" s="31"/>
      <c r="C112" s="31"/>
      <c r="D112" s="31"/>
      <c r="E112" s="35"/>
      <c r="F112" s="35"/>
      <c r="G112" s="36"/>
      <c r="H112" s="29">
        <f>Tabela1[[#This Row],[Quantidade adquirida]]-Tabela1[[#This Row],[Consumo]]+Tabela1[[#This Row],[Estoque anterior]]</f>
        <v>0</v>
      </c>
      <c r="I112" s="25"/>
      <c r="J112" s="23" t="s">
        <v>140</v>
      </c>
      <c r="K112" s="23"/>
      <c r="L112" s="23"/>
      <c r="M112" s="25"/>
    </row>
    <row r="113" spans="1:13" x14ac:dyDescent="0.25">
      <c r="A113" s="19" t="s">
        <v>116</v>
      </c>
      <c r="B113" s="31"/>
      <c r="C113" s="31"/>
      <c r="D113" s="31"/>
      <c r="E113" s="35"/>
      <c r="F113" s="35"/>
      <c r="G113" s="36"/>
      <c r="H113" s="29">
        <f>Tabela1[[#This Row],[Quantidade adquirida]]-Tabela1[[#This Row],[Consumo]]+Tabela1[[#This Row],[Estoque anterior]]</f>
        <v>0</v>
      </c>
      <c r="I113" s="25"/>
      <c r="J113" s="23"/>
      <c r="K113" s="23"/>
      <c r="L113" s="23" t="s">
        <v>140</v>
      </c>
      <c r="M113" s="25"/>
    </row>
    <row r="114" spans="1:13" x14ac:dyDescent="0.25">
      <c r="A114" s="19" t="s">
        <v>82</v>
      </c>
      <c r="B114" s="31"/>
      <c r="C114" s="31"/>
      <c r="D114" s="31"/>
      <c r="E114" s="35"/>
      <c r="F114" s="35"/>
      <c r="G114" s="36"/>
      <c r="H114" s="29">
        <f>Tabela1[[#This Row],[Quantidade adquirida]]-Tabela1[[#This Row],[Consumo]]+Tabela1[[#This Row],[Estoque anterior]]</f>
        <v>0</v>
      </c>
      <c r="I114" s="25"/>
      <c r="J114" s="23" t="s">
        <v>140</v>
      </c>
      <c r="K114" s="23" t="s">
        <v>140</v>
      </c>
      <c r="L114" s="23"/>
      <c r="M114" s="25"/>
    </row>
    <row r="115" spans="1:13" x14ac:dyDescent="0.25">
      <c r="A115" s="19" t="s">
        <v>117</v>
      </c>
      <c r="B115" s="31"/>
      <c r="C115" s="31"/>
      <c r="D115" s="31"/>
      <c r="E115" s="35"/>
      <c r="F115" s="35"/>
      <c r="G115" s="36"/>
      <c r="H115" s="29">
        <f>Tabela1[[#This Row],[Quantidade adquirida]]-Tabela1[[#This Row],[Consumo]]+Tabela1[[#This Row],[Estoque anterior]]</f>
        <v>0</v>
      </c>
      <c r="I115" s="25"/>
      <c r="J115" s="23"/>
      <c r="K115" s="23"/>
      <c r="L115" s="23" t="s">
        <v>140</v>
      </c>
      <c r="M115" s="25"/>
    </row>
    <row r="116" spans="1:13" x14ac:dyDescent="0.25">
      <c r="A116" s="19" t="s">
        <v>83</v>
      </c>
      <c r="B116" s="31"/>
      <c r="C116" s="31"/>
      <c r="D116" s="31"/>
      <c r="E116" s="35"/>
      <c r="F116" s="35"/>
      <c r="G116" s="36"/>
      <c r="H116" s="29">
        <f>Tabela1[[#This Row],[Quantidade adquirida]]-Tabela1[[#This Row],[Consumo]]+Tabela1[[#This Row],[Estoque anterior]]</f>
        <v>0</v>
      </c>
      <c r="I116" s="25"/>
      <c r="J116" s="23" t="s">
        <v>140</v>
      </c>
      <c r="K116" s="23"/>
      <c r="L116" s="23"/>
      <c r="M116" s="25"/>
    </row>
    <row r="117" spans="1:13" x14ac:dyDescent="0.25">
      <c r="A117" s="19" t="s">
        <v>110</v>
      </c>
      <c r="B117" s="31"/>
      <c r="C117" s="31"/>
      <c r="D117" s="31"/>
      <c r="E117" s="35"/>
      <c r="F117" s="35"/>
      <c r="G117" s="36"/>
      <c r="H117" s="29">
        <f>Tabela1[[#This Row],[Quantidade adquirida]]-Tabela1[[#This Row],[Consumo]]+Tabela1[[#This Row],[Estoque anterior]]</f>
        <v>0</v>
      </c>
      <c r="I117" s="25"/>
      <c r="J117" s="23"/>
      <c r="K117" s="23" t="s">
        <v>140</v>
      </c>
      <c r="L117" s="23"/>
      <c r="M117" s="25"/>
    </row>
    <row r="118" spans="1:13" x14ac:dyDescent="0.25">
      <c r="A118" s="19" t="s">
        <v>84</v>
      </c>
      <c r="B118" s="31"/>
      <c r="C118" s="31"/>
      <c r="D118" s="31"/>
      <c r="E118" s="35"/>
      <c r="F118" s="35"/>
      <c r="G118" s="36"/>
      <c r="H118" s="29">
        <f>Tabela1[[#This Row],[Quantidade adquirida]]-Tabela1[[#This Row],[Consumo]]+Tabela1[[#This Row],[Estoque anterior]]</f>
        <v>0</v>
      </c>
      <c r="I118" s="25"/>
      <c r="J118" s="23" t="s">
        <v>140</v>
      </c>
      <c r="K118" s="23"/>
      <c r="L118" s="23"/>
      <c r="M118" s="25"/>
    </row>
    <row r="119" spans="1:13" x14ac:dyDescent="0.25">
      <c r="A119" s="19" t="s">
        <v>159</v>
      </c>
      <c r="B119" s="31"/>
      <c r="C119" s="31"/>
      <c r="D119" s="31"/>
      <c r="E119" s="35"/>
      <c r="F119" s="35"/>
      <c r="G119" s="36"/>
      <c r="H119" s="29">
        <f>Tabela1[[#This Row],[Quantidade adquirida]]-Tabela1[[#This Row],[Consumo]]+Tabela1[[#This Row],[Estoque anterior]]</f>
        <v>0</v>
      </c>
      <c r="I119" s="25"/>
      <c r="J119" s="23" t="s">
        <v>140</v>
      </c>
      <c r="K119" s="23" t="s">
        <v>140</v>
      </c>
      <c r="L119" s="23"/>
      <c r="M119" s="25"/>
    </row>
    <row r="120" spans="1:13" x14ac:dyDescent="0.25">
      <c r="A120" s="19" t="s">
        <v>118</v>
      </c>
      <c r="B120" s="31"/>
      <c r="C120" s="31"/>
      <c r="D120" s="31"/>
      <c r="E120" s="35"/>
      <c r="F120" s="35"/>
      <c r="G120" s="36"/>
      <c r="H120" s="29">
        <f>Tabela1[[#This Row],[Quantidade adquirida]]-Tabela1[[#This Row],[Consumo]]+Tabela1[[#This Row],[Estoque anterior]]</f>
        <v>0</v>
      </c>
      <c r="I120" s="25"/>
      <c r="J120" s="23"/>
      <c r="K120" s="23"/>
      <c r="L120" s="23" t="s">
        <v>140</v>
      </c>
      <c r="M120" s="25"/>
    </row>
    <row r="121" spans="1:13" x14ac:dyDescent="0.25">
      <c r="A121" s="19" t="s">
        <v>85</v>
      </c>
      <c r="B121" s="31"/>
      <c r="C121" s="31"/>
      <c r="D121" s="31"/>
      <c r="E121" s="35"/>
      <c r="F121" s="35"/>
      <c r="G121" s="36"/>
      <c r="H121" s="29">
        <f>Tabela1[[#This Row],[Quantidade adquirida]]-Tabela1[[#This Row],[Consumo]]+Tabela1[[#This Row],[Estoque anterior]]</f>
        <v>0</v>
      </c>
      <c r="I121" s="25"/>
      <c r="J121" s="23" t="s">
        <v>140</v>
      </c>
      <c r="K121" s="23"/>
      <c r="L121" s="23"/>
      <c r="M121" s="25"/>
    </row>
    <row r="122" spans="1:13" x14ac:dyDescent="0.25">
      <c r="A122" s="19" t="s">
        <v>86</v>
      </c>
      <c r="B122" s="31"/>
      <c r="C122" s="31"/>
      <c r="D122" s="31"/>
      <c r="E122" s="35"/>
      <c r="F122" s="35"/>
      <c r="G122" s="36"/>
      <c r="H122" s="29">
        <f>Tabela1[[#This Row],[Quantidade adquirida]]-Tabela1[[#This Row],[Consumo]]+Tabela1[[#This Row],[Estoque anterior]]</f>
        <v>0</v>
      </c>
      <c r="I122" s="25"/>
      <c r="J122" s="23" t="s">
        <v>140</v>
      </c>
      <c r="K122" s="23"/>
      <c r="L122" s="23"/>
      <c r="M122" s="25"/>
    </row>
    <row r="123" spans="1:13" x14ac:dyDescent="0.25">
      <c r="A123" s="19" t="s">
        <v>87</v>
      </c>
      <c r="B123" s="31"/>
      <c r="C123" s="31"/>
      <c r="D123" s="31"/>
      <c r="E123" s="35"/>
      <c r="F123" s="35"/>
      <c r="G123" s="36"/>
      <c r="H123" s="29">
        <f>Tabela1[[#This Row],[Quantidade adquirida]]-Tabela1[[#This Row],[Consumo]]+Tabela1[[#This Row],[Estoque anterior]]</f>
        <v>0</v>
      </c>
      <c r="I123" s="25"/>
      <c r="J123" s="23" t="s">
        <v>140</v>
      </c>
      <c r="K123" s="23"/>
      <c r="L123" s="23"/>
      <c r="M123" s="25"/>
    </row>
    <row r="124" spans="1:13" x14ac:dyDescent="0.25">
      <c r="A124" s="19" t="s">
        <v>88</v>
      </c>
      <c r="B124" s="31"/>
      <c r="C124" s="31"/>
      <c r="D124" s="31"/>
      <c r="E124" s="35"/>
      <c r="F124" s="35"/>
      <c r="G124" s="36"/>
      <c r="H124" s="29">
        <f>Tabela1[[#This Row],[Quantidade adquirida]]-Tabela1[[#This Row],[Consumo]]+Tabela1[[#This Row],[Estoque anterior]]</f>
        <v>0</v>
      </c>
      <c r="I124" s="25"/>
      <c r="J124" s="23" t="s">
        <v>140</v>
      </c>
      <c r="K124" s="23"/>
      <c r="L124" s="23"/>
      <c r="M124" s="25"/>
    </row>
    <row r="125" spans="1:13" x14ac:dyDescent="0.25">
      <c r="A125" s="19" t="s">
        <v>144</v>
      </c>
      <c r="B125" s="31"/>
      <c r="C125" s="31"/>
      <c r="D125" s="31"/>
      <c r="E125" s="35"/>
      <c r="F125" s="35"/>
      <c r="G125" s="36"/>
      <c r="H125" s="29">
        <f>Tabela1[[#This Row],[Quantidade adquirida]]-Tabela1[[#This Row],[Consumo]]+Tabela1[[#This Row],[Estoque anterior]]</f>
        <v>0</v>
      </c>
      <c r="I125" s="25"/>
      <c r="J125" s="23"/>
      <c r="K125" s="23" t="s">
        <v>140</v>
      </c>
      <c r="L125" s="23"/>
      <c r="M125" s="25"/>
    </row>
    <row r="126" spans="1:13" x14ac:dyDescent="0.25">
      <c r="A126" s="19" t="s">
        <v>160</v>
      </c>
      <c r="B126" s="31"/>
      <c r="C126" s="31"/>
      <c r="D126" s="31"/>
      <c r="E126" s="35"/>
      <c r="F126" s="35"/>
      <c r="G126" s="36"/>
      <c r="H126" s="29">
        <f>Tabela1[[#This Row],[Quantidade adquirida]]-Tabela1[[#This Row],[Consumo]]+Tabela1[[#This Row],[Estoque anterior]]</f>
        <v>0</v>
      </c>
      <c r="I126" s="25"/>
      <c r="J126" s="23" t="s">
        <v>140</v>
      </c>
      <c r="K126" s="23"/>
      <c r="L126" s="23"/>
      <c r="M126" s="25"/>
    </row>
    <row r="127" spans="1:13" x14ac:dyDescent="0.25">
      <c r="A127" s="19" t="s">
        <v>161</v>
      </c>
      <c r="B127" s="31"/>
      <c r="C127" s="31"/>
      <c r="D127" s="31"/>
      <c r="E127" s="35"/>
      <c r="F127" s="35"/>
      <c r="G127" s="36"/>
      <c r="H127" s="29">
        <f>Tabela1[[#This Row],[Quantidade adquirida]]-Tabela1[[#This Row],[Consumo]]+Tabela1[[#This Row],[Estoque anterior]]</f>
        <v>0</v>
      </c>
      <c r="I127" s="25"/>
      <c r="J127" s="23" t="s">
        <v>140</v>
      </c>
      <c r="K127" s="23"/>
      <c r="L127" s="23"/>
      <c r="M127" s="25"/>
    </row>
    <row r="128" spans="1:13" x14ac:dyDescent="0.25">
      <c r="A128" s="19" t="s">
        <v>145</v>
      </c>
      <c r="B128" s="31"/>
      <c r="C128" s="31"/>
      <c r="D128" s="31"/>
      <c r="E128" s="35"/>
      <c r="F128" s="35"/>
      <c r="G128" s="36"/>
      <c r="H128" s="29">
        <f>Tabela1[[#This Row],[Quantidade adquirida]]-Tabela1[[#This Row],[Consumo]]+Tabela1[[#This Row],[Estoque anterior]]</f>
        <v>0</v>
      </c>
      <c r="I128" s="25"/>
      <c r="J128" s="23" t="s">
        <v>140</v>
      </c>
      <c r="K128" s="23"/>
      <c r="L128" s="23"/>
      <c r="M128" s="25"/>
    </row>
    <row r="129" spans="1:13" x14ac:dyDescent="0.25">
      <c r="A129" s="19" t="s">
        <v>89</v>
      </c>
      <c r="B129" s="31"/>
      <c r="C129" s="31"/>
      <c r="D129" s="31"/>
      <c r="E129" s="35"/>
      <c r="F129" s="35"/>
      <c r="G129" s="36"/>
      <c r="H129" s="29">
        <f>Tabela1[[#This Row],[Quantidade adquirida]]-Tabela1[[#This Row],[Consumo]]+Tabela1[[#This Row],[Estoque anterior]]</f>
        <v>0</v>
      </c>
      <c r="I129" s="25"/>
      <c r="J129" s="23" t="s">
        <v>140</v>
      </c>
      <c r="K129" s="23"/>
      <c r="L129" s="23"/>
      <c r="M129" s="25"/>
    </row>
    <row r="130" spans="1:13" x14ac:dyDescent="0.25">
      <c r="A130" s="19" t="s">
        <v>90</v>
      </c>
      <c r="B130" s="31"/>
      <c r="C130" s="31"/>
      <c r="D130" s="31"/>
      <c r="E130" s="35"/>
      <c r="F130" s="35"/>
      <c r="G130" s="36"/>
      <c r="H130" s="29">
        <f>Tabela1[[#This Row],[Quantidade adquirida]]-Tabela1[[#This Row],[Consumo]]+Tabela1[[#This Row],[Estoque anterior]]</f>
        <v>0</v>
      </c>
      <c r="I130" s="25"/>
      <c r="J130" s="23" t="s">
        <v>140</v>
      </c>
      <c r="K130" s="23"/>
      <c r="L130" s="23"/>
      <c r="M130" s="25"/>
    </row>
    <row r="131" spans="1:13" x14ac:dyDescent="0.25">
      <c r="A131" s="19" t="s">
        <v>5</v>
      </c>
      <c r="B131" s="31"/>
      <c r="C131" s="31"/>
      <c r="D131" s="31"/>
      <c r="E131" s="35"/>
      <c r="F131" s="35"/>
      <c r="G131" s="36"/>
      <c r="H131" s="29">
        <f>Tabela1[[#This Row],[Quantidade adquirida]]-Tabela1[[#This Row],[Consumo]]+Tabela1[[#This Row],[Estoque anterior]]</f>
        <v>0</v>
      </c>
      <c r="I131" s="25"/>
      <c r="J131" s="23"/>
      <c r="K131" s="23" t="s">
        <v>140</v>
      </c>
      <c r="L131" s="23"/>
      <c r="M131" s="25"/>
    </row>
    <row r="132" spans="1:13" x14ac:dyDescent="0.25">
      <c r="A132" s="19" t="s">
        <v>91</v>
      </c>
      <c r="B132" s="31"/>
      <c r="C132" s="31"/>
      <c r="D132" s="31"/>
      <c r="E132" s="35"/>
      <c r="F132" s="35"/>
      <c r="G132" s="36"/>
      <c r="H132" s="29">
        <f>Tabela1[[#This Row],[Quantidade adquirida]]-Tabela1[[#This Row],[Consumo]]+Tabela1[[#This Row],[Estoque anterior]]</f>
        <v>0</v>
      </c>
      <c r="I132" s="25"/>
      <c r="J132" s="23" t="s">
        <v>140</v>
      </c>
      <c r="K132" s="23"/>
      <c r="L132" s="23"/>
      <c r="M132" s="25"/>
    </row>
    <row r="133" spans="1:13" x14ac:dyDescent="0.25">
      <c r="A133" s="19" t="s">
        <v>119</v>
      </c>
      <c r="B133" s="31"/>
      <c r="C133" s="31"/>
      <c r="D133" s="31"/>
      <c r="E133" s="35"/>
      <c r="F133" s="35"/>
      <c r="G133" s="36"/>
      <c r="H133" s="29">
        <f>Tabela1[[#This Row],[Quantidade adquirida]]-Tabela1[[#This Row],[Consumo]]+Tabela1[[#This Row],[Estoque anterior]]</f>
        <v>0</v>
      </c>
      <c r="I133" s="25"/>
      <c r="J133" s="23"/>
      <c r="K133" s="23"/>
      <c r="L133" s="23" t="s">
        <v>140</v>
      </c>
      <c r="M133" s="25"/>
    </row>
    <row r="134" spans="1:13" x14ac:dyDescent="0.25">
      <c r="A134" s="19" t="s">
        <v>6</v>
      </c>
      <c r="B134" s="31"/>
      <c r="C134" s="31"/>
      <c r="D134" s="31"/>
      <c r="E134" s="35"/>
      <c r="F134" s="35"/>
      <c r="G134" s="36"/>
      <c r="H134" s="29">
        <f>Tabela1[[#This Row],[Quantidade adquirida]]-Tabela1[[#This Row],[Consumo]]+Tabela1[[#This Row],[Estoque anterior]]</f>
        <v>0</v>
      </c>
      <c r="I134" s="25"/>
      <c r="J134" s="23" t="s">
        <v>140</v>
      </c>
      <c r="K134" s="23"/>
      <c r="L134" s="23"/>
      <c r="M134" s="25"/>
    </row>
    <row r="135" spans="1:13" x14ac:dyDescent="0.25">
      <c r="A135" s="19" t="s">
        <v>92</v>
      </c>
      <c r="B135" s="31"/>
      <c r="C135" s="31"/>
      <c r="D135" s="31"/>
      <c r="E135" s="35"/>
      <c r="F135" s="35"/>
      <c r="G135" s="36"/>
      <c r="H135" s="29">
        <f>Tabela1[[#This Row],[Quantidade adquirida]]-Tabela1[[#This Row],[Consumo]]+Tabela1[[#This Row],[Estoque anterior]]</f>
        <v>0</v>
      </c>
      <c r="I135" s="25"/>
      <c r="J135" s="23" t="s">
        <v>140</v>
      </c>
      <c r="K135" s="23"/>
      <c r="L135" s="23"/>
      <c r="M135" s="25"/>
    </row>
    <row r="136" spans="1:13" x14ac:dyDescent="0.25">
      <c r="A136" s="19" t="s">
        <v>93</v>
      </c>
      <c r="B136" s="31"/>
      <c r="C136" s="31"/>
      <c r="D136" s="31"/>
      <c r="E136" s="35"/>
      <c r="F136" s="35"/>
      <c r="G136" s="36"/>
      <c r="H136" s="29">
        <f>Tabela1[[#This Row],[Quantidade adquirida]]-Tabela1[[#This Row],[Consumo]]+Tabela1[[#This Row],[Estoque anterior]]</f>
        <v>0</v>
      </c>
      <c r="I136" s="25"/>
      <c r="J136" s="23" t="s">
        <v>140</v>
      </c>
      <c r="K136" s="23"/>
      <c r="L136" s="23"/>
      <c r="M136" s="25"/>
    </row>
    <row r="137" spans="1:13" x14ac:dyDescent="0.25">
      <c r="A137" s="19" t="s">
        <v>94</v>
      </c>
      <c r="B137" s="31"/>
      <c r="C137" s="31"/>
      <c r="D137" s="31"/>
      <c r="E137" s="35"/>
      <c r="F137" s="35"/>
      <c r="G137" s="36"/>
      <c r="H137" s="29">
        <f>Tabela1[[#This Row],[Quantidade adquirida]]-Tabela1[[#This Row],[Consumo]]+Tabela1[[#This Row],[Estoque anterior]]</f>
        <v>0</v>
      </c>
      <c r="I137" s="25"/>
      <c r="J137" s="23" t="s">
        <v>140</v>
      </c>
      <c r="K137" s="23"/>
      <c r="L137" s="23"/>
      <c r="M137" s="25"/>
    </row>
    <row r="138" spans="1:13" x14ac:dyDescent="0.25">
      <c r="A138" s="19" t="s">
        <v>95</v>
      </c>
      <c r="B138" s="31"/>
      <c r="C138" s="31"/>
      <c r="D138" s="31"/>
      <c r="E138" s="35"/>
      <c r="F138" s="35"/>
      <c r="G138" s="36"/>
      <c r="H138" s="29">
        <f>Tabela1[[#This Row],[Quantidade adquirida]]-Tabela1[[#This Row],[Consumo]]+Tabela1[[#This Row],[Estoque anterior]]</f>
        <v>0</v>
      </c>
      <c r="I138" s="25"/>
      <c r="J138" s="23" t="s">
        <v>140</v>
      </c>
      <c r="K138" s="23"/>
      <c r="L138" s="23"/>
      <c r="M138" s="25"/>
    </row>
    <row r="139" spans="1:13" x14ac:dyDescent="0.25">
      <c r="A139" s="19" t="s">
        <v>96</v>
      </c>
      <c r="B139" s="31"/>
      <c r="C139" s="31"/>
      <c r="D139" s="31"/>
      <c r="E139" s="35"/>
      <c r="F139" s="35"/>
      <c r="G139" s="36"/>
      <c r="H139" s="29">
        <f>Tabela1[[#This Row],[Quantidade adquirida]]-Tabela1[[#This Row],[Consumo]]+Tabela1[[#This Row],[Estoque anterior]]</f>
        <v>0</v>
      </c>
      <c r="I139" s="25"/>
      <c r="J139" s="23" t="s">
        <v>140</v>
      </c>
      <c r="K139" s="23"/>
      <c r="L139" s="23"/>
      <c r="M139" s="25"/>
    </row>
    <row r="140" spans="1:13" x14ac:dyDescent="0.25">
      <c r="A140" s="19" t="s">
        <v>162</v>
      </c>
      <c r="B140" s="31"/>
      <c r="C140" s="31"/>
      <c r="D140" s="31"/>
      <c r="E140" s="35"/>
      <c r="F140" s="35"/>
      <c r="G140" s="36"/>
      <c r="H140" s="29">
        <f>Tabela1[[#This Row],[Quantidade adquirida]]-Tabela1[[#This Row],[Consumo]]+Tabela1[[#This Row],[Estoque anterior]]</f>
        <v>0</v>
      </c>
      <c r="I140" s="25"/>
      <c r="J140" s="23" t="s">
        <v>140</v>
      </c>
      <c r="K140" s="23"/>
      <c r="L140" s="23"/>
      <c r="M140" s="25"/>
    </row>
    <row r="141" spans="1:13" x14ac:dyDescent="0.25">
      <c r="A141" s="19" t="s">
        <v>163</v>
      </c>
      <c r="B141" s="31"/>
      <c r="C141" s="31"/>
      <c r="D141" s="31"/>
      <c r="E141" s="35"/>
      <c r="F141" s="35"/>
      <c r="G141" s="36"/>
      <c r="H141" s="29">
        <f>Tabela1[[#This Row],[Quantidade adquirida]]-Tabela1[[#This Row],[Consumo]]+Tabela1[[#This Row],[Estoque anterior]]</f>
        <v>0</v>
      </c>
      <c r="I141" s="25"/>
      <c r="J141" s="23" t="s">
        <v>140</v>
      </c>
      <c r="K141" s="23"/>
      <c r="L141" s="23"/>
      <c r="M141" s="25"/>
    </row>
    <row r="142" spans="1:13" x14ac:dyDescent="0.25">
      <c r="A142" s="19" t="s">
        <v>164</v>
      </c>
      <c r="B142" s="31"/>
      <c r="C142" s="31"/>
      <c r="D142" s="31"/>
      <c r="E142" s="35"/>
      <c r="F142" s="35"/>
      <c r="G142" s="36"/>
      <c r="H142" s="29">
        <f>Tabela1[[#This Row],[Quantidade adquirida]]-Tabela1[[#This Row],[Consumo]]+Tabela1[[#This Row],[Estoque anterior]]</f>
        <v>0</v>
      </c>
      <c r="I142" s="25"/>
      <c r="J142" s="23" t="s">
        <v>140</v>
      </c>
      <c r="K142" s="23"/>
      <c r="L142" s="23"/>
      <c r="M142" s="25"/>
    </row>
    <row r="143" spans="1:13" x14ac:dyDescent="0.25">
      <c r="A143" s="19" t="s">
        <v>165</v>
      </c>
      <c r="B143" s="31"/>
      <c r="C143" s="31"/>
      <c r="D143" s="31"/>
      <c r="E143" s="35"/>
      <c r="F143" s="35"/>
      <c r="G143" s="36"/>
      <c r="H143" s="29">
        <f>Tabela1[[#This Row],[Quantidade adquirida]]-Tabela1[[#This Row],[Consumo]]+Tabela1[[#This Row],[Estoque anterior]]</f>
        <v>0</v>
      </c>
      <c r="I143" s="25"/>
      <c r="J143" s="23" t="s">
        <v>140</v>
      </c>
      <c r="K143" s="23"/>
      <c r="L143" s="23"/>
      <c r="M143" s="25"/>
    </row>
    <row r="144" spans="1:13" ht="25.5" x14ac:dyDescent="0.25">
      <c r="A144" s="19" t="s">
        <v>146</v>
      </c>
      <c r="B144" s="31"/>
      <c r="C144" s="31"/>
      <c r="D144" s="31"/>
      <c r="E144" s="35"/>
      <c r="F144" s="35"/>
      <c r="G144" s="36"/>
      <c r="H144" s="29">
        <f>Tabela1[[#This Row],[Quantidade adquirida]]-Tabela1[[#This Row],[Consumo]]+Tabela1[[#This Row],[Estoque anterior]]</f>
        <v>0</v>
      </c>
      <c r="I144" s="25"/>
      <c r="J144" s="23" t="s">
        <v>140</v>
      </c>
      <c r="K144" s="23"/>
      <c r="L144" s="23"/>
      <c r="M144" s="25"/>
    </row>
    <row r="145" spans="1:13" x14ac:dyDescent="0.25">
      <c r="A145" s="19" t="s">
        <v>147</v>
      </c>
      <c r="B145" s="31"/>
      <c r="C145" s="31"/>
      <c r="D145" s="31"/>
      <c r="E145" s="35"/>
      <c r="F145" s="35"/>
      <c r="G145" s="36"/>
      <c r="H145" s="29">
        <f>Tabela1[[#This Row],[Quantidade adquirida]]-Tabela1[[#This Row],[Consumo]]+Tabela1[[#This Row],[Estoque anterior]]</f>
        <v>0</v>
      </c>
      <c r="I145" s="25"/>
      <c r="J145" s="23" t="s">
        <v>140</v>
      </c>
      <c r="K145" s="23"/>
      <c r="L145" s="23" t="s">
        <v>140</v>
      </c>
      <c r="M145" s="25"/>
    </row>
    <row r="146" spans="1:13" x14ac:dyDescent="0.25">
      <c r="A146" s="19" t="s">
        <v>166</v>
      </c>
      <c r="B146" s="31"/>
      <c r="C146" s="31"/>
      <c r="D146" s="31"/>
      <c r="E146" s="35"/>
      <c r="F146" s="35"/>
      <c r="G146" s="36"/>
      <c r="H146" s="29">
        <f>Tabela1[[#This Row],[Quantidade adquirida]]-Tabela1[[#This Row],[Consumo]]+Tabela1[[#This Row],[Estoque anterior]]</f>
        <v>0</v>
      </c>
      <c r="I146" s="25"/>
      <c r="J146" s="23" t="s">
        <v>140</v>
      </c>
      <c r="K146" s="23"/>
      <c r="L146" s="23"/>
      <c r="M146" s="25"/>
    </row>
    <row r="147" spans="1:13" x14ac:dyDescent="0.25">
      <c r="A147" s="19" t="s">
        <v>172</v>
      </c>
      <c r="B147" s="31"/>
      <c r="C147" s="31"/>
      <c r="D147" s="31"/>
      <c r="E147" s="35"/>
      <c r="F147" s="35"/>
      <c r="G147" s="36"/>
      <c r="H147" s="29">
        <f>Tabela1[[#This Row],[Quantidade adquirida]]-Tabela1[[#This Row],[Consumo]]+Tabela1[[#This Row],[Estoque anterior]]</f>
        <v>0</v>
      </c>
      <c r="I147" s="25"/>
      <c r="J147" s="23" t="s">
        <v>140</v>
      </c>
      <c r="K147" s="23"/>
      <c r="L147" s="23"/>
      <c r="M147" s="25"/>
    </row>
    <row r="148" spans="1:13" x14ac:dyDescent="0.25">
      <c r="A148" s="19" t="s">
        <v>111</v>
      </c>
      <c r="B148" s="31"/>
      <c r="C148" s="31"/>
      <c r="D148" s="31"/>
      <c r="E148" s="35"/>
      <c r="F148" s="35"/>
      <c r="G148" s="36"/>
      <c r="H148" s="29">
        <f>Tabela1[[#This Row],[Quantidade adquirida]]-Tabela1[[#This Row],[Consumo]]+Tabela1[[#This Row],[Estoque anterior]]</f>
        <v>0</v>
      </c>
      <c r="I148" s="25"/>
      <c r="J148" s="23"/>
      <c r="K148" s="23" t="s">
        <v>140</v>
      </c>
      <c r="L148" s="23"/>
      <c r="M148" s="25"/>
    </row>
    <row r="149" spans="1:13" x14ac:dyDescent="0.25">
      <c r="A149" s="19" t="s">
        <v>8</v>
      </c>
      <c r="B149" s="31"/>
      <c r="C149" s="31"/>
      <c r="D149" s="31"/>
      <c r="E149" s="35"/>
      <c r="F149" s="35"/>
      <c r="G149" s="36"/>
      <c r="H149" s="29">
        <f>Tabela1[[#This Row],[Quantidade adquirida]]-Tabela1[[#This Row],[Consumo]]+Tabela1[[#This Row],[Estoque anterior]]</f>
        <v>0</v>
      </c>
      <c r="I149" s="25"/>
      <c r="J149" s="23" t="s">
        <v>140</v>
      </c>
      <c r="K149" s="23"/>
      <c r="L149" s="23"/>
      <c r="M149" s="25"/>
    </row>
    <row r="150" spans="1:13" x14ac:dyDescent="0.25">
      <c r="A150" s="19" t="s">
        <v>7</v>
      </c>
      <c r="B150" s="31"/>
      <c r="C150" s="31"/>
      <c r="D150" s="31"/>
      <c r="E150" s="35"/>
      <c r="F150" s="35"/>
      <c r="G150" s="36"/>
      <c r="H150" s="29">
        <f>Tabela1[[#This Row],[Quantidade adquirida]]-Tabela1[[#This Row],[Consumo]]+Tabela1[[#This Row],[Estoque anterior]]</f>
        <v>0</v>
      </c>
      <c r="I150" s="25"/>
      <c r="J150" s="23"/>
      <c r="K150" s="23" t="s">
        <v>140</v>
      </c>
      <c r="L150" s="23"/>
      <c r="M150" s="25"/>
    </row>
    <row r="151" spans="1:13" x14ac:dyDescent="0.25">
      <c r="A151" s="19" t="s">
        <v>169</v>
      </c>
      <c r="B151" s="31"/>
      <c r="C151" s="31"/>
      <c r="D151" s="31"/>
      <c r="E151" s="35"/>
      <c r="F151" s="35"/>
      <c r="G151" s="36"/>
      <c r="H151" s="29">
        <f>Tabela1[[#This Row],[Quantidade adquirida]]-Tabela1[[#This Row],[Consumo]]+Tabela1[[#This Row],[Estoque anterior]]</f>
        <v>0</v>
      </c>
      <c r="I151" s="25"/>
      <c r="J151" s="23" t="s">
        <v>140</v>
      </c>
      <c r="K151" s="23" t="s">
        <v>140</v>
      </c>
      <c r="L151" s="23"/>
      <c r="M151" s="25"/>
    </row>
    <row r="152" spans="1:13" x14ac:dyDescent="0.25">
      <c r="A152" s="19" t="s">
        <v>97</v>
      </c>
      <c r="B152" s="31"/>
      <c r="C152" s="31"/>
      <c r="D152" s="31"/>
      <c r="E152" s="35"/>
      <c r="F152" s="35"/>
      <c r="G152" s="36"/>
      <c r="H152" s="29">
        <f>Tabela1[[#This Row],[Quantidade adquirida]]-Tabela1[[#This Row],[Consumo]]+Tabela1[[#This Row],[Estoque anterior]]</f>
        <v>0</v>
      </c>
      <c r="I152" s="25"/>
      <c r="J152" s="23" t="s">
        <v>140</v>
      </c>
      <c r="K152" s="23"/>
      <c r="L152" s="23"/>
      <c r="M152" s="25"/>
    </row>
    <row r="153" spans="1:13" x14ac:dyDescent="0.25">
      <c r="A153" s="19" t="s">
        <v>98</v>
      </c>
      <c r="B153" s="31"/>
      <c r="C153" s="31"/>
      <c r="D153" s="31"/>
      <c r="E153" s="35"/>
      <c r="F153" s="35"/>
      <c r="G153" s="36"/>
      <c r="H153" s="29">
        <f>Tabela1[[#This Row],[Quantidade adquirida]]-Tabela1[[#This Row],[Consumo]]+Tabela1[[#This Row],[Estoque anterior]]</f>
        <v>0</v>
      </c>
      <c r="I153" s="25"/>
      <c r="J153" s="23" t="s">
        <v>140</v>
      </c>
      <c r="K153" s="23"/>
      <c r="L153" s="23"/>
      <c r="M153" s="25"/>
    </row>
    <row r="154" spans="1:13" x14ac:dyDescent="0.25">
      <c r="A154" s="19" t="s">
        <v>170</v>
      </c>
      <c r="B154" s="31"/>
      <c r="C154" s="31"/>
      <c r="D154" s="31"/>
      <c r="E154" s="35"/>
      <c r="F154" s="35"/>
      <c r="G154" s="36"/>
      <c r="H154" s="29">
        <f>Tabela1[[#This Row],[Quantidade adquirida]]-Tabela1[[#This Row],[Consumo]]+Tabela1[[#This Row],[Estoque anterior]]</f>
        <v>0</v>
      </c>
      <c r="I154" s="25"/>
      <c r="J154" s="23"/>
      <c r="K154" s="23"/>
      <c r="L154" s="23" t="s">
        <v>140</v>
      </c>
      <c r="M154" s="25"/>
    </row>
    <row r="155" spans="1:13" x14ac:dyDescent="0.25">
      <c r="A155" s="19" t="s">
        <v>148</v>
      </c>
      <c r="B155" s="31"/>
      <c r="C155" s="31"/>
      <c r="D155" s="31"/>
      <c r="E155" s="35"/>
      <c r="F155" s="35"/>
      <c r="G155" s="36"/>
      <c r="H155" s="29">
        <f>Tabela1[[#This Row],[Quantidade adquirida]]-Tabela1[[#This Row],[Consumo]]+Tabela1[[#This Row],[Estoque anterior]]</f>
        <v>0</v>
      </c>
      <c r="I155" s="25"/>
      <c r="J155" s="23" t="s">
        <v>140</v>
      </c>
      <c r="K155" s="23"/>
      <c r="L155" s="23"/>
      <c r="M155" s="25"/>
    </row>
    <row r="156" spans="1:13" x14ac:dyDescent="0.25">
      <c r="A156" s="19" t="s">
        <v>99</v>
      </c>
      <c r="B156" s="31"/>
      <c r="C156" s="31"/>
      <c r="D156" s="31"/>
      <c r="E156" s="35"/>
      <c r="F156" s="35"/>
      <c r="G156" s="36"/>
      <c r="H156" s="29">
        <f>Tabela1[[#This Row],[Quantidade adquirida]]-Tabela1[[#This Row],[Consumo]]+Tabela1[[#This Row],[Estoque anterior]]</f>
        <v>0</v>
      </c>
      <c r="I156" s="25"/>
      <c r="J156" s="23" t="s">
        <v>140</v>
      </c>
      <c r="K156" s="23"/>
      <c r="L156" s="23"/>
      <c r="M156" s="25"/>
    </row>
    <row r="157" spans="1:13" x14ac:dyDescent="0.25">
      <c r="A157" s="19" t="s">
        <v>100</v>
      </c>
      <c r="B157" s="31"/>
      <c r="C157" s="31"/>
      <c r="D157" s="31"/>
      <c r="E157" s="35"/>
      <c r="F157" s="35"/>
      <c r="G157" s="36"/>
      <c r="H157" s="29">
        <f>Tabela1[[#This Row],[Quantidade adquirida]]-Tabela1[[#This Row],[Consumo]]+Tabela1[[#This Row],[Estoque anterior]]</f>
        <v>0</v>
      </c>
      <c r="I157" s="25"/>
      <c r="J157" s="23" t="s">
        <v>140</v>
      </c>
      <c r="K157" s="23"/>
      <c r="L157" s="23"/>
      <c r="M157" s="25"/>
    </row>
    <row r="158" spans="1:13" x14ac:dyDescent="0.25">
      <c r="A158" s="20" t="s">
        <v>101</v>
      </c>
      <c r="B158" s="32"/>
      <c r="C158" s="32"/>
      <c r="D158" s="32"/>
      <c r="E158" s="37"/>
      <c r="F158" s="37"/>
      <c r="G158" s="38"/>
      <c r="H158" s="40">
        <f>Tabela1[[#This Row],[Quantidade adquirida]]-Tabela1[[#This Row],[Consumo]]+Tabela1[[#This Row],[Estoque anterior]]</f>
        <v>0</v>
      </c>
      <c r="I158" s="26"/>
      <c r="J158" s="24" t="s">
        <v>140</v>
      </c>
      <c r="K158" s="24"/>
      <c r="L158" s="24"/>
      <c r="M158" s="26"/>
    </row>
    <row r="159" spans="1:13" ht="56.25" customHeight="1" x14ac:dyDescent="0.25">
      <c r="A159" s="49" t="s">
        <v>150</v>
      </c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</row>
    <row r="161" spans="1:12" x14ac:dyDescent="0.25">
      <c r="A161" s="50" t="s">
        <v>174</v>
      </c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</row>
  </sheetData>
  <sheetProtection algorithmName="SHA-512" hashValue="CCaju0+uCn0POxAusLQVxRxPhBq2CiNXXmeUJZc0Kmpzi6tP3oddHaVjDsqwNRadb4QfgDYpH/2lx/TCBBskxQ==" saltValue="2nF4gXA2N6QHFkxSsFS65w==" spinCount="100000" sheet="1" formatCells="0" formatColumns="0" formatRows="0" autoFilter="0"/>
  <mergeCells count="14">
    <mergeCell ref="A2:M2"/>
    <mergeCell ref="A1:M1"/>
    <mergeCell ref="A159:L159"/>
    <mergeCell ref="A161:L161"/>
    <mergeCell ref="A4:A5"/>
    <mergeCell ref="J4:M4"/>
    <mergeCell ref="J5:M5"/>
    <mergeCell ref="E7:G7"/>
    <mergeCell ref="B4:C4"/>
    <mergeCell ref="B5:C5"/>
    <mergeCell ref="E4:F4"/>
    <mergeCell ref="G4:I4"/>
    <mergeCell ref="G5:I5"/>
    <mergeCell ref="E5:F5"/>
  </mergeCells>
  <conditionalFormatting sqref="A9:M158">
    <cfRule type="expression" dxfId="17" priority="1">
      <formula>EVEN(ROW())=ROW()</formula>
    </cfRule>
  </conditionalFormatting>
  <dataValidations count="2">
    <dataValidation type="list" allowBlank="1" showInputMessage="1" showErrorMessage="1" sqref="B5:C5" xr:uid="{00000000-0002-0000-0000-000000000000}">
      <formula1>"Janeiro,Fevereiro,Março,Abril,Maio,Junho,Julho,Agosto,Setembro,Outubro,Novembro,Dezembro"</formula1>
    </dataValidation>
    <dataValidation type="list" allowBlank="1" showInputMessage="1" showErrorMessage="1" sqref="E5:F5" xr:uid="{00000000-0002-0000-0000-000001000000}">
      <formula1>"CCQA,Cetea,Cereal Chocotec,CTC,DG,Fruthotec,Tecnolat,ITAL"</formula1>
    </dataValidation>
  </dataValidations>
  <pageMargins left="0.51181102362204722" right="0.51181102362204722" top="0.78740157480314965" bottom="0.78740157480314965" header="0.31496062992125984" footer="0.31496062992125984"/>
  <pageSetup paperSize="9" scale="65" orientation="landscape" r:id="rId1"/>
  <headerFooter>
    <oddHeader>&amp;R&amp;"Arial,Normal"&amp;10&amp;P/&amp;N</oddHeader>
    <oddFooter>&amp;L&amp;"Arial,Normal"&amp;10FQ-07.63 (anexo ao PQ-07.04) - RA - revisão 01 de 21/10/25 - Página &amp;P/&amp;N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FQ0763</vt:lpstr>
      <vt:lpstr>'FQ0763'!Area_de_impressao</vt:lpstr>
      <vt:lpstr>'FQ0763'!Titulos_de_impressao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corel i3</dc:creator>
  <cp:lastModifiedBy>SGQ</cp:lastModifiedBy>
  <cp:lastPrinted>2025-10-20T16:38:24Z</cp:lastPrinted>
  <dcterms:created xsi:type="dcterms:W3CDTF">2015-06-26T12:28:07Z</dcterms:created>
  <dcterms:modified xsi:type="dcterms:W3CDTF">2025-10-20T19:33:25Z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2038728906</vt:i4>
  </property>
  <property fmtid="{D5CDD505-2E9C-101B-9397-08002B2CF9AE}" pid="3" name="_NewReviewCycle">
    <vt:lpwstr/>
  </property>
  <property fmtid="{D5CDD505-2E9C-101B-9397-08002B2CF9AE}" pid="4" name="_EmailSubject">
    <vt:lpwstr>Adequação MAPA MENSAL</vt:lpwstr>
  </property>
  <property fmtid="{D5CDD505-2E9C-101B-9397-08002B2CF9AE}" pid="5" name="_AuthorEmail">
    <vt:lpwstr>daisy.moitinho@ital.sp.gov.br</vt:lpwstr>
  </property>
  <property fmtid="{D5CDD505-2E9C-101B-9397-08002B2CF9AE}" pid="6" name="_AuthorEmailDisplayName">
    <vt:lpwstr>Daisy</vt:lpwstr>
  </property>
  <property fmtid="{D5CDD505-2E9C-101B-9397-08002B2CF9AE}" pid="7" name="_ReviewingToolsShownOnce">
    <vt:lpwstr/>
  </property>
</Properties>
</file>